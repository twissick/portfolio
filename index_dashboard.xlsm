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ata Science\"/>
    </mc:Choice>
  </mc:AlternateContent>
  <xr:revisionPtr revIDLastSave="0" documentId="13_ncr:1_{DF1FF82E-BEBE-44EB-A1F0-FF1450942343}" xr6:coauthVersionLast="47" xr6:coauthVersionMax="47" xr10:uidLastSave="{00000000-0000-0000-0000-000000000000}"/>
  <bookViews>
    <workbookView xWindow="28680" yWindow="-120" windowWidth="29040" windowHeight="15840" xr2:uid="{494A9E0B-98B0-4162-B9DD-D32C5B61B134}"/>
  </bookViews>
  <sheets>
    <sheet name="Dashboard" sheetId="16" r:id="rId1"/>
    <sheet name="PPI - Electric" sheetId="3" r:id="rId2"/>
    <sheet name="PPI - Inorganic Acids" sheetId="4" r:id="rId3"/>
    <sheet name="PPI - Natural Gas" sheetId="5" r:id="rId4"/>
    <sheet name="PPI - Petroleum" sheetId="6" r:id="rId5"/>
    <sheet name="PPI - No.2 Diesel" sheetId="25" r:id="rId6"/>
    <sheet name="LME - Zinc" sheetId="10" r:id="rId7"/>
    <sheet name="Exchange Rate" sheetId="7" r:id="rId8"/>
    <sheet name="Naphtha" sheetId="23" r:id="rId9"/>
    <sheet name="Data" sheetId="12" r:id="rId10"/>
    <sheet name="Admin" sheetId="15" r:id="rId11"/>
  </sheets>
  <functionGroups builtInGroupCount="19"/>
  <externalReferences>
    <externalReference r:id="rId12"/>
  </externalReferences>
  <definedNames>
    <definedName name="ExternalData_1" localSheetId="7" hidden="1">'Exchange Rate'!$A$1:$B$628</definedName>
    <definedName name="ExternalData_1" localSheetId="6" hidden="1">'LME - Zinc'!$A$1:$D$339</definedName>
    <definedName name="ExternalData_1" localSheetId="1" hidden="1">'PPI - Electric'!$A$1:$B$783</definedName>
    <definedName name="ExternalData_1" localSheetId="2" hidden="1">'PPI - Inorganic Acids'!$A$1:$B$172</definedName>
    <definedName name="ExternalData_1" localSheetId="3" hidden="1">'PPI - Natural Gas'!$A$1:$B$232</definedName>
    <definedName name="ExternalData_1" localSheetId="5" hidden="1">'PPI - No.2 Diesel'!$A$1:$B$602</definedName>
    <definedName name="ExternalData_1" localSheetId="4" hidden="1">'PPI - Petroleum'!$A$1:$B$588</definedName>
    <definedName name="ExternalData_2" localSheetId="8" hidden="1">Naphtha!$A$1:$E$173</definedName>
    <definedName name="_xlnm.Print_Area" localSheetId="0">Dashboard!$A$1:$R$28</definedName>
    <definedName name="results">Data!$C$1:$P$901</definedName>
  </definedNames>
  <calcPr calcId="191029"/>
  <pivotCaches>
    <pivotCache cacheId="32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3" l="1"/>
  <c r="B4" i="23"/>
  <c r="B6" i="23"/>
  <c r="D6" i="23" s="1"/>
  <c r="B8" i="23"/>
  <c r="D8" i="23" s="1"/>
  <c r="B10" i="23"/>
  <c r="D10" i="23" s="1"/>
  <c r="B12" i="23"/>
  <c r="B14" i="23"/>
  <c r="B16" i="23"/>
  <c r="B18" i="23"/>
  <c r="D18" i="23" s="1"/>
  <c r="B20" i="23"/>
  <c r="B22" i="23"/>
  <c r="D22" i="23" s="1"/>
  <c r="B24" i="23"/>
  <c r="D24" i="23" s="1"/>
  <c r="B26" i="23"/>
  <c r="B28" i="23"/>
  <c r="B30" i="23"/>
  <c r="B32" i="23"/>
  <c r="D32" i="23" s="1"/>
  <c r="B34" i="23"/>
  <c r="B36" i="23"/>
  <c r="D36" i="23" s="1"/>
  <c r="B38" i="23"/>
  <c r="D38" i="23" s="1"/>
  <c r="B40" i="23"/>
  <c r="D40" i="23" s="1"/>
  <c r="B42" i="23"/>
  <c r="D42" i="23" s="1"/>
  <c r="B44" i="23"/>
  <c r="D44" i="23" s="1"/>
  <c r="B46" i="23"/>
  <c r="D46" i="23" s="1"/>
  <c r="B48" i="23"/>
  <c r="D48" i="23" s="1"/>
  <c r="B50" i="23"/>
  <c r="B52" i="23"/>
  <c r="B54" i="23"/>
  <c r="B56" i="23"/>
  <c r="D56" i="23" s="1"/>
  <c r="B58" i="23"/>
  <c r="B60" i="23"/>
  <c r="D60" i="23" s="1"/>
  <c r="B62" i="23"/>
  <c r="D62" i="23" s="1"/>
  <c r="B64" i="23"/>
  <c r="D64" i="23" s="1"/>
  <c r="B66" i="23"/>
  <c r="D66" i="23" s="1"/>
  <c r="B68" i="23"/>
  <c r="D68" i="23" s="1"/>
  <c r="B70" i="23"/>
  <c r="D70" i="23" s="1"/>
  <c r="B72" i="23"/>
  <c r="D72" i="23" s="1"/>
  <c r="B74" i="23"/>
  <c r="B76" i="23"/>
  <c r="B78" i="23"/>
  <c r="B80" i="23"/>
  <c r="D80" i="23" s="1"/>
  <c r="B82" i="23"/>
  <c r="B84" i="23"/>
  <c r="B86" i="23"/>
  <c r="B88" i="23"/>
  <c r="B90" i="23"/>
  <c r="D90" i="23" s="1"/>
  <c r="B92" i="23"/>
  <c r="D92" i="23" s="1"/>
  <c r="B94" i="23"/>
  <c r="D94" i="23" s="1"/>
  <c r="B96" i="23"/>
  <c r="D96" i="23" s="1"/>
  <c r="B98" i="23"/>
  <c r="B100" i="23"/>
  <c r="B102" i="23"/>
  <c r="B104" i="23"/>
  <c r="D104" i="23" s="1"/>
  <c r="B3" i="23"/>
  <c r="B5" i="23"/>
  <c r="B7" i="23"/>
  <c r="B9" i="23"/>
  <c r="B11" i="23"/>
  <c r="B13" i="23"/>
  <c r="B15" i="23"/>
  <c r="D15" i="23" s="1"/>
  <c r="B17" i="23"/>
  <c r="D17" i="23" s="1"/>
  <c r="B19" i="23"/>
  <c r="B21" i="23"/>
  <c r="B23" i="23"/>
  <c r="B25" i="23"/>
  <c r="D25" i="23" s="1"/>
  <c r="B27" i="23"/>
  <c r="B29" i="23"/>
  <c r="D29" i="23" s="1"/>
  <c r="B31" i="23"/>
  <c r="D31" i="23" s="1"/>
  <c r="B33" i="23"/>
  <c r="D33" i="23" s="1"/>
  <c r="B35" i="23"/>
  <c r="D35" i="23" s="1"/>
  <c r="B37" i="23"/>
  <c r="D37" i="23" s="1"/>
  <c r="B39" i="23"/>
  <c r="D39" i="23" s="1"/>
  <c r="B41" i="23"/>
  <c r="D41" i="23" s="1"/>
  <c r="B43" i="23"/>
  <c r="B45" i="23"/>
  <c r="B47" i="23"/>
  <c r="B49" i="23"/>
  <c r="D49" i="23" s="1"/>
  <c r="B51" i="23"/>
  <c r="B53" i="23"/>
  <c r="D53" i="23" s="1"/>
  <c r="B55" i="23"/>
  <c r="D55" i="23" s="1"/>
  <c r="B57" i="23"/>
  <c r="D57" i="23" s="1"/>
  <c r="B59" i="23"/>
  <c r="D59" i="23" s="1"/>
  <c r="B61" i="23"/>
  <c r="D61" i="23" s="1"/>
  <c r="B63" i="23"/>
  <c r="D63" i="23" s="1"/>
  <c r="B65" i="23"/>
  <c r="D65" i="23" s="1"/>
  <c r="B67" i="23"/>
  <c r="B69" i="23"/>
  <c r="B71" i="23"/>
  <c r="B73" i="23"/>
  <c r="D73" i="23" s="1"/>
  <c r="B75" i="23"/>
  <c r="B77" i="23"/>
  <c r="B79" i="23"/>
  <c r="B81" i="23"/>
  <c r="B83" i="23"/>
  <c r="D83" i="23" s="1"/>
  <c r="B85" i="23"/>
  <c r="D85" i="23" s="1"/>
  <c r="B87" i="23"/>
  <c r="D87" i="23" s="1"/>
  <c r="B89" i="23"/>
  <c r="D89" i="23" s="1"/>
  <c r="B91" i="23"/>
  <c r="B93" i="23"/>
  <c r="B95" i="23"/>
  <c r="B97" i="23"/>
  <c r="D97" i="23" s="1"/>
  <c r="B99" i="23"/>
  <c r="B101" i="23"/>
  <c r="B103" i="23"/>
  <c r="B105" i="23"/>
  <c r="B158" i="23"/>
  <c r="B159" i="23"/>
  <c r="B160" i="23"/>
  <c r="D160" i="23" s="1"/>
  <c r="B161" i="23"/>
  <c r="D161" i="23" s="1"/>
  <c r="B162" i="23"/>
  <c r="B163" i="23"/>
  <c r="B164" i="23"/>
  <c r="B165" i="23"/>
  <c r="D165" i="23" s="1"/>
  <c r="B166" i="23"/>
  <c r="B167" i="23"/>
  <c r="D167" i="23" s="1"/>
  <c r="B168" i="23"/>
  <c r="D168" i="23" s="1"/>
  <c r="B169" i="23"/>
  <c r="D169" i="23" s="1"/>
  <c r="B170" i="23"/>
  <c r="D170" i="23" s="1"/>
  <c r="B171" i="23"/>
  <c r="D171" i="23" s="1"/>
  <c r="B172" i="23"/>
  <c r="D172" i="23" s="1"/>
  <c r="B173" i="23"/>
  <c r="D173" i="23" s="1"/>
  <c r="B106" i="23"/>
  <c r="B107" i="23"/>
  <c r="B108" i="23"/>
  <c r="B109" i="23"/>
  <c r="D109" i="23" s="1"/>
  <c r="B110" i="23"/>
  <c r="B111" i="23"/>
  <c r="D111" i="23" s="1"/>
  <c r="B112" i="23"/>
  <c r="D112" i="23" s="1"/>
  <c r="B113" i="23"/>
  <c r="D113" i="23" s="1"/>
  <c r="B114" i="23"/>
  <c r="D114" i="23" s="1"/>
  <c r="B115" i="23"/>
  <c r="D115" i="23" s="1"/>
  <c r="B116" i="23"/>
  <c r="D116" i="23" s="1"/>
  <c r="B117" i="23"/>
  <c r="D117" i="23" s="1"/>
  <c r="B118" i="23"/>
  <c r="D118" i="23" s="1"/>
  <c r="B119" i="23"/>
  <c r="B120" i="23"/>
  <c r="B121" i="23"/>
  <c r="D121" i="23" s="1"/>
  <c r="B122" i="23"/>
  <c r="B123" i="23"/>
  <c r="B124" i="23"/>
  <c r="D124" i="23" s="1"/>
  <c r="B125" i="23"/>
  <c r="B126" i="23"/>
  <c r="B127" i="23"/>
  <c r="B128" i="23"/>
  <c r="D128" i="23" s="1"/>
  <c r="B129" i="23"/>
  <c r="D129" i="23" s="1"/>
  <c r="B130" i="23"/>
  <c r="B131" i="23"/>
  <c r="B132" i="23"/>
  <c r="B133" i="23"/>
  <c r="D133" i="23" s="1"/>
  <c r="B134" i="23"/>
  <c r="B135" i="23"/>
  <c r="D135" i="23" s="1"/>
  <c r="B136" i="23"/>
  <c r="D136" i="23" s="1"/>
  <c r="B137" i="23"/>
  <c r="D137" i="23" s="1"/>
  <c r="B138" i="23"/>
  <c r="D138" i="23" s="1"/>
  <c r="B139" i="23"/>
  <c r="D139" i="23" s="1"/>
  <c r="B140" i="23"/>
  <c r="D140" i="23" s="1"/>
  <c r="B141" i="23"/>
  <c r="D141" i="23" s="1"/>
  <c r="B142" i="23"/>
  <c r="B143" i="23"/>
  <c r="B144" i="23"/>
  <c r="B145" i="23"/>
  <c r="D145" i="23" s="1"/>
  <c r="B146" i="23"/>
  <c r="B147" i="23"/>
  <c r="D147" i="23" s="1"/>
  <c r="B148" i="23"/>
  <c r="D148" i="23" s="1"/>
  <c r="B149" i="23"/>
  <c r="D149" i="23" s="1"/>
  <c r="B150" i="23"/>
  <c r="D150" i="23" s="1"/>
  <c r="B151" i="23"/>
  <c r="D151" i="23" s="1"/>
  <c r="B152" i="23"/>
  <c r="D152" i="23" s="1"/>
  <c r="B153" i="23"/>
  <c r="D153" i="23" s="1"/>
  <c r="B154" i="23"/>
  <c r="D154" i="23" s="1"/>
  <c r="B155" i="23"/>
  <c r="B156" i="23"/>
  <c r="B157" i="23"/>
  <c r="D157" i="23" s="1"/>
  <c r="D2" i="23"/>
  <c r="D4" i="23"/>
  <c r="D12" i="23"/>
  <c r="D14" i="23"/>
  <c r="D16" i="23"/>
  <c r="D20" i="23"/>
  <c r="D26" i="23"/>
  <c r="D28" i="23"/>
  <c r="D30" i="23"/>
  <c r="D34" i="23"/>
  <c r="D50" i="23"/>
  <c r="D52" i="23"/>
  <c r="D54" i="23"/>
  <c r="D58" i="23"/>
  <c r="D74" i="23"/>
  <c r="D76" i="23"/>
  <c r="D78" i="23"/>
  <c r="D82" i="23"/>
  <c r="D84" i="23"/>
  <c r="D86" i="23"/>
  <c r="D88" i="23"/>
  <c r="D98" i="23"/>
  <c r="D100" i="23"/>
  <c r="D102" i="23"/>
  <c r="D3" i="23"/>
  <c r="D5" i="23"/>
  <c r="D7" i="23"/>
  <c r="D9" i="23"/>
  <c r="D11" i="23"/>
  <c r="D13" i="23"/>
  <c r="D19" i="23"/>
  <c r="D21" i="23"/>
  <c r="D23" i="23"/>
  <c r="D27" i="23"/>
  <c r="D43" i="23"/>
  <c r="D45" i="23"/>
  <c r="D47" i="23"/>
  <c r="D51" i="23"/>
  <c r="D67" i="23"/>
  <c r="D69" i="23"/>
  <c r="D71" i="23"/>
  <c r="D75" i="23"/>
  <c r="D77" i="23"/>
  <c r="D79" i="23"/>
  <c r="D81" i="23"/>
  <c r="D91" i="23"/>
  <c r="D93" i="23"/>
  <c r="D95" i="23"/>
  <c r="D99" i="23"/>
  <c r="D101" i="23"/>
  <c r="D103" i="23"/>
  <c r="D105" i="23"/>
  <c r="D158" i="23"/>
  <c r="D159" i="23"/>
  <c r="D162" i="23"/>
  <c r="D163" i="23"/>
  <c r="D164" i="23"/>
  <c r="D166" i="23"/>
  <c r="D106" i="23"/>
  <c r="D107" i="23"/>
  <c r="D108" i="23"/>
  <c r="D110" i="23"/>
  <c r="D119" i="23"/>
  <c r="D120" i="23"/>
  <c r="D122" i="23"/>
  <c r="D123" i="23"/>
  <c r="D125" i="23"/>
  <c r="D126" i="23"/>
  <c r="D127" i="23"/>
  <c r="D130" i="23"/>
  <c r="D131" i="23"/>
  <c r="D132" i="23"/>
  <c r="D134" i="23"/>
  <c r="D142" i="23"/>
  <c r="D143" i="23"/>
  <c r="D144" i="23"/>
  <c r="D146" i="23"/>
  <c r="D155" i="23"/>
  <c r="D156" i="23"/>
  <c r="F2" i="23"/>
  <c r="F4" i="23"/>
  <c r="F6" i="23"/>
  <c r="F8" i="23"/>
  <c r="F10" i="23"/>
  <c r="F12" i="23"/>
  <c r="F14" i="23"/>
  <c r="F16" i="23"/>
  <c r="F18" i="23"/>
  <c r="F20" i="23"/>
  <c r="F22" i="23"/>
  <c r="F24" i="23"/>
  <c r="F26" i="23"/>
  <c r="F28" i="23"/>
  <c r="F30" i="23"/>
  <c r="F32" i="23"/>
  <c r="F34" i="23"/>
  <c r="F36" i="23"/>
  <c r="F38" i="23"/>
  <c r="F40" i="23"/>
  <c r="F42" i="23"/>
  <c r="F44" i="23"/>
  <c r="F46" i="23"/>
  <c r="F48" i="23"/>
  <c r="F50" i="23"/>
  <c r="F52" i="23"/>
  <c r="F54" i="23"/>
  <c r="F56" i="23"/>
  <c r="F58" i="23"/>
  <c r="F60" i="23"/>
  <c r="F62" i="23"/>
  <c r="F64" i="23"/>
  <c r="F66" i="23"/>
  <c r="F68" i="23"/>
  <c r="F70" i="23"/>
  <c r="F72" i="23"/>
  <c r="F74" i="23"/>
  <c r="F76" i="23"/>
  <c r="F78" i="23"/>
  <c r="F80" i="23"/>
  <c r="F82" i="23"/>
  <c r="F84" i="23"/>
  <c r="F86" i="23"/>
  <c r="F88" i="23"/>
  <c r="F90" i="23"/>
  <c r="F92" i="23"/>
  <c r="F94" i="23"/>
  <c r="F96" i="23"/>
  <c r="F98" i="23"/>
  <c r="F100" i="23"/>
  <c r="F102" i="23"/>
  <c r="F104" i="23"/>
  <c r="F3" i="23"/>
  <c r="F5" i="23"/>
  <c r="F7" i="23"/>
  <c r="F9" i="23"/>
  <c r="F11" i="23"/>
  <c r="F13" i="23"/>
  <c r="F15" i="23"/>
  <c r="F17" i="23"/>
  <c r="F19" i="23"/>
  <c r="F21" i="23"/>
  <c r="F23" i="23"/>
  <c r="F25" i="23"/>
  <c r="F27" i="23"/>
  <c r="F29" i="23"/>
  <c r="F31" i="23"/>
  <c r="F33" i="23"/>
  <c r="F35" i="23"/>
  <c r="F37" i="23"/>
  <c r="F39" i="23"/>
  <c r="F41" i="23"/>
  <c r="F43" i="23"/>
  <c r="F45" i="23"/>
  <c r="F47" i="23"/>
  <c r="F49" i="23"/>
  <c r="F51" i="23"/>
  <c r="F53" i="23"/>
  <c r="F55" i="23"/>
  <c r="F57" i="23"/>
  <c r="F59" i="23"/>
  <c r="F61" i="23"/>
  <c r="F63" i="23"/>
  <c r="F65" i="23"/>
  <c r="F67" i="23"/>
  <c r="F69" i="23"/>
  <c r="F71" i="23"/>
  <c r="F73" i="23"/>
  <c r="F75" i="23"/>
  <c r="F77" i="23"/>
  <c r="F79" i="23"/>
  <c r="F81" i="23"/>
  <c r="F83" i="23"/>
  <c r="F85" i="23"/>
  <c r="F87" i="23"/>
  <c r="F89" i="23"/>
  <c r="F91" i="23"/>
  <c r="F93" i="23"/>
  <c r="F95" i="23"/>
  <c r="F97" i="23"/>
  <c r="F99" i="23"/>
  <c r="F101" i="23"/>
  <c r="F103" i="23"/>
  <c r="F105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O434" i="12"/>
  <c r="O437" i="12"/>
  <c r="O440" i="12"/>
  <c r="J2" i="12"/>
  <c r="O57" i="12" l="1"/>
  <c r="O162" i="12"/>
  <c r="O224" i="12"/>
  <c r="O261" i="12"/>
  <c r="O306" i="12"/>
  <c r="O342" i="12"/>
  <c r="O378" i="12"/>
  <c r="O414" i="12"/>
  <c r="O476" i="12"/>
  <c r="O512" i="12"/>
  <c r="O548" i="12"/>
  <c r="O584" i="12"/>
  <c r="O620" i="12"/>
  <c r="O655" i="12"/>
  <c r="O680" i="12"/>
  <c r="O704" i="12"/>
  <c r="O728" i="12"/>
  <c r="O752" i="12"/>
  <c r="O776" i="12"/>
  <c r="O800" i="12"/>
  <c r="O824" i="12"/>
  <c r="O848" i="12"/>
  <c r="O872" i="12"/>
  <c r="O896" i="12"/>
  <c r="O91" i="12"/>
  <c r="O309" i="12"/>
  <c r="O417" i="12"/>
  <c r="O559" i="12"/>
  <c r="O664" i="12"/>
  <c r="O736" i="12"/>
  <c r="O808" i="12"/>
  <c r="O880" i="12"/>
  <c r="O676" i="12"/>
  <c r="O892" i="12"/>
  <c r="O332" i="12"/>
  <c r="O618" i="12"/>
  <c r="O822" i="12"/>
  <c r="O405" i="12"/>
  <c r="O703" i="12"/>
  <c r="O66" i="12"/>
  <c r="O163" i="12"/>
  <c r="O225" i="12"/>
  <c r="O270" i="12"/>
  <c r="O307" i="12"/>
  <c r="O343" i="12"/>
  <c r="O379" i="12"/>
  <c r="O415" i="12"/>
  <c r="O441" i="12"/>
  <c r="O477" i="12"/>
  <c r="O513" i="12"/>
  <c r="O549" i="12"/>
  <c r="O585" i="12"/>
  <c r="O621" i="12"/>
  <c r="O656" i="12"/>
  <c r="O681" i="12"/>
  <c r="O705" i="12"/>
  <c r="O729" i="12"/>
  <c r="O753" i="12"/>
  <c r="O777" i="12"/>
  <c r="O801" i="12"/>
  <c r="O825" i="12"/>
  <c r="O849" i="12"/>
  <c r="O873" i="12"/>
  <c r="O897" i="12"/>
  <c r="O165" i="12"/>
  <c r="O345" i="12"/>
  <c r="O451" i="12"/>
  <c r="O631" i="12"/>
  <c r="O760" i="12"/>
  <c r="O2" i="12"/>
  <c r="O844" i="12"/>
  <c r="O438" i="12"/>
  <c r="O678" i="12"/>
  <c r="O846" i="12"/>
  <c r="O333" i="12"/>
  <c r="O547" i="12"/>
  <c r="O799" i="12"/>
  <c r="O90" i="12"/>
  <c r="O164" i="12"/>
  <c r="O234" i="12"/>
  <c r="O271" i="12"/>
  <c r="O308" i="12"/>
  <c r="O344" i="12"/>
  <c r="O380" i="12"/>
  <c r="O416" i="12"/>
  <c r="O450" i="12"/>
  <c r="O486" i="12"/>
  <c r="O522" i="12"/>
  <c r="O558" i="12"/>
  <c r="O594" i="12"/>
  <c r="O630" i="12"/>
  <c r="O657" i="12"/>
  <c r="O682" i="12"/>
  <c r="O706" i="12"/>
  <c r="O730" i="12"/>
  <c r="O754" i="12"/>
  <c r="O778" i="12"/>
  <c r="O802" i="12"/>
  <c r="O826" i="12"/>
  <c r="O850" i="12"/>
  <c r="O874" i="12"/>
  <c r="O898" i="12"/>
  <c r="O272" i="12"/>
  <c r="O381" i="12"/>
  <c r="O487" i="12"/>
  <c r="O595" i="12"/>
  <c r="O688" i="12"/>
  <c r="O784" i="12"/>
  <c r="O856" i="12"/>
  <c r="O700" i="12"/>
  <c r="O868" i="12"/>
  <c r="O368" i="12"/>
  <c r="O582" i="12"/>
  <c r="O798" i="12"/>
  <c r="O260" i="12"/>
  <c r="O583" i="12"/>
  <c r="O895" i="12"/>
  <c r="O235" i="12"/>
  <c r="O523" i="12"/>
  <c r="O712" i="12"/>
  <c r="O832" i="12"/>
  <c r="O796" i="12"/>
  <c r="O259" i="12"/>
  <c r="O546" i="12"/>
  <c r="O774" i="12"/>
  <c r="O138" i="12"/>
  <c r="O475" i="12"/>
  <c r="O751" i="12"/>
  <c r="O18" i="12"/>
  <c r="O92" i="12"/>
  <c r="O174" i="12"/>
  <c r="O236" i="12"/>
  <c r="O273" i="12"/>
  <c r="O318" i="12"/>
  <c r="O354" i="12"/>
  <c r="O390" i="12"/>
  <c r="O426" i="12"/>
  <c r="O452" i="12"/>
  <c r="O488" i="12"/>
  <c r="O524" i="12"/>
  <c r="O560" i="12"/>
  <c r="O596" i="12"/>
  <c r="O632" i="12"/>
  <c r="O666" i="12"/>
  <c r="O690" i="12"/>
  <c r="O714" i="12"/>
  <c r="O738" i="12"/>
  <c r="O762" i="12"/>
  <c r="O786" i="12"/>
  <c r="O810" i="12"/>
  <c r="O834" i="12"/>
  <c r="O858" i="12"/>
  <c r="O882" i="12"/>
  <c r="O54" i="12"/>
  <c r="O403" i="12"/>
  <c r="O645" i="12"/>
  <c r="O129" i="12"/>
  <c r="O510" i="12"/>
  <c r="O750" i="12"/>
  <c r="O56" i="12"/>
  <c r="O439" i="12"/>
  <c r="O775" i="12"/>
  <c r="O19" i="12"/>
  <c r="O93" i="12"/>
  <c r="O198" i="12"/>
  <c r="O237" i="12"/>
  <c r="O282" i="12"/>
  <c r="O319" i="12"/>
  <c r="O355" i="12"/>
  <c r="O391" i="12"/>
  <c r="O427" i="12"/>
  <c r="O453" i="12"/>
  <c r="O489" i="12"/>
  <c r="O525" i="12"/>
  <c r="O561" i="12"/>
  <c r="O597" i="12"/>
  <c r="O633" i="12"/>
  <c r="O667" i="12"/>
  <c r="O691" i="12"/>
  <c r="O715" i="12"/>
  <c r="O739" i="12"/>
  <c r="O763" i="12"/>
  <c r="O787" i="12"/>
  <c r="O811" i="12"/>
  <c r="O835" i="12"/>
  <c r="O859" i="12"/>
  <c r="O883" i="12"/>
  <c r="O534" i="12"/>
  <c r="O606" i="12"/>
  <c r="O668" i="12"/>
  <c r="O716" i="12"/>
  <c r="O740" i="12"/>
  <c r="O788" i="12"/>
  <c r="O812" i="12"/>
  <c r="O860" i="12"/>
  <c r="O884" i="12"/>
  <c r="O258" i="12"/>
  <c r="O772" i="12"/>
  <c r="O213" i="12"/>
  <c r="O474" i="12"/>
  <c r="O726" i="12"/>
  <c r="O870" i="12"/>
  <c r="O369" i="12"/>
  <c r="O619" i="12"/>
  <c r="O823" i="12"/>
  <c r="O20" i="12"/>
  <c r="O102" i="12"/>
  <c r="O199" i="12"/>
  <c r="O246" i="12"/>
  <c r="O283" i="12"/>
  <c r="O320" i="12"/>
  <c r="O356" i="12"/>
  <c r="O392" i="12"/>
  <c r="O428" i="12"/>
  <c r="O462" i="12"/>
  <c r="O498" i="12"/>
  <c r="O570" i="12"/>
  <c r="O642" i="12"/>
  <c r="O692" i="12"/>
  <c r="O764" i="12"/>
  <c r="O836" i="12"/>
  <c r="O128" i="12"/>
  <c r="O367" i="12"/>
  <c r="O537" i="12"/>
  <c r="O724" i="12"/>
  <c r="O55" i="12"/>
  <c r="O652" i="12"/>
  <c r="O894" i="12"/>
  <c r="O297" i="12"/>
  <c r="O654" i="12"/>
  <c r="O847" i="12"/>
  <c r="O21" i="12"/>
  <c r="O126" i="12"/>
  <c r="O200" i="12"/>
  <c r="O247" i="12"/>
  <c r="O285" i="12"/>
  <c r="O321" i="12"/>
  <c r="O357" i="12"/>
  <c r="O393" i="12"/>
  <c r="O429" i="12"/>
  <c r="O463" i="12"/>
  <c r="O499" i="12"/>
  <c r="O535" i="12"/>
  <c r="O571" i="12"/>
  <c r="O607" i="12"/>
  <c r="O643" i="12"/>
  <c r="O669" i="12"/>
  <c r="O693" i="12"/>
  <c r="O717" i="12"/>
  <c r="O741" i="12"/>
  <c r="O765" i="12"/>
  <c r="O789" i="12"/>
  <c r="O813" i="12"/>
  <c r="O837" i="12"/>
  <c r="O861" i="12"/>
  <c r="O885" i="12"/>
  <c r="O210" i="12"/>
  <c r="O331" i="12"/>
  <c r="O501" i="12"/>
  <c r="O609" i="12"/>
  <c r="O820" i="12"/>
  <c r="O404" i="12"/>
  <c r="O702" i="12"/>
  <c r="O223" i="12"/>
  <c r="O511" i="12"/>
  <c r="O679" i="12"/>
  <c r="O30" i="12"/>
  <c r="O127" i="12"/>
  <c r="O201" i="12"/>
  <c r="O249" i="12"/>
  <c r="O294" i="12"/>
  <c r="O330" i="12"/>
  <c r="O366" i="12"/>
  <c r="O402" i="12"/>
  <c r="O464" i="12"/>
  <c r="O500" i="12"/>
  <c r="O536" i="12"/>
  <c r="O572" i="12"/>
  <c r="O608" i="12"/>
  <c r="O644" i="12"/>
  <c r="O670" i="12"/>
  <c r="O694" i="12"/>
  <c r="O718" i="12"/>
  <c r="O742" i="12"/>
  <c r="O766" i="12"/>
  <c r="O790" i="12"/>
  <c r="O814" i="12"/>
  <c r="O838" i="12"/>
  <c r="O862" i="12"/>
  <c r="O886" i="12"/>
  <c r="O295" i="12"/>
  <c r="O465" i="12"/>
  <c r="O573" i="12"/>
  <c r="O748" i="12"/>
  <c r="O727" i="12"/>
  <c r="O871" i="12"/>
  <c r="O296" i="12"/>
  <c r="O211" i="12"/>
  <c r="O67" i="12"/>
  <c r="O187" i="12"/>
  <c r="O150" i="12"/>
  <c r="O140" i="12"/>
  <c r="O31" i="12"/>
  <c r="O284" i="12"/>
  <c r="O152" i="12"/>
  <c r="O248" i="12"/>
  <c r="O116" i="12"/>
  <c r="O212" i="12"/>
  <c r="O139" i="12"/>
  <c r="O176" i="12"/>
  <c r="O32" i="12"/>
  <c r="O175" i="12"/>
  <c r="O153" i="12"/>
  <c r="O103" i="12"/>
  <c r="O189" i="12"/>
  <c r="O104" i="12"/>
  <c r="O117" i="12"/>
  <c r="O81" i="12"/>
  <c r="O45" i="12"/>
  <c r="O8" i="12"/>
  <c r="O188" i="12"/>
  <c r="O80" i="12"/>
  <c r="O44" i="12"/>
  <c r="O7" i="12"/>
  <c r="O151" i="12"/>
  <c r="O115" i="12"/>
  <c r="O79" i="12"/>
  <c r="O43" i="12"/>
  <c r="O6" i="12"/>
  <c r="O222" i="12"/>
  <c r="O186" i="12"/>
  <c r="O114" i="12"/>
  <c r="O78" i="12"/>
  <c r="O42" i="12"/>
  <c r="O177" i="12"/>
  <c r="O141" i="12"/>
  <c r="O105" i="12"/>
  <c r="O69" i="12"/>
  <c r="O33" i="12"/>
  <c r="O9" i="12"/>
  <c r="O10" i="12"/>
  <c r="O22" i="12"/>
  <c r="O34" i="12"/>
  <c r="O46" i="12"/>
  <c r="O58" i="12"/>
  <c r="O70" i="12"/>
  <c r="O82" i="12"/>
  <c r="O94" i="12"/>
  <c r="O106" i="12"/>
  <c r="O118" i="12"/>
  <c r="O130" i="12"/>
  <c r="O142" i="12"/>
  <c r="O154" i="12"/>
  <c r="O166" i="12"/>
  <c r="O178" i="12"/>
  <c r="O190" i="12"/>
  <c r="O202" i="12"/>
  <c r="O214" i="12"/>
  <c r="O226" i="12"/>
  <c r="O238" i="12"/>
  <c r="O250" i="12"/>
  <c r="O262" i="12"/>
  <c r="O274" i="12"/>
  <c r="O286" i="12"/>
  <c r="O298" i="12"/>
  <c r="O310" i="12"/>
  <c r="O322" i="12"/>
  <c r="O334" i="12"/>
  <c r="O346" i="12"/>
  <c r="O358" i="12"/>
  <c r="O370" i="12"/>
  <c r="O382" i="12"/>
  <c r="O394" i="12"/>
  <c r="O406" i="12"/>
  <c r="O418" i="12"/>
  <c r="O430" i="12"/>
  <c r="O442" i="12"/>
  <c r="O454" i="12"/>
  <c r="O466" i="12"/>
  <c r="O478" i="12"/>
  <c r="O490" i="12"/>
  <c r="O502" i="12"/>
  <c r="O514" i="12"/>
  <c r="O526" i="12"/>
  <c r="O538" i="12"/>
  <c r="O550" i="12"/>
  <c r="O562" i="12"/>
  <c r="O574" i="12"/>
  <c r="O586" i="12"/>
  <c r="O598" i="12"/>
  <c r="O610" i="12"/>
  <c r="O622" i="12"/>
  <c r="O634" i="12"/>
  <c r="O646" i="12"/>
  <c r="O658" i="12"/>
  <c r="O11" i="12"/>
  <c r="O23" i="12"/>
  <c r="O35" i="12"/>
  <c r="O47" i="12"/>
  <c r="O59" i="12"/>
  <c r="O71" i="12"/>
  <c r="O83" i="12"/>
  <c r="O95" i="12"/>
  <c r="O107" i="12"/>
  <c r="O119" i="12"/>
  <c r="O131" i="12"/>
  <c r="O143" i="12"/>
  <c r="O155" i="12"/>
  <c r="O167" i="12"/>
  <c r="O179" i="12"/>
  <c r="O191" i="12"/>
  <c r="O203" i="12"/>
  <c r="O215" i="12"/>
  <c r="O227" i="12"/>
  <c r="O239" i="12"/>
  <c r="O251" i="12"/>
  <c r="O263" i="12"/>
  <c r="O275" i="12"/>
  <c r="O287" i="12"/>
  <c r="O299" i="12"/>
  <c r="O311" i="12"/>
  <c r="O323" i="12"/>
  <c r="O335" i="12"/>
  <c r="O347" i="12"/>
  <c r="O359" i="12"/>
  <c r="O371" i="12"/>
  <c r="O383" i="12"/>
  <c r="O395" i="12"/>
  <c r="O407" i="12"/>
  <c r="O419" i="12"/>
  <c r="O431" i="12"/>
  <c r="O443" i="12"/>
  <c r="O455" i="12"/>
  <c r="O467" i="12"/>
  <c r="O479" i="12"/>
  <c r="O491" i="12"/>
  <c r="O503" i="12"/>
  <c r="O515" i="12"/>
  <c r="O527" i="12"/>
  <c r="O539" i="12"/>
  <c r="O551" i="12"/>
  <c r="O563" i="12"/>
  <c r="O575" i="12"/>
  <c r="O587" i="12"/>
  <c r="O599" i="12"/>
  <c r="O611" i="12"/>
  <c r="O623" i="12"/>
  <c r="O635" i="12"/>
  <c r="O647" i="12"/>
  <c r="O659" i="12"/>
  <c r="O671" i="12"/>
  <c r="O683" i="12"/>
  <c r="O695" i="12"/>
  <c r="O707" i="12"/>
  <c r="O719" i="12"/>
  <c r="O731" i="12"/>
  <c r="O743" i="12"/>
  <c r="O755" i="12"/>
  <c r="O767" i="12"/>
  <c r="O779" i="12"/>
  <c r="O791" i="12"/>
  <c r="O803" i="12"/>
  <c r="O815" i="12"/>
  <c r="O827" i="12"/>
  <c r="O839" i="12"/>
  <c r="O851" i="12"/>
  <c r="O863" i="12"/>
  <c r="O875" i="12"/>
  <c r="O887" i="12"/>
  <c r="O899" i="12"/>
  <c r="O733" i="12"/>
  <c r="O757" i="12"/>
  <c r="O793" i="12"/>
  <c r="O817" i="12"/>
  <c r="O829" i="12"/>
  <c r="O865" i="12"/>
  <c r="O889" i="12"/>
  <c r="O794" i="12"/>
  <c r="O830" i="12"/>
  <c r="O854" i="12"/>
  <c r="O12" i="12"/>
  <c r="O24" i="12"/>
  <c r="O36" i="12"/>
  <c r="O48" i="12"/>
  <c r="O60" i="12"/>
  <c r="O72" i="12"/>
  <c r="O84" i="12"/>
  <c r="O96" i="12"/>
  <c r="O108" i="12"/>
  <c r="O120" i="12"/>
  <c r="O132" i="12"/>
  <c r="O144" i="12"/>
  <c r="O156" i="12"/>
  <c r="O168" i="12"/>
  <c r="O180" i="12"/>
  <c r="O192" i="12"/>
  <c r="O204" i="12"/>
  <c r="O216" i="12"/>
  <c r="O228" i="12"/>
  <c r="O240" i="12"/>
  <c r="O252" i="12"/>
  <c r="O264" i="12"/>
  <c r="O276" i="12"/>
  <c r="O288" i="12"/>
  <c r="O300" i="12"/>
  <c r="O312" i="12"/>
  <c r="O324" i="12"/>
  <c r="O336" i="12"/>
  <c r="O348" i="12"/>
  <c r="O360" i="12"/>
  <c r="O372" i="12"/>
  <c r="O384" i="12"/>
  <c r="O396" i="12"/>
  <c r="O408" i="12"/>
  <c r="O420" i="12"/>
  <c r="O432" i="12"/>
  <c r="O444" i="12"/>
  <c r="O456" i="12"/>
  <c r="O468" i="12"/>
  <c r="O480" i="12"/>
  <c r="O492" i="12"/>
  <c r="O504" i="12"/>
  <c r="O516" i="12"/>
  <c r="O528" i="12"/>
  <c r="O540" i="12"/>
  <c r="O552" i="12"/>
  <c r="O564" i="12"/>
  <c r="O576" i="12"/>
  <c r="O588" i="12"/>
  <c r="O600" i="12"/>
  <c r="O612" i="12"/>
  <c r="O624" i="12"/>
  <c r="O636" i="12"/>
  <c r="O648" i="12"/>
  <c r="O660" i="12"/>
  <c r="O672" i="12"/>
  <c r="O684" i="12"/>
  <c r="O696" i="12"/>
  <c r="O708" i="12"/>
  <c r="O720" i="12"/>
  <c r="O732" i="12"/>
  <c r="O744" i="12"/>
  <c r="O756" i="12"/>
  <c r="O768" i="12"/>
  <c r="O780" i="12"/>
  <c r="O792" i="12"/>
  <c r="O804" i="12"/>
  <c r="O816" i="12"/>
  <c r="O828" i="12"/>
  <c r="O840" i="12"/>
  <c r="O852" i="12"/>
  <c r="O864" i="12"/>
  <c r="O876" i="12"/>
  <c r="O888" i="12"/>
  <c r="O900" i="12"/>
  <c r="O745" i="12"/>
  <c r="O781" i="12"/>
  <c r="O805" i="12"/>
  <c r="O841" i="12"/>
  <c r="O877" i="12"/>
  <c r="O901" i="12"/>
  <c r="O818" i="12"/>
  <c r="O842" i="12"/>
  <c r="O890" i="12"/>
  <c r="O13" i="12"/>
  <c r="O25" i="12"/>
  <c r="O37" i="12"/>
  <c r="O49" i="12"/>
  <c r="O61" i="12"/>
  <c r="O73" i="12"/>
  <c r="O85" i="12"/>
  <c r="O97" i="12"/>
  <c r="O109" i="12"/>
  <c r="O121" i="12"/>
  <c r="O133" i="12"/>
  <c r="O145" i="12"/>
  <c r="O157" i="12"/>
  <c r="O169" i="12"/>
  <c r="O181" i="12"/>
  <c r="O193" i="12"/>
  <c r="O205" i="12"/>
  <c r="O217" i="12"/>
  <c r="O229" i="12"/>
  <c r="O241" i="12"/>
  <c r="O253" i="12"/>
  <c r="O265" i="12"/>
  <c r="O277" i="12"/>
  <c r="O289" i="12"/>
  <c r="O301" i="12"/>
  <c r="O313" i="12"/>
  <c r="O325" i="12"/>
  <c r="O337" i="12"/>
  <c r="O349" i="12"/>
  <c r="O361" i="12"/>
  <c r="O373" i="12"/>
  <c r="O385" i="12"/>
  <c r="O397" i="12"/>
  <c r="O409" i="12"/>
  <c r="O421" i="12"/>
  <c r="O433" i="12"/>
  <c r="O445" i="12"/>
  <c r="O457" i="12"/>
  <c r="O469" i="12"/>
  <c r="O481" i="12"/>
  <c r="O493" i="12"/>
  <c r="O505" i="12"/>
  <c r="O517" i="12"/>
  <c r="O529" i="12"/>
  <c r="O541" i="12"/>
  <c r="O553" i="12"/>
  <c r="O565" i="12"/>
  <c r="O577" i="12"/>
  <c r="O589" i="12"/>
  <c r="O601" i="12"/>
  <c r="O613" i="12"/>
  <c r="O625" i="12"/>
  <c r="O637" i="12"/>
  <c r="O649" i="12"/>
  <c r="O661" i="12"/>
  <c r="O673" i="12"/>
  <c r="O685" i="12"/>
  <c r="O697" i="12"/>
  <c r="O709" i="12"/>
  <c r="O721" i="12"/>
  <c r="O769" i="12"/>
  <c r="O853" i="12"/>
  <c r="O878" i="12"/>
  <c r="O14" i="12"/>
  <c r="O26" i="12"/>
  <c r="O38" i="12"/>
  <c r="O50" i="12"/>
  <c r="O62" i="12"/>
  <c r="O74" i="12"/>
  <c r="O86" i="12"/>
  <c r="O98" i="12"/>
  <c r="O110" i="12"/>
  <c r="O122" i="12"/>
  <c r="O134" i="12"/>
  <c r="O146" i="12"/>
  <c r="O158" i="12"/>
  <c r="O170" i="12"/>
  <c r="O182" i="12"/>
  <c r="O194" i="12"/>
  <c r="O206" i="12"/>
  <c r="O218" i="12"/>
  <c r="O230" i="12"/>
  <c r="O242" i="12"/>
  <c r="O254" i="12"/>
  <c r="O266" i="12"/>
  <c r="O278" i="12"/>
  <c r="O290" i="12"/>
  <c r="O302" i="12"/>
  <c r="O314" i="12"/>
  <c r="O326" i="12"/>
  <c r="O338" i="12"/>
  <c r="O350" i="12"/>
  <c r="O362" i="12"/>
  <c r="O374" i="12"/>
  <c r="O386" i="12"/>
  <c r="O398" i="12"/>
  <c r="O410" i="12"/>
  <c r="O422" i="12"/>
  <c r="O446" i="12"/>
  <c r="O458" i="12"/>
  <c r="O470" i="12"/>
  <c r="O482" i="12"/>
  <c r="O494" i="12"/>
  <c r="O506" i="12"/>
  <c r="O518" i="12"/>
  <c r="O530" i="12"/>
  <c r="O542" i="12"/>
  <c r="O554" i="12"/>
  <c r="O566" i="12"/>
  <c r="O578" i="12"/>
  <c r="O590" i="12"/>
  <c r="O602" i="12"/>
  <c r="O614" i="12"/>
  <c r="O626" i="12"/>
  <c r="O638" i="12"/>
  <c r="O650" i="12"/>
  <c r="O662" i="12"/>
  <c r="O674" i="12"/>
  <c r="O686" i="12"/>
  <c r="O698" i="12"/>
  <c r="O710" i="12"/>
  <c r="O722" i="12"/>
  <c r="O734" i="12"/>
  <c r="O746" i="12"/>
  <c r="O758" i="12"/>
  <c r="O770" i="12"/>
  <c r="O782" i="12"/>
  <c r="O806" i="12"/>
  <c r="O866" i="12"/>
  <c r="O3" i="12"/>
  <c r="O15" i="12"/>
  <c r="O27" i="12"/>
  <c r="O39" i="12"/>
  <c r="O51" i="12"/>
  <c r="O63" i="12"/>
  <c r="O75" i="12"/>
  <c r="O87" i="12"/>
  <c r="O99" i="12"/>
  <c r="O111" i="12"/>
  <c r="O123" i="12"/>
  <c r="O135" i="12"/>
  <c r="O147" i="12"/>
  <c r="O159" i="12"/>
  <c r="O171" i="12"/>
  <c r="O183" i="12"/>
  <c r="O195" i="12"/>
  <c r="O207" i="12"/>
  <c r="O219" i="12"/>
  <c r="O231" i="12"/>
  <c r="O243" i="12"/>
  <c r="O255" i="12"/>
  <c r="O267" i="12"/>
  <c r="O279" i="12"/>
  <c r="O291" i="12"/>
  <c r="O303" i="12"/>
  <c r="O315" i="12"/>
  <c r="O327" i="12"/>
  <c r="O339" i="12"/>
  <c r="O351" i="12"/>
  <c r="O363" i="12"/>
  <c r="O375" i="12"/>
  <c r="O387" i="12"/>
  <c r="O399" i="12"/>
  <c r="O411" i="12"/>
  <c r="O423" i="12"/>
  <c r="O435" i="12"/>
  <c r="O447" i="12"/>
  <c r="O459" i="12"/>
  <c r="O471" i="12"/>
  <c r="O483" i="12"/>
  <c r="O495" i="12"/>
  <c r="O507" i="12"/>
  <c r="O519" i="12"/>
  <c r="O531" i="12"/>
  <c r="O543" i="12"/>
  <c r="O555" i="12"/>
  <c r="O567" i="12"/>
  <c r="O579" i="12"/>
  <c r="O591" i="12"/>
  <c r="O603" i="12"/>
  <c r="O615" i="12"/>
  <c r="O627" i="12"/>
  <c r="O639" i="12"/>
  <c r="O651" i="12"/>
  <c r="O663" i="12"/>
  <c r="O675" i="12"/>
  <c r="O687" i="12"/>
  <c r="O699" i="12"/>
  <c r="O711" i="12"/>
  <c r="O723" i="12"/>
  <c r="O735" i="12"/>
  <c r="O747" i="12"/>
  <c r="O759" i="12"/>
  <c r="O771" i="12"/>
  <c r="O783" i="12"/>
  <c r="O795" i="12"/>
  <c r="O807" i="12"/>
  <c r="O819" i="12"/>
  <c r="O831" i="12"/>
  <c r="O843" i="12"/>
  <c r="O855" i="12"/>
  <c r="O867" i="12"/>
  <c r="O879" i="12"/>
  <c r="O891" i="12"/>
  <c r="O448" i="12"/>
  <c r="O520" i="12"/>
  <c r="O544" i="12"/>
  <c r="O568" i="12"/>
  <c r="O592" i="12"/>
  <c r="O616" i="12"/>
  <c r="O640" i="12"/>
  <c r="O4" i="12"/>
  <c r="O16" i="12"/>
  <c r="O28" i="12"/>
  <c r="O40" i="12"/>
  <c r="O52" i="12"/>
  <c r="O64" i="12"/>
  <c r="O76" i="12"/>
  <c r="O88" i="12"/>
  <c r="O100" i="12"/>
  <c r="O112" i="12"/>
  <c r="O124" i="12"/>
  <c r="O136" i="12"/>
  <c r="O148" i="12"/>
  <c r="O160" i="12"/>
  <c r="O172" i="12"/>
  <c r="O184" i="12"/>
  <c r="O196" i="12"/>
  <c r="O208" i="12"/>
  <c r="O220" i="12"/>
  <c r="O232" i="12"/>
  <c r="O244" i="12"/>
  <c r="O256" i="12"/>
  <c r="O268" i="12"/>
  <c r="O280" i="12"/>
  <c r="O292" i="12"/>
  <c r="O304" i="12"/>
  <c r="O316" i="12"/>
  <c r="O328" i="12"/>
  <c r="O340" i="12"/>
  <c r="O352" i="12"/>
  <c r="O364" i="12"/>
  <c r="O376" i="12"/>
  <c r="O388" i="12"/>
  <c r="O400" i="12"/>
  <c r="O412" i="12"/>
  <c r="O424" i="12"/>
  <c r="O436" i="12"/>
  <c r="O460" i="12"/>
  <c r="O472" i="12"/>
  <c r="O484" i="12"/>
  <c r="O496" i="12"/>
  <c r="O508" i="12"/>
  <c r="O532" i="12"/>
  <c r="O556" i="12"/>
  <c r="O580" i="12"/>
  <c r="O604" i="12"/>
  <c r="O628" i="12"/>
  <c r="O5" i="12"/>
  <c r="O17" i="12"/>
  <c r="O29" i="12"/>
  <c r="O41" i="12"/>
  <c r="O53" i="12"/>
  <c r="O65" i="12"/>
  <c r="O77" i="12"/>
  <c r="O89" i="12"/>
  <c r="O101" i="12"/>
  <c r="O113" i="12"/>
  <c r="O125" i="12"/>
  <c r="O137" i="12"/>
  <c r="O149" i="12"/>
  <c r="O161" i="12"/>
  <c r="O173" i="12"/>
  <c r="O185" i="12"/>
  <c r="O197" i="12"/>
  <c r="O209" i="12"/>
  <c r="O221" i="12"/>
  <c r="O233" i="12"/>
  <c r="O245" i="12"/>
  <c r="O257" i="12"/>
  <c r="O269" i="12"/>
  <c r="O281" i="12"/>
  <c r="O293" i="12"/>
  <c r="O305" i="12"/>
  <c r="O317" i="12"/>
  <c r="O329" i="12"/>
  <c r="O341" i="12"/>
  <c r="O353" i="12"/>
  <c r="O365" i="12"/>
  <c r="O377" i="12"/>
  <c r="O389" i="12"/>
  <c r="O401" i="12"/>
  <c r="O413" i="12"/>
  <c r="O425" i="12"/>
  <c r="O449" i="12"/>
  <c r="O461" i="12"/>
  <c r="O473" i="12"/>
  <c r="O485" i="12"/>
  <c r="O497" i="12"/>
  <c r="O509" i="12"/>
  <c r="O521" i="12"/>
  <c r="O533" i="12"/>
  <c r="O545" i="12"/>
  <c r="O557" i="12"/>
  <c r="O569" i="12"/>
  <c r="O581" i="12"/>
  <c r="O593" i="12"/>
  <c r="O605" i="12"/>
  <c r="O617" i="12"/>
  <c r="O629" i="12"/>
  <c r="O641" i="12"/>
  <c r="O653" i="12"/>
  <c r="O665" i="12"/>
  <c r="O677" i="12"/>
  <c r="O689" i="12"/>
  <c r="O701" i="12"/>
  <c r="O713" i="12"/>
  <c r="O725" i="12"/>
  <c r="O737" i="12"/>
  <c r="O749" i="12"/>
  <c r="O761" i="12"/>
  <c r="O773" i="12"/>
  <c r="O785" i="12"/>
  <c r="O797" i="12"/>
  <c r="O809" i="12"/>
  <c r="O821" i="12"/>
  <c r="O833" i="12"/>
  <c r="O845" i="12"/>
  <c r="O857" i="12"/>
  <c r="O869" i="12"/>
  <c r="O881" i="12"/>
  <c r="O893" i="12"/>
  <c r="O68" i="12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2" i="12" l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L2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218" i="12"/>
  <c r="L219" i="12"/>
  <c r="L220" i="12"/>
  <c r="L221" i="12"/>
  <c r="L222" i="12"/>
  <c r="L223" i="12"/>
  <c r="L224" i="12"/>
  <c r="L225" i="12"/>
  <c r="L226" i="12"/>
  <c r="L227" i="12"/>
  <c r="L228" i="12"/>
  <c r="L229" i="12"/>
  <c r="L230" i="12"/>
  <c r="L231" i="12"/>
  <c r="L232" i="12"/>
  <c r="L233" i="12"/>
  <c r="L234" i="12"/>
  <c r="L235" i="12"/>
  <c r="L236" i="12"/>
  <c r="L237" i="12"/>
  <c r="L238" i="12"/>
  <c r="L239" i="12"/>
  <c r="L240" i="12"/>
  <c r="L241" i="12"/>
  <c r="L242" i="12"/>
  <c r="L243" i="12"/>
  <c r="L244" i="12"/>
  <c r="L245" i="12"/>
  <c r="L246" i="12"/>
  <c r="L247" i="12"/>
  <c r="L248" i="12"/>
  <c r="L249" i="12"/>
  <c r="L250" i="12"/>
  <c r="L251" i="12"/>
  <c r="L252" i="12"/>
  <c r="L253" i="12"/>
  <c r="L254" i="12"/>
  <c r="L255" i="12"/>
  <c r="L256" i="12"/>
  <c r="L257" i="12"/>
  <c r="L258" i="12"/>
  <c r="L259" i="12"/>
  <c r="L260" i="12"/>
  <c r="L261" i="12"/>
  <c r="L262" i="12"/>
  <c r="L263" i="12"/>
  <c r="L264" i="12"/>
  <c r="L265" i="12"/>
  <c r="L266" i="12"/>
  <c r="L267" i="12"/>
  <c r="L268" i="12"/>
  <c r="L269" i="12"/>
  <c r="L270" i="12"/>
  <c r="L271" i="12"/>
  <c r="L272" i="12"/>
  <c r="L273" i="12"/>
  <c r="L274" i="12"/>
  <c r="L275" i="12"/>
  <c r="L276" i="12"/>
  <c r="L277" i="12"/>
  <c r="L278" i="12"/>
  <c r="L279" i="12"/>
  <c r="L280" i="12"/>
  <c r="L281" i="12"/>
  <c r="L282" i="12"/>
  <c r="L283" i="12"/>
  <c r="L284" i="12"/>
  <c r="L285" i="12"/>
  <c r="L286" i="12"/>
  <c r="L287" i="12"/>
  <c r="L288" i="12"/>
  <c r="L289" i="12"/>
  <c r="L290" i="12"/>
  <c r="L291" i="12"/>
  <c r="L292" i="12"/>
  <c r="L293" i="12"/>
  <c r="L294" i="12"/>
  <c r="L295" i="12"/>
  <c r="L296" i="12"/>
  <c r="L297" i="12"/>
  <c r="L298" i="12"/>
  <c r="L299" i="12"/>
  <c r="L300" i="12"/>
  <c r="L301" i="12"/>
  <c r="L302" i="12"/>
  <c r="L303" i="12"/>
  <c r="L304" i="12"/>
  <c r="L305" i="12"/>
  <c r="L306" i="12"/>
  <c r="L307" i="12"/>
  <c r="L308" i="12"/>
  <c r="L309" i="12"/>
  <c r="L310" i="12"/>
  <c r="L311" i="12"/>
  <c r="L312" i="12"/>
  <c r="L313" i="12"/>
  <c r="L314" i="12"/>
  <c r="L315" i="12"/>
  <c r="L316" i="12"/>
  <c r="L317" i="12"/>
  <c r="L318" i="12"/>
  <c r="L319" i="12"/>
  <c r="L320" i="12"/>
  <c r="L321" i="12"/>
  <c r="L322" i="12"/>
  <c r="L323" i="12"/>
  <c r="L324" i="12"/>
  <c r="L325" i="12"/>
  <c r="L326" i="12"/>
  <c r="L327" i="12"/>
  <c r="L328" i="12"/>
  <c r="L329" i="12"/>
  <c r="L330" i="12"/>
  <c r="L331" i="12"/>
  <c r="L332" i="12"/>
  <c r="L333" i="12"/>
  <c r="L334" i="12"/>
  <c r="L335" i="12"/>
  <c r="L336" i="12"/>
  <c r="L337" i="12"/>
  <c r="L338" i="12"/>
  <c r="L339" i="12"/>
  <c r="L340" i="12"/>
  <c r="L341" i="12"/>
  <c r="L342" i="12"/>
  <c r="L343" i="12"/>
  <c r="L344" i="12"/>
  <c r="L345" i="12"/>
  <c r="L346" i="12"/>
  <c r="L347" i="12"/>
  <c r="L348" i="12"/>
  <c r="L349" i="12"/>
  <c r="L350" i="12"/>
  <c r="L351" i="12"/>
  <c r="L352" i="12"/>
  <c r="L353" i="12"/>
  <c r="L354" i="12"/>
  <c r="L355" i="12"/>
  <c r="L356" i="12"/>
  <c r="L357" i="12"/>
  <c r="L358" i="12"/>
  <c r="L359" i="12"/>
  <c r="L360" i="12"/>
  <c r="L361" i="12"/>
  <c r="L362" i="12"/>
  <c r="L363" i="12"/>
  <c r="L364" i="12"/>
  <c r="L365" i="12"/>
  <c r="L366" i="12"/>
  <c r="L367" i="12"/>
  <c r="L368" i="12"/>
  <c r="L369" i="12"/>
  <c r="L370" i="12"/>
  <c r="L371" i="12"/>
  <c r="L372" i="12"/>
  <c r="L373" i="12"/>
  <c r="L374" i="12"/>
  <c r="L375" i="12"/>
  <c r="L376" i="12"/>
  <c r="L377" i="12"/>
  <c r="L378" i="12"/>
  <c r="L379" i="12"/>
  <c r="L380" i="12"/>
  <c r="L381" i="12"/>
  <c r="L382" i="12"/>
  <c r="L383" i="12"/>
  <c r="L384" i="12"/>
  <c r="L385" i="12"/>
  <c r="L386" i="12"/>
  <c r="L387" i="12"/>
  <c r="L388" i="12"/>
  <c r="L389" i="12"/>
  <c r="L390" i="12"/>
  <c r="L391" i="12"/>
  <c r="L392" i="12"/>
  <c r="L393" i="12"/>
  <c r="L394" i="12"/>
  <c r="L395" i="12"/>
  <c r="L396" i="12"/>
  <c r="L397" i="12"/>
  <c r="L398" i="12"/>
  <c r="L399" i="12"/>
  <c r="L400" i="12"/>
  <c r="L401" i="12"/>
  <c r="L402" i="12"/>
  <c r="L403" i="12"/>
  <c r="L404" i="12"/>
  <c r="L405" i="12"/>
  <c r="L406" i="12"/>
  <c r="L407" i="12"/>
  <c r="L408" i="12"/>
  <c r="L409" i="12"/>
  <c r="L410" i="12"/>
  <c r="L411" i="12"/>
  <c r="L412" i="12"/>
  <c r="L413" i="12"/>
  <c r="L414" i="12"/>
  <c r="L415" i="12"/>
  <c r="L416" i="12"/>
  <c r="L417" i="12"/>
  <c r="L418" i="12"/>
  <c r="L419" i="12"/>
  <c r="L420" i="12"/>
  <c r="L421" i="12"/>
  <c r="L422" i="12"/>
  <c r="L423" i="12"/>
  <c r="L424" i="12"/>
  <c r="L425" i="12"/>
  <c r="L426" i="12"/>
  <c r="L427" i="12"/>
  <c r="L428" i="12"/>
  <c r="L429" i="12"/>
  <c r="L430" i="12"/>
  <c r="L431" i="12"/>
  <c r="L432" i="12"/>
  <c r="L433" i="12"/>
  <c r="L434" i="12"/>
  <c r="L435" i="12"/>
  <c r="L436" i="12"/>
  <c r="L437" i="12"/>
  <c r="L438" i="12"/>
  <c r="L439" i="12"/>
  <c r="L440" i="12"/>
  <c r="L441" i="12"/>
  <c r="L442" i="12"/>
  <c r="L443" i="12"/>
  <c r="L444" i="12"/>
  <c r="L445" i="12"/>
  <c r="L446" i="12"/>
  <c r="L447" i="12"/>
  <c r="L448" i="12"/>
  <c r="L449" i="12"/>
  <c r="L450" i="12"/>
  <c r="L451" i="12"/>
  <c r="L452" i="12"/>
  <c r="L453" i="12"/>
  <c r="L454" i="12"/>
  <c r="L455" i="12"/>
  <c r="L456" i="12"/>
  <c r="L457" i="12"/>
  <c r="L458" i="12"/>
  <c r="L459" i="12"/>
  <c r="L460" i="12"/>
  <c r="L461" i="12"/>
  <c r="L462" i="12"/>
  <c r="L463" i="12"/>
  <c r="L464" i="12"/>
  <c r="L465" i="12"/>
  <c r="L466" i="12"/>
  <c r="L467" i="12"/>
  <c r="L468" i="12"/>
  <c r="L469" i="12"/>
  <c r="L470" i="12"/>
  <c r="L471" i="12"/>
  <c r="L472" i="12"/>
  <c r="L473" i="12"/>
  <c r="L474" i="12"/>
  <c r="L475" i="12"/>
  <c r="L476" i="12"/>
  <c r="L477" i="12"/>
  <c r="L478" i="12"/>
  <c r="L479" i="12"/>
  <c r="L480" i="12"/>
  <c r="L481" i="12"/>
  <c r="L482" i="12"/>
  <c r="L483" i="12"/>
  <c r="L484" i="12"/>
  <c r="L485" i="12"/>
  <c r="L486" i="12"/>
  <c r="L487" i="12"/>
  <c r="L488" i="12"/>
  <c r="L489" i="12"/>
  <c r="L490" i="12"/>
  <c r="L491" i="12"/>
  <c r="L492" i="12"/>
  <c r="L493" i="12"/>
  <c r="L494" i="12"/>
  <c r="L495" i="12"/>
  <c r="L496" i="12"/>
  <c r="L497" i="12"/>
  <c r="L498" i="12"/>
  <c r="L499" i="12"/>
  <c r="L500" i="12"/>
  <c r="L501" i="12"/>
  <c r="L502" i="12"/>
  <c r="L503" i="12"/>
  <c r="L504" i="12"/>
  <c r="L505" i="12"/>
  <c r="L506" i="12"/>
  <c r="L507" i="12"/>
  <c r="L508" i="12"/>
  <c r="L509" i="12"/>
  <c r="L510" i="12"/>
  <c r="L511" i="12"/>
  <c r="L512" i="12"/>
  <c r="L513" i="12"/>
  <c r="L514" i="12"/>
  <c r="L515" i="12"/>
  <c r="L516" i="12"/>
  <c r="L517" i="12"/>
  <c r="L518" i="12"/>
  <c r="L519" i="12"/>
  <c r="L520" i="12"/>
  <c r="L521" i="12"/>
  <c r="L522" i="12"/>
  <c r="L523" i="12"/>
  <c r="L524" i="12"/>
  <c r="L525" i="12"/>
  <c r="L526" i="12"/>
  <c r="L527" i="12"/>
  <c r="L528" i="12"/>
  <c r="L529" i="12"/>
  <c r="L530" i="12"/>
  <c r="L531" i="12"/>
  <c r="L532" i="12"/>
  <c r="L533" i="12"/>
  <c r="L534" i="12"/>
  <c r="L535" i="12"/>
  <c r="L536" i="12"/>
  <c r="L537" i="12"/>
  <c r="L538" i="12"/>
  <c r="L539" i="12"/>
  <c r="L540" i="12"/>
  <c r="L541" i="12"/>
  <c r="L542" i="12"/>
  <c r="L543" i="12"/>
  <c r="L544" i="12"/>
  <c r="L545" i="12"/>
  <c r="L546" i="12"/>
  <c r="L547" i="12"/>
  <c r="L548" i="12"/>
  <c r="L549" i="12"/>
  <c r="L550" i="12"/>
  <c r="L551" i="12"/>
  <c r="L552" i="12"/>
  <c r="L553" i="12"/>
  <c r="L554" i="12"/>
  <c r="L555" i="12"/>
  <c r="L556" i="12"/>
  <c r="L557" i="12"/>
  <c r="L558" i="12"/>
  <c r="L559" i="12"/>
  <c r="L560" i="12"/>
  <c r="L561" i="12"/>
  <c r="L562" i="12"/>
  <c r="L563" i="12"/>
  <c r="L564" i="12"/>
  <c r="L565" i="12"/>
  <c r="L566" i="12"/>
  <c r="L567" i="12"/>
  <c r="L568" i="12"/>
  <c r="L569" i="12"/>
  <c r="L570" i="12"/>
  <c r="L571" i="12"/>
  <c r="L572" i="12"/>
  <c r="L573" i="12"/>
  <c r="L574" i="12"/>
  <c r="L575" i="12"/>
  <c r="L576" i="12"/>
  <c r="L577" i="12"/>
  <c r="L578" i="12"/>
  <c r="L579" i="12"/>
  <c r="L580" i="12"/>
  <c r="L581" i="12"/>
  <c r="L582" i="12"/>
  <c r="L583" i="12"/>
  <c r="L584" i="12"/>
  <c r="L585" i="12"/>
  <c r="L586" i="12"/>
  <c r="L587" i="12"/>
  <c r="L588" i="12"/>
  <c r="L589" i="12"/>
  <c r="L590" i="12"/>
  <c r="L591" i="12"/>
  <c r="L592" i="12"/>
  <c r="L593" i="12"/>
  <c r="L594" i="12"/>
  <c r="L595" i="12"/>
  <c r="L596" i="12"/>
  <c r="L597" i="12"/>
  <c r="L598" i="12"/>
  <c r="L599" i="12"/>
  <c r="L600" i="12"/>
  <c r="L601" i="12"/>
  <c r="L602" i="12"/>
  <c r="L603" i="12"/>
  <c r="L604" i="12"/>
  <c r="L605" i="12"/>
  <c r="L606" i="12"/>
  <c r="L607" i="12"/>
  <c r="L608" i="12"/>
  <c r="L609" i="12"/>
  <c r="L610" i="12"/>
  <c r="L611" i="12"/>
  <c r="L612" i="12"/>
  <c r="L613" i="12"/>
  <c r="L614" i="12"/>
  <c r="L615" i="12"/>
  <c r="L616" i="12"/>
  <c r="L617" i="12"/>
  <c r="L618" i="12"/>
  <c r="L619" i="12"/>
  <c r="L620" i="12"/>
  <c r="L621" i="12"/>
  <c r="L622" i="12"/>
  <c r="L623" i="12"/>
  <c r="L624" i="12"/>
  <c r="L625" i="12"/>
  <c r="L626" i="12"/>
  <c r="L627" i="12"/>
  <c r="L628" i="12"/>
  <c r="L629" i="12"/>
  <c r="L630" i="12"/>
  <c r="L631" i="12"/>
  <c r="L632" i="12"/>
  <c r="L633" i="12"/>
  <c r="L634" i="12"/>
  <c r="L635" i="12"/>
  <c r="L636" i="12"/>
  <c r="L637" i="12"/>
  <c r="L638" i="12"/>
  <c r="L639" i="12"/>
  <c r="L640" i="12"/>
  <c r="L641" i="12"/>
  <c r="L642" i="12"/>
  <c r="L643" i="12"/>
  <c r="L644" i="12"/>
  <c r="L645" i="12"/>
  <c r="L646" i="12"/>
  <c r="L647" i="12"/>
  <c r="L648" i="12"/>
  <c r="L649" i="12"/>
  <c r="L650" i="12"/>
  <c r="L651" i="12"/>
  <c r="L652" i="12"/>
  <c r="L653" i="12"/>
  <c r="L654" i="12"/>
  <c r="L655" i="12"/>
  <c r="L656" i="12"/>
  <c r="L657" i="12"/>
  <c r="L658" i="12"/>
  <c r="L659" i="12"/>
  <c r="L660" i="12"/>
  <c r="L661" i="12"/>
  <c r="L662" i="12"/>
  <c r="L663" i="12"/>
  <c r="L664" i="12"/>
  <c r="L665" i="12"/>
  <c r="L666" i="12"/>
  <c r="L667" i="12"/>
  <c r="L668" i="12"/>
  <c r="L669" i="12"/>
  <c r="L670" i="12"/>
  <c r="L671" i="12"/>
  <c r="L672" i="12"/>
  <c r="L673" i="12"/>
  <c r="L674" i="12"/>
  <c r="L675" i="12"/>
  <c r="L676" i="12"/>
  <c r="L677" i="12"/>
  <c r="L678" i="12"/>
  <c r="L679" i="12"/>
  <c r="L680" i="12"/>
  <c r="L681" i="12"/>
  <c r="L682" i="12"/>
  <c r="L683" i="12"/>
  <c r="L684" i="12"/>
  <c r="L685" i="12"/>
  <c r="L686" i="12"/>
  <c r="L687" i="12"/>
  <c r="L688" i="12"/>
  <c r="L689" i="12"/>
  <c r="L690" i="12"/>
  <c r="L691" i="12"/>
  <c r="L692" i="12"/>
  <c r="L693" i="12"/>
  <c r="L694" i="12"/>
  <c r="L695" i="12"/>
  <c r="L696" i="12"/>
  <c r="L697" i="12"/>
  <c r="L698" i="12"/>
  <c r="L699" i="12"/>
  <c r="L700" i="12"/>
  <c r="L701" i="12"/>
  <c r="L702" i="12"/>
  <c r="L703" i="12"/>
  <c r="L704" i="12"/>
  <c r="L705" i="12"/>
  <c r="L706" i="12"/>
  <c r="L707" i="12"/>
  <c r="L708" i="12"/>
  <c r="L709" i="12"/>
  <c r="L710" i="12"/>
  <c r="L711" i="12"/>
  <c r="L712" i="12"/>
  <c r="L713" i="12"/>
  <c r="L714" i="12"/>
  <c r="L715" i="12"/>
  <c r="L716" i="12"/>
  <c r="L717" i="12"/>
  <c r="L718" i="12"/>
  <c r="L719" i="12"/>
  <c r="L720" i="12"/>
  <c r="L721" i="12"/>
  <c r="L722" i="12"/>
  <c r="L723" i="12"/>
  <c r="L724" i="12"/>
  <c r="L725" i="12"/>
  <c r="L726" i="12"/>
  <c r="L727" i="12"/>
  <c r="L728" i="12"/>
  <c r="L729" i="12"/>
  <c r="L730" i="12"/>
  <c r="L731" i="12"/>
  <c r="L732" i="12"/>
  <c r="L733" i="12"/>
  <c r="L734" i="12"/>
  <c r="L735" i="12"/>
  <c r="L736" i="12"/>
  <c r="L737" i="12"/>
  <c r="L738" i="12"/>
  <c r="L739" i="12"/>
  <c r="L740" i="12"/>
  <c r="L741" i="12"/>
  <c r="L742" i="12"/>
  <c r="L743" i="12"/>
  <c r="L744" i="12"/>
  <c r="L745" i="12"/>
  <c r="L746" i="12"/>
  <c r="L747" i="12"/>
  <c r="L748" i="12"/>
  <c r="L749" i="12"/>
  <c r="L750" i="12"/>
  <c r="L751" i="12"/>
  <c r="L752" i="12"/>
  <c r="L753" i="12"/>
  <c r="L754" i="12"/>
  <c r="L755" i="12"/>
  <c r="L756" i="12"/>
  <c r="L757" i="12"/>
  <c r="L758" i="12"/>
  <c r="L759" i="12"/>
  <c r="L760" i="12"/>
  <c r="L761" i="12"/>
  <c r="L762" i="12"/>
  <c r="L763" i="12"/>
  <c r="L764" i="12"/>
  <c r="L765" i="12"/>
  <c r="L766" i="12"/>
  <c r="L767" i="12"/>
  <c r="L768" i="12"/>
  <c r="L769" i="12"/>
  <c r="L770" i="12"/>
  <c r="L771" i="12"/>
  <c r="L772" i="12"/>
  <c r="L773" i="12"/>
  <c r="L774" i="12"/>
  <c r="L775" i="12"/>
  <c r="L776" i="12"/>
  <c r="L777" i="12"/>
  <c r="L778" i="12"/>
  <c r="L779" i="12"/>
  <c r="L780" i="12"/>
  <c r="L781" i="12"/>
  <c r="L782" i="12"/>
  <c r="L783" i="12"/>
  <c r="L784" i="12"/>
  <c r="L785" i="12"/>
  <c r="L786" i="12"/>
  <c r="L787" i="12"/>
  <c r="L788" i="12"/>
  <c r="L789" i="12"/>
  <c r="L790" i="12"/>
  <c r="L791" i="12"/>
  <c r="L792" i="12"/>
  <c r="L793" i="12"/>
  <c r="L794" i="12"/>
  <c r="L795" i="12"/>
  <c r="L796" i="12"/>
  <c r="L797" i="12"/>
  <c r="L798" i="12"/>
  <c r="L799" i="12"/>
  <c r="L800" i="12"/>
  <c r="L801" i="12"/>
  <c r="L802" i="12"/>
  <c r="L803" i="12"/>
  <c r="L804" i="12"/>
  <c r="L805" i="12"/>
  <c r="L806" i="12"/>
  <c r="L807" i="12"/>
  <c r="L808" i="12"/>
  <c r="L809" i="12"/>
  <c r="L810" i="12"/>
  <c r="L811" i="12"/>
  <c r="L812" i="12"/>
  <c r="L813" i="12"/>
  <c r="L814" i="12"/>
  <c r="L815" i="12"/>
  <c r="L816" i="12"/>
  <c r="L817" i="12"/>
  <c r="L818" i="12"/>
  <c r="L819" i="12"/>
  <c r="L820" i="12"/>
  <c r="L821" i="12"/>
  <c r="L822" i="12"/>
  <c r="L823" i="12"/>
  <c r="L824" i="12"/>
  <c r="L825" i="12"/>
  <c r="L826" i="12"/>
  <c r="L827" i="12"/>
  <c r="L828" i="12"/>
  <c r="L829" i="12"/>
  <c r="L830" i="12"/>
  <c r="L831" i="12"/>
  <c r="L832" i="12"/>
  <c r="L833" i="12"/>
  <c r="L834" i="12"/>
  <c r="L835" i="12"/>
  <c r="L836" i="12"/>
  <c r="L837" i="12"/>
  <c r="L838" i="12"/>
  <c r="L839" i="12"/>
  <c r="L840" i="12"/>
  <c r="L841" i="12"/>
  <c r="L842" i="12"/>
  <c r="L843" i="12"/>
  <c r="L844" i="12"/>
  <c r="L845" i="12"/>
  <c r="L846" i="12"/>
  <c r="L847" i="12"/>
  <c r="L848" i="12"/>
  <c r="L849" i="12"/>
  <c r="L850" i="12"/>
  <c r="L851" i="12"/>
  <c r="L852" i="12"/>
  <c r="L853" i="12"/>
  <c r="L854" i="12"/>
  <c r="L855" i="12"/>
  <c r="L856" i="12"/>
  <c r="L857" i="12"/>
  <c r="L858" i="12"/>
  <c r="L859" i="12"/>
  <c r="L860" i="12"/>
  <c r="L861" i="12"/>
  <c r="L862" i="12"/>
  <c r="L863" i="12"/>
  <c r="L864" i="12"/>
  <c r="L865" i="12"/>
  <c r="L866" i="12"/>
  <c r="L867" i="12"/>
  <c r="L868" i="12"/>
  <c r="L869" i="12"/>
  <c r="L870" i="12"/>
  <c r="L871" i="12"/>
  <c r="L872" i="12"/>
  <c r="L873" i="12"/>
  <c r="L874" i="12"/>
  <c r="L875" i="12"/>
  <c r="L876" i="12"/>
  <c r="L877" i="12"/>
  <c r="L878" i="12"/>
  <c r="L879" i="12"/>
  <c r="L880" i="12"/>
  <c r="L881" i="12"/>
  <c r="L882" i="12"/>
  <c r="L883" i="12"/>
  <c r="L884" i="12"/>
  <c r="L885" i="12"/>
  <c r="L886" i="12"/>
  <c r="L887" i="12"/>
  <c r="L888" i="12"/>
  <c r="L889" i="12"/>
  <c r="L890" i="12"/>
  <c r="L891" i="12"/>
  <c r="L892" i="12"/>
  <c r="L893" i="12"/>
  <c r="L894" i="12"/>
  <c r="L895" i="12"/>
  <c r="L896" i="12"/>
  <c r="L897" i="12"/>
  <c r="L898" i="12"/>
  <c r="L899" i="12"/>
  <c r="L900" i="12"/>
  <c r="L901" i="12"/>
  <c r="K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22" i="12"/>
  <c r="K223" i="12"/>
  <c r="K224" i="12"/>
  <c r="K225" i="12"/>
  <c r="K226" i="12"/>
  <c r="K227" i="12"/>
  <c r="K228" i="12"/>
  <c r="K229" i="12"/>
  <c r="K230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243" i="12"/>
  <c r="K244" i="12"/>
  <c r="K245" i="12"/>
  <c r="K246" i="12"/>
  <c r="K247" i="12"/>
  <c r="K248" i="12"/>
  <c r="K249" i="12"/>
  <c r="K250" i="12"/>
  <c r="K251" i="12"/>
  <c r="K252" i="12"/>
  <c r="K253" i="12"/>
  <c r="K254" i="12"/>
  <c r="K255" i="12"/>
  <c r="K256" i="12"/>
  <c r="K257" i="12"/>
  <c r="K258" i="12"/>
  <c r="K259" i="12"/>
  <c r="K260" i="12"/>
  <c r="K261" i="12"/>
  <c r="K262" i="12"/>
  <c r="K263" i="12"/>
  <c r="K264" i="12"/>
  <c r="K265" i="12"/>
  <c r="K266" i="12"/>
  <c r="K267" i="12"/>
  <c r="K268" i="12"/>
  <c r="K269" i="12"/>
  <c r="K270" i="12"/>
  <c r="K271" i="12"/>
  <c r="K272" i="12"/>
  <c r="K273" i="12"/>
  <c r="K274" i="12"/>
  <c r="K275" i="12"/>
  <c r="K276" i="12"/>
  <c r="K277" i="12"/>
  <c r="K278" i="12"/>
  <c r="K279" i="12"/>
  <c r="K280" i="12"/>
  <c r="K281" i="12"/>
  <c r="K282" i="12"/>
  <c r="K283" i="12"/>
  <c r="K284" i="12"/>
  <c r="K285" i="12"/>
  <c r="K286" i="12"/>
  <c r="K287" i="12"/>
  <c r="K288" i="12"/>
  <c r="K289" i="12"/>
  <c r="K290" i="12"/>
  <c r="K291" i="12"/>
  <c r="K292" i="12"/>
  <c r="K293" i="12"/>
  <c r="K294" i="12"/>
  <c r="K295" i="12"/>
  <c r="K296" i="12"/>
  <c r="K297" i="12"/>
  <c r="K298" i="12"/>
  <c r="K299" i="12"/>
  <c r="K300" i="12"/>
  <c r="K301" i="12"/>
  <c r="K302" i="12"/>
  <c r="K303" i="12"/>
  <c r="K304" i="12"/>
  <c r="K305" i="12"/>
  <c r="K306" i="12"/>
  <c r="K307" i="12"/>
  <c r="K308" i="12"/>
  <c r="K309" i="12"/>
  <c r="K310" i="12"/>
  <c r="K311" i="12"/>
  <c r="K312" i="12"/>
  <c r="K313" i="12"/>
  <c r="K314" i="12"/>
  <c r="K315" i="12"/>
  <c r="K316" i="12"/>
  <c r="K317" i="12"/>
  <c r="K318" i="12"/>
  <c r="K319" i="12"/>
  <c r="K320" i="12"/>
  <c r="K321" i="12"/>
  <c r="K322" i="12"/>
  <c r="K323" i="12"/>
  <c r="K324" i="12"/>
  <c r="K325" i="12"/>
  <c r="K326" i="12"/>
  <c r="K327" i="12"/>
  <c r="K328" i="12"/>
  <c r="K329" i="12"/>
  <c r="K330" i="12"/>
  <c r="K331" i="12"/>
  <c r="K332" i="12"/>
  <c r="K333" i="12"/>
  <c r="K334" i="12"/>
  <c r="K335" i="12"/>
  <c r="K336" i="12"/>
  <c r="K337" i="12"/>
  <c r="K338" i="12"/>
  <c r="K339" i="12"/>
  <c r="K340" i="12"/>
  <c r="K341" i="12"/>
  <c r="K342" i="12"/>
  <c r="K343" i="12"/>
  <c r="K344" i="12"/>
  <c r="K345" i="12"/>
  <c r="K346" i="12"/>
  <c r="K347" i="12"/>
  <c r="K348" i="12"/>
  <c r="K349" i="12"/>
  <c r="K350" i="12"/>
  <c r="K351" i="12"/>
  <c r="K352" i="12"/>
  <c r="K353" i="12"/>
  <c r="K354" i="12"/>
  <c r="K355" i="12"/>
  <c r="K356" i="12"/>
  <c r="K357" i="12"/>
  <c r="K358" i="12"/>
  <c r="K359" i="12"/>
  <c r="K360" i="12"/>
  <c r="K361" i="12"/>
  <c r="K362" i="12"/>
  <c r="K363" i="12"/>
  <c r="K364" i="12"/>
  <c r="K365" i="12"/>
  <c r="K366" i="12"/>
  <c r="K367" i="12"/>
  <c r="K368" i="12"/>
  <c r="K369" i="12"/>
  <c r="K370" i="12"/>
  <c r="K371" i="12"/>
  <c r="K372" i="12"/>
  <c r="K373" i="12"/>
  <c r="K374" i="12"/>
  <c r="K375" i="12"/>
  <c r="K376" i="12"/>
  <c r="K377" i="12"/>
  <c r="K378" i="12"/>
  <c r="K379" i="12"/>
  <c r="K380" i="12"/>
  <c r="K381" i="12"/>
  <c r="K382" i="12"/>
  <c r="K383" i="12"/>
  <c r="K384" i="12"/>
  <c r="K385" i="12"/>
  <c r="K386" i="12"/>
  <c r="K387" i="12"/>
  <c r="K388" i="12"/>
  <c r="K389" i="12"/>
  <c r="K390" i="12"/>
  <c r="K391" i="12"/>
  <c r="K392" i="12"/>
  <c r="K393" i="12"/>
  <c r="K394" i="12"/>
  <c r="K395" i="12"/>
  <c r="K396" i="12"/>
  <c r="K397" i="12"/>
  <c r="K398" i="12"/>
  <c r="K399" i="12"/>
  <c r="K400" i="12"/>
  <c r="K401" i="12"/>
  <c r="K402" i="12"/>
  <c r="K403" i="12"/>
  <c r="K404" i="12"/>
  <c r="K405" i="12"/>
  <c r="K406" i="12"/>
  <c r="K407" i="12"/>
  <c r="K408" i="12"/>
  <c r="K409" i="12"/>
  <c r="K410" i="12"/>
  <c r="K411" i="12"/>
  <c r="K412" i="12"/>
  <c r="K413" i="12"/>
  <c r="K414" i="12"/>
  <c r="K415" i="12"/>
  <c r="K416" i="12"/>
  <c r="K417" i="12"/>
  <c r="K418" i="12"/>
  <c r="K419" i="12"/>
  <c r="K420" i="12"/>
  <c r="K421" i="12"/>
  <c r="K422" i="12"/>
  <c r="K423" i="12"/>
  <c r="K424" i="12"/>
  <c r="K425" i="12"/>
  <c r="K426" i="12"/>
  <c r="K427" i="12"/>
  <c r="K428" i="12"/>
  <c r="K429" i="12"/>
  <c r="K430" i="12"/>
  <c r="K431" i="12"/>
  <c r="K432" i="12"/>
  <c r="K433" i="12"/>
  <c r="K434" i="12"/>
  <c r="K435" i="12"/>
  <c r="K436" i="12"/>
  <c r="K437" i="12"/>
  <c r="K438" i="12"/>
  <c r="K439" i="12"/>
  <c r="K440" i="12"/>
  <c r="K441" i="12"/>
  <c r="K442" i="12"/>
  <c r="K443" i="12"/>
  <c r="K444" i="12"/>
  <c r="K445" i="12"/>
  <c r="K446" i="12"/>
  <c r="K447" i="12"/>
  <c r="K448" i="12"/>
  <c r="K449" i="12"/>
  <c r="K450" i="12"/>
  <c r="K451" i="12"/>
  <c r="K452" i="12"/>
  <c r="K453" i="12"/>
  <c r="K454" i="12"/>
  <c r="K455" i="12"/>
  <c r="K456" i="12"/>
  <c r="K457" i="12"/>
  <c r="K458" i="12"/>
  <c r="K459" i="12"/>
  <c r="K460" i="12"/>
  <c r="K461" i="12"/>
  <c r="K462" i="12"/>
  <c r="K463" i="12"/>
  <c r="K464" i="12"/>
  <c r="K465" i="12"/>
  <c r="K466" i="12"/>
  <c r="K467" i="12"/>
  <c r="K468" i="12"/>
  <c r="K469" i="12"/>
  <c r="K470" i="12"/>
  <c r="K471" i="12"/>
  <c r="K472" i="12"/>
  <c r="K473" i="12"/>
  <c r="K474" i="12"/>
  <c r="K475" i="12"/>
  <c r="K476" i="12"/>
  <c r="K477" i="12"/>
  <c r="K478" i="12"/>
  <c r="K479" i="12"/>
  <c r="K480" i="12"/>
  <c r="K481" i="12"/>
  <c r="K482" i="12"/>
  <c r="K483" i="12"/>
  <c r="K484" i="12"/>
  <c r="K485" i="12"/>
  <c r="K486" i="12"/>
  <c r="K487" i="12"/>
  <c r="K488" i="12"/>
  <c r="K489" i="12"/>
  <c r="K490" i="12"/>
  <c r="K491" i="12"/>
  <c r="K492" i="12"/>
  <c r="K493" i="12"/>
  <c r="K494" i="12"/>
  <c r="K495" i="12"/>
  <c r="K496" i="12"/>
  <c r="K497" i="12"/>
  <c r="K498" i="12"/>
  <c r="K499" i="12"/>
  <c r="K500" i="12"/>
  <c r="K501" i="12"/>
  <c r="K502" i="12"/>
  <c r="K503" i="12"/>
  <c r="K504" i="12"/>
  <c r="K505" i="12"/>
  <c r="K506" i="12"/>
  <c r="K507" i="12"/>
  <c r="K508" i="12"/>
  <c r="K509" i="12"/>
  <c r="K510" i="12"/>
  <c r="K511" i="12"/>
  <c r="K512" i="12"/>
  <c r="K513" i="12"/>
  <c r="K514" i="12"/>
  <c r="K515" i="12"/>
  <c r="K516" i="12"/>
  <c r="K517" i="12"/>
  <c r="K518" i="12"/>
  <c r="K519" i="12"/>
  <c r="K520" i="12"/>
  <c r="K521" i="12"/>
  <c r="K522" i="12"/>
  <c r="K523" i="12"/>
  <c r="K524" i="12"/>
  <c r="K525" i="12"/>
  <c r="K526" i="12"/>
  <c r="K527" i="12"/>
  <c r="K528" i="12"/>
  <c r="K529" i="12"/>
  <c r="K530" i="12"/>
  <c r="K531" i="12"/>
  <c r="K532" i="12"/>
  <c r="K533" i="12"/>
  <c r="K534" i="12"/>
  <c r="K535" i="12"/>
  <c r="K536" i="12"/>
  <c r="K537" i="12"/>
  <c r="K538" i="12"/>
  <c r="K539" i="12"/>
  <c r="K540" i="12"/>
  <c r="K541" i="12"/>
  <c r="K542" i="12"/>
  <c r="K543" i="12"/>
  <c r="K544" i="12"/>
  <c r="K545" i="12"/>
  <c r="K546" i="12"/>
  <c r="K547" i="12"/>
  <c r="K548" i="12"/>
  <c r="K549" i="12"/>
  <c r="K550" i="12"/>
  <c r="K551" i="12"/>
  <c r="K552" i="12"/>
  <c r="K553" i="12"/>
  <c r="K554" i="12"/>
  <c r="K555" i="12"/>
  <c r="K556" i="12"/>
  <c r="K557" i="12"/>
  <c r="K558" i="12"/>
  <c r="K559" i="12"/>
  <c r="K560" i="12"/>
  <c r="K561" i="12"/>
  <c r="K562" i="12"/>
  <c r="K563" i="12"/>
  <c r="K564" i="12"/>
  <c r="K565" i="12"/>
  <c r="K566" i="12"/>
  <c r="K567" i="12"/>
  <c r="K568" i="12"/>
  <c r="K569" i="12"/>
  <c r="K570" i="12"/>
  <c r="K571" i="12"/>
  <c r="K572" i="12"/>
  <c r="K573" i="12"/>
  <c r="K574" i="12"/>
  <c r="K575" i="12"/>
  <c r="K576" i="12"/>
  <c r="K577" i="12"/>
  <c r="K578" i="12"/>
  <c r="K579" i="12"/>
  <c r="K580" i="12"/>
  <c r="K581" i="12"/>
  <c r="K582" i="12"/>
  <c r="K583" i="12"/>
  <c r="K584" i="12"/>
  <c r="K585" i="12"/>
  <c r="K586" i="12"/>
  <c r="K587" i="12"/>
  <c r="K588" i="12"/>
  <c r="K589" i="12"/>
  <c r="K590" i="12"/>
  <c r="K591" i="12"/>
  <c r="K592" i="12"/>
  <c r="K593" i="12"/>
  <c r="K594" i="12"/>
  <c r="K595" i="12"/>
  <c r="K596" i="12"/>
  <c r="K597" i="12"/>
  <c r="K598" i="12"/>
  <c r="K599" i="12"/>
  <c r="K600" i="12"/>
  <c r="K601" i="12"/>
  <c r="K602" i="12"/>
  <c r="K603" i="12"/>
  <c r="K604" i="12"/>
  <c r="K605" i="12"/>
  <c r="K606" i="12"/>
  <c r="K607" i="12"/>
  <c r="K608" i="12"/>
  <c r="K609" i="12"/>
  <c r="K610" i="12"/>
  <c r="K611" i="12"/>
  <c r="K612" i="12"/>
  <c r="K613" i="12"/>
  <c r="K614" i="12"/>
  <c r="K615" i="12"/>
  <c r="K616" i="12"/>
  <c r="K617" i="12"/>
  <c r="K618" i="12"/>
  <c r="K619" i="12"/>
  <c r="K620" i="12"/>
  <c r="K621" i="12"/>
  <c r="K622" i="12"/>
  <c r="K623" i="12"/>
  <c r="K624" i="12"/>
  <c r="K625" i="12"/>
  <c r="K626" i="12"/>
  <c r="K627" i="12"/>
  <c r="K628" i="12"/>
  <c r="K629" i="12"/>
  <c r="K630" i="12"/>
  <c r="K631" i="12"/>
  <c r="K632" i="12"/>
  <c r="K633" i="12"/>
  <c r="K634" i="12"/>
  <c r="K635" i="12"/>
  <c r="K636" i="12"/>
  <c r="K637" i="12"/>
  <c r="K638" i="12"/>
  <c r="K639" i="12"/>
  <c r="K640" i="12"/>
  <c r="K641" i="12"/>
  <c r="K642" i="12"/>
  <c r="K643" i="12"/>
  <c r="K644" i="12"/>
  <c r="K645" i="12"/>
  <c r="K646" i="12"/>
  <c r="K647" i="12"/>
  <c r="K648" i="12"/>
  <c r="K649" i="12"/>
  <c r="K650" i="12"/>
  <c r="K651" i="12"/>
  <c r="K652" i="12"/>
  <c r="K653" i="12"/>
  <c r="K654" i="12"/>
  <c r="K655" i="12"/>
  <c r="K656" i="12"/>
  <c r="K657" i="12"/>
  <c r="K658" i="12"/>
  <c r="K659" i="12"/>
  <c r="K660" i="12"/>
  <c r="K661" i="12"/>
  <c r="K662" i="12"/>
  <c r="K663" i="12"/>
  <c r="K664" i="12"/>
  <c r="K665" i="12"/>
  <c r="K666" i="12"/>
  <c r="K667" i="12"/>
  <c r="K668" i="12"/>
  <c r="K669" i="12"/>
  <c r="K670" i="12"/>
  <c r="K671" i="12"/>
  <c r="K672" i="12"/>
  <c r="K673" i="12"/>
  <c r="K674" i="12"/>
  <c r="K675" i="12"/>
  <c r="K676" i="12"/>
  <c r="K677" i="12"/>
  <c r="K678" i="12"/>
  <c r="K679" i="12"/>
  <c r="K680" i="12"/>
  <c r="K681" i="12"/>
  <c r="K682" i="12"/>
  <c r="K683" i="12"/>
  <c r="K684" i="12"/>
  <c r="K685" i="12"/>
  <c r="K686" i="12"/>
  <c r="K687" i="12"/>
  <c r="K688" i="12"/>
  <c r="K689" i="12"/>
  <c r="K690" i="12"/>
  <c r="K691" i="12"/>
  <c r="K692" i="12"/>
  <c r="K693" i="12"/>
  <c r="K694" i="12"/>
  <c r="K695" i="12"/>
  <c r="K696" i="12"/>
  <c r="K697" i="12"/>
  <c r="K698" i="12"/>
  <c r="K699" i="12"/>
  <c r="K700" i="12"/>
  <c r="K701" i="12"/>
  <c r="K702" i="12"/>
  <c r="K703" i="12"/>
  <c r="K704" i="12"/>
  <c r="K705" i="12"/>
  <c r="K706" i="12"/>
  <c r="K707" i="12"/>
  <c r="K708" i="12"/>
  <c r="K709" i="12"/>
  <c r="K710" i="12"/>
  <c r="K711" i="12"/>
  <c r="K712" i="12"/>
  <c r="K713" i="12"/>
  <c r="K714" i="12"/>
  <c r="K715" i="12"/>
  <c r="K716" i="12"/>
  <c r="K717" i="12"/>
  <c r="K718" i="12"/>
  <c r="K719" i="12"/>
  <c r="K720" i="12"/>
  <c r="K721" i="12"/>
  <c r="K722" i="12"/>
  <c r="K723" i="12"/>
  <c r="K724" i="12"/>
  <c r="K725" i="12"/>
  <c r="K726" i="12"/>
  <c r="K727" i="12"/>
  <c r="K728" i="12"/>
  <c r="K729" i="12"/>
  <c r="K730" i="12"/>
  <c r="K731" i="12"/>
  <c r="K732" i="12"/>
  <c r="K733" i="12"/>
  <c r="K734" i="12"/>
  <c r="K735" i="12"/>
  <c r="K736" i="12"/>
  <c r="K737" i="12"/>
  <c r="K738" i="12"/>
  <c r="K739" i="12"/>
  <c r="K740" i="12"/>
  <c r="K741" i="12"/>
  <c r="K742" i="12"/>
  <c r="K743" i="12"/>
  <c r="K744" i="12"/>
  <c r="K745" i="12"/>
  <c r="K746" i="12"/>
  <c r="K747" i="12"/>
  <c r="K748" i="12"/>
  <c r="K749" i="12"/>
  <c r="K750" i="12"/>
  <c r="K751" i="12"/>
  <c r="K752" i="12"/>
  <c r="K753" i="12"/>
  <c r="K754" i="12"/>
  <c r="K755" i="12"/>
  <c r="K756" i="12"/>
  <c r="K757" i="12"/>
  <c r="K758" i="12"/>
  <c r="K759" i="12"/>
  <c r="K760" i="12"/>
  <c r="K761" i="12"/>
  <c r="K762" i="12"/>
  <c r="K763" i="12"/>
  <c r="K764" i="12"/>
  <c r="K765" i="12"/>
  <c r="K766" i="12"/>
  <c r="K767" i="12"/>
  <c r="K768" i="12"/>
  <c r="K769" i="12"/>
  <c r="K770" i="12"/>
  <c r="K771" i="12"/>
  <c r="K772" i="12"/>
  <c r="K773" i="12"/>
  <c r="K774" i="12"/>
  <c r="K775" i="12"/>
  <c r="K776" i="12"/>
  <c r="K777" i="12"/>
  <c r="K778" i="12"/>
  <c r="K779" i="12"/>
  <c r="K780" i="12"/>
  <c r="K781" i="12"/>
  <c r="K782" i="12"/>
  <c r="K783" i="12"/>
  <c r="K784" i="12"/>
  <c r="K785" i="12"/>
  <c r="K786" i="12"/>
  <c r="K787" i="12"/>
  <c r="K788" i="12"/>
  <c r="K789" i="12"/>
  <c r="K790" i="12"/>
  <c r="K791" i="12"/>
  <c r="K792" i="12"/>
  <c r="K793" i="12"/>
  <c r="K794" i="12"/>
  <c r="K795" i="12"/>
  <c r="K796" i="12"/>
  <c r="K797" i="12"/>
  <c r="K798" i="12"/>
  <c r="K799" i="12"/>
  <c r="K800" i="12"/>
  <c r="K801" i="12"/>
  <c r="K802" i="12"/>
  <c r="K803" i="12"/>
  <c r="K804" i="12"/>
  <c r="K805" i="12"/>
  <c r="K806" i="12"/>
  <c r="K807" i="12"/>
  <c r="K808" i="12"/>
  <c r="K809" i="12"/>
  <c r="K810" i="12"/>
  <c r="K811" i="12"/>
  <c r="K812" i="12"/>
  <c r="K813" i="12"/>
  <c r="K814" i="12"/>
  <c r="K815" i="12"/>
  <c r="K816" i="12"/>
  <c r="K817" i="12"/>
  <c r="K818" i="12"/>
  <c r="K819" i="12"/>
  <c r="K820" i="12"/>
  <c r="K821" i="12"/>
  <c r="K822" i="12"/>
  <c r="K823" i="12"/>
  <c r="K824" i="12"/>
  <c r="K825" i="12"/>
  <c r="K826" i="12"/>
  <c r="K827" i="12"/>
  <c r="K828" i="12"/>
  <c r="K829" i="12"/>
  <c r="K830" i="12"/>
  <c r="K831" i="12"/>
  <c r="K832" i="12"/>
  <c r="K833" i="12"/>
  <c r="K834" i="12"/>
  <c r="K835" i="12"/>
  <c r="K836" i="12"/>
  <c r="K837" i="12"/>
  <c r="K838" i="12"/>
  <c r="K839" i="12"/>
  <c r="K840" i="12"/>
  <c r="K841" i="12"/>
  <c r="K842" i="12"/>
  <c r="K843" i="12"/>
  <c r="K844" i="12"/>
  <c r="K845" i="12"/>
  <c r="K846" i="12"/>
  <c r="K847" i="12"/>
  <c r="K848" i="12"/>
  <c r="K849" i="12"/>
  <c r="K850" i="12"/>
  <c r="K851" i="12"/>
  <c r="K852" i="12"/>
  <c r="K853" i="12"/>
  <c r="K854" i="12"/>
  <c r="K855" i="12"/>
  <c r="K856" i="12"/>
  <c r="K857" i="12"/>
  <c r="K858" i="12"/>
  <c r="K859" i="12"/>
  <c r="K860" i="12"/>
  <c r="K861" i="12"/>
  <c r="K862" i="12"/>
  <c r="K863" i="12"/>
  <c r="K864" i="12"/>
  <c r="K865" i="12"/>
  <c r="K866" i="12"/>
  <c r="K867" i="12"/>
  <c r="K868" i="12"/>
  <c r="K869" i="12"/>
  <c r="K870" i="12"/>
  <c r="K871" i="12"/>
  <c r="K872" i="12"/>
  <c r="K873" i="12"/>
  <c r="K874" i="12"/>
  <c r="K875" i="12"/>
  <c r="K876" i="12"/>
  <c r="K877" i="12"/>
  <c r="K878" i="12"/>
  <c r="K879" i="12"/>
  <c r="K880" i="12"/>
  <c r="K881" i="12"/>
  <c r="K882" i="12"/>
  <c r="K883" i="12"/>
  <c r="K884" i="12"/>
  <c r="K885" i="12"/>
  <c r="K886" i="12"/>
  <c r="K887" i="12"/>
  <c r="K888" i="12"/>
  <c r="K889" i="12"/>
  <c r="K890" i="12"/>
  <c r="K891" i="12"/>
  <c r="K892" i="12"/>
  <c r="K893" i="12"/>
  <c r="K894" i="12"/>
  <c r="K895" i="12"/>
  <c r="K896" i="12"/>
  <c r="K897" i="12"/>
  <c r="K898" i="12"/>
  <c r="K899" i="12"/>
  <c r="K900" i="12"/>
  <c r="K901" i="12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H2" i="12"/>
  <c r="H3" i="12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230" i="12"/>
  <c r="H231" i="12"/>
  <c r="H232" i="12"/>
  <c r="H233" i="12"/>
  <c r="H234" i="12"/>
  <c r="H235" i="12"/>
  <c r="H236" i="12"/>
  <c r="H237" i="12"/>
  <c r="H238" i="12"/>
  <c r="H239" i="12"/>
  <c r="H240" i="12"/>
  <c r="H241" i="12"/>
  <c r="H242" i="12"/>
  <c r="H243" i="12"/>
  <c r="H244" i="12"/>
  <c r="H245" i="12"/>
  <c r="H246" i="12"/>
  <c r="H247" i="12"/>
  <c r="H248" i="12"/>
  <c r="H249" i="12"/>
  <c r="H250" i="12"/>
  <c r="H251" i="12"/>
  <c r="H252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H341" i="12"/>
  <c r="H342" i="12"/>
  <c r="H343" i="12"/>
  <c r="H344" i="12"/>
  <c r="H345" i="12"/>
  <c r="H346" i="12"/>
  <c r="H347" i="12"/>
  <c r="H348" i="12"/>
  <c r="H349" i="12"/>
  <c r="H350" i="12"/>
  <c r="H351" i="12"/>
  <c r="H352" i="12"/>
  <c r="H353" i="12"/>
  <c r="H354" i="12"/>
  <c r="H355" i="12"/>
  <c r="H356" i="12"/>
  <c r="H357" i="12"/>
  <c r="H358" i="12"/>
  <c r="H359" i="12"/>
  <c r="H360" i="12"/>
  <c r="H361" i="12"/>
  <c r="H362" i="12"/>
  <c r="H363" i="12"/>
  <c r="H364" i="12"/>
  <c r="H365" i="12"/>
  <c r="H366" i="12"/>
  <c r="H367" i="12"/>
  <c r="H368" i="12"/>
  <c r="H369" i="12"/>
  <c r="H370" i="12"/>
  <c r="H371" i="12"/>
  <c r="H372" i="12"/>
  <c r="H373" i="12"/>
  <c r="H374" i="12"/>
  <c r="H375" i="12"/>
  <c r="H376" i="12"/>
  <c r="H377" i="12"/>
  <c r="H378" i="12"/>
  <c r="H379" i="12"/>
  <c r="H380" i="12"/>
  <c r="H381" i="12"/>
  <c r="H382" i="12"/>
  <c r="H383" i="12"/>
  <c r="H384" i="12"/>
  <c r="H385" i="12"/>
  <c r="H386" i="12"/>
  <c r="H387" i="12"/>
  <c r="H388" i="12"/>
  <c r="H389" i="12"/>
  <c r="H390" i="12"/>
  <c r="H391" i="12"/>
  <c r="H392" i="12"/>
  <c r="H393" i="12"/>
  <c r="H394" i="12"/>
  <c r="H395" i="12"/>
  <c r="H396" i="12"/>
  <c r="H397" i="12"/>
  <c r="H398" i="12"/>
  <c r="H399" i="12"/>
  <c r="H400" i="12"/>
  <c r="H401" i="12"/>
  <c r="H402" i="12"/>
  <c r="H403" i="12"/>
  <c r="H404" i="12"/>
  <c r="H405" i="12"/>
  <c r="H406" i="12"/>
  <c r="H407" i="12"/>
  <c r="H408" i="12"/>
  <c r="H409" i="12"/>
  <c r="H410" i="12"/>
  <c r="H411" i="12"/>
  <c r="H412" i="12"/>
  <c r="H413" i="12"/>
  <c r="H414" i="12"/>
  <c r="H415" i="12"/>
  <c r="H416" i="12"/>
  <c r="H417" i="12"/>
  <c r="H418" i="12"/>
  <c r="H419" i="12"/>
  <c r="H420" i="12"/>
  <c r="H421" i="12"/>
  <c r="H422" i="12"/>
  <c r="H423" i="12"/>
  <c r="H424" i="12"/>
  <c r="H425" i="12"/>
  <c r="H426" i="12"/>
  <c r="H427" i="12"/>
  <c r="H428" i="12"/>
  <c r="H429" i="12"/>
  <c r="H430" i="12"/>
  <c r="H431" i="12"/>
  <c r="H432" i="12"/>
  <c r="H433" i="12"/>
  <c r="H434" i="12"/>
  <c r="H435" i="12"/>
  <c r="H436" i="12"/>
  <c r="H437" i="12"/>
  <c r="H438" i="12"/>
  <c r="H439" i="12"/>
  <c r="H440" i="12"/>
  <c r="H441" i="12"/>
  <c r="H442" i="12"/>
  <c r="H443" i="12"/>
  <c r="H444" i="12"/>
  <c r="H445" i="12"/>
  <c r="H446" i="12"/>
  <c r="H447" i="12"/>
  <c r="H448" i="12"/>
  <c r="H449" i="12"/>
  <c r="H450" i="12"/>
  <c r="H451" i="12"/>
  <c r="H452" i="12"/>
  <c r="H453" i="12"/>
  <c r="H454" i="12"/>
  <c r="H455" i="12"/>
  <c r="H456" i="12"/>
  <c r="H457" i="12"/>
  <c r="H458" i="12"/>
  <c r="H459" i="12"/>
  <c r="H460" i="12"/>
  <c r="H461" i="12"/>
  <c r="H462" i="12"/>
  <c r="H463" i="12"/>
  <c r="H464" i="12"/>
  <c r="H465" i="12"/>
  <c r="H466" i="12"/>
  <c r="H467" i="12"/>
  <c r="H468" i="12"/>
  <c r="H469" i="12"/>
  <c r="H470" i="12"/>
  <c r="H471" i="12"/>
  <c r="H472" i="12"/>
  <c r="H473" i="12"/>
  <c r="H474" i="12"/>
  <c r="H475" i="12"/>
  <c r="H476" i="12"/>
  <c r="H477" i="12"/>
  <c r="H478" i="12"/>
  <c r="H479" i="12"/>
  <c r="H480" i="12"/>
  <c r="H481" i="12"/>
  <c r="H482" i="12"/>
  <c r="H483" i="12"/>
  <c r="H484" i="12"/>
  <c r="H485" i="12"/>
  <c r="H486" i="12"/>
  <c r="H487" i="12"/>
  <c r="H488" i="12"/>
  <c r="H489" i="12"/>
  <c r="H490" i="12"/>
  <c r="H491" i="12"/>
  <c r="H492" i="12"/>
  <c r="H493" i="12"/>
  <c r="H494" i="12"/>
  <c r="H495" i="12"/>
  <c r="H496" i="12"/>
  <c r="H497" i="12"/>
  <c r="H498" i="12"/>
  <c r="H499" i="12"/>
  <c r="H500" i="12"/>
  <c r="H501" i="12"/>
  <c r="H502" i="12"/>
  <c r="H503" i="12"/>
  <c r="H504" i="12"/>
  <c r="H505" i="12"/>
  <c r="H506" i="12"/>
  <c r="H507" i="12"/>
  <c r="H508" i="12"/>
  <c r="H509" i="12"/>
  <c r="H510" i="12"/>
  <c r="H511" i="12"/>
  <c r="H512" i="12"/>
  <c r="H513" i="12"/>
  <c r="H514" i="12"/>
  <c r="H515" i="12"/>
  <c r="H516" i="12"/>
  <c r="H517" i="12"/>
  <c r="H518" i="12"/>
  <c r="H519" i="12"/>
  <c r="H520" i="12"/>
  <c r="H521" i="12"/>
  <c r="H522" i="12"/>
  <c r="H523" i="12"/>
  <c r="H524" i="12"/>
  <c r="H525" i="12"/>
  <c r="H526" i="12"/>
  <c r="H527" i="12"/>
  <c r="H528" i="12"/>
  <c r="H529" i="12"/>
  <c r="H530" i="12"/>
  <c r="H531" i="12"/>
  <c r="H532" i="12"/>
  <c r="H533" i="12"/>
  <c r="H534" i="12"/>
  <c r="H535" i="12"/>
  <c r="H536" i="12"/>
  <c r="H537" i="12"/>
  <c r="H538" i="12"/>
  <c r="H539" i="12"/>
  <c r="H540" i="12"/>
  <c r="H541" i="12"/>
  <c r="H542" i="12"/>
  <c r="H543" i="12"/>
  <c r="H544" i="12"/>
  <c r="H545" i="12"/>
  <c r="H546" i="12"/>
  <c r="H547" i="12"/>
  <c r="H548" i="12"/>
  <c r="H549" i="12"/>
  <c r="H550" i="12"/>
  <c r="H551" i="12"/>
  <c r="H552" i="12"/>
  <c r="H553" i="12"/>
  <c r="H554" i="12"/>
  <c r="H555" i="12"/>
  <c r="H556" i="12"/>
  <c r="H557" i="12"/>
  <c r="H558" i="12"/>
  <c r="H559" i="12"/>
  <c r="H560" i="12"/>
  <c r="H561" i="12"/>
  <c r="H562" i="12"/>
  <c r="H563" i="12"/>
  <c r="H564" i="12"/>
  <c r="H565" i="12"/>
  <c r="H566" i="12"/>
  <c r="H567" i="12"/>
  <c r="H568" i="12"/>
  <c r="H569" i="12"/>
  <c r="H570" i="12"/>
  <c r="H571" i="12"/>
  <c r="H572" i="12"/>
  <c r="H573" i="12"/>
  <c r="H574" i="12"/>
  <c r="H575" i="12"/>
  <c r="H576" i="12"/>
  <c r="H577" i="12"/>
  <c r="H578" i="12"/>
  <c r="H579" i="12"/>
  <c r="H580" i="12"/>
  <c r="H581" i="12"/>
  <c r="H582" i="12"/>
  <c r="H583" i="12"/>
  <c r="H584" i="12"/>
  <c r="H585" i="12"/>
  <c r="H586" i="12"/>
  <c r="H587" i="12"/>
  <c r="H588" i="12"/>
  <c r="H589" i="12"/>
  <c r="H590" i="12"/>
  <c r="H591" i="12"/>
  <c r="H592" i="12"/>
  <c r="H593" i="12"/>
  <c r="H594" i="12"/>
  <c r="H595" i="12"/>
  <c r="H596" i="12"/>
  <c r="H597" i="12"/>
  <c r="H598" i="12"/>
  <c r="H599" i="12"/>
  <c r="H600" i="12"/>
  <c r="H601" i="12"/>
  <c r="H602" i="12"/>
  <c r="H603" i="12"/>
  <c r="H604" i="12"/>
  <c r="H605" i="12"/>
  <c r="H606" i="12"/>
  <c r="H607" i="12"/>
  <c r="H608" i="12"/>
  <c r="H609" i="12"/>
  <c r="H610" i="12"/>
  <c r="H611" i="12"/>
  <c r="H612" i="12"/>
  <c r="H613" i="12"/>
  <c r="H614" i="12"/>
  <c r="H615" i="12"/>
  <c r="H616" i="12"/>
  <c r="H617" i="12"/>
  <c r="H618" i="12"/>
  <c r="H619" i="12"/>
  <c r="H620" i="12"/>
  <c r="H621" i="12"/>
  <c r="H622" i="12"/>
  <c r="H623" i="12"/>
  <c r="H624" i="12"/>
  <c r="H625" i="12"/>
  <c r="H626" i="12"/>
  <c r="H627" i="12"/>
  <c r="H628" i="12"/>
  <c r="H629" i="12"/>
  <c r="H630" i="12"/>
  <c r="H631" i="12"/>
  <c r="H632" i="12"/>
  <c r="H633" i="12"/>
  <c r="H634" i="12"/>
  <c r="H635" i="12"/>
  <c r="H636" i="12"/>
  <c r="H637" i="12"/>
  <c r="H638" i="12"/>
  <c r="H639" i="12"/>
  <c r="H640" i="12"/>
  <c r="H641" i="12"/>
  <c r="H642" i="12"/>
  <c r="H643" i="12"/>
  <c r="H644" i="12"/>
  <c r="H645" i="12"/>
  <c r="H646" i="12"/>
  <c r="H647" i="12"/>
  <c r="H648" i="12"/>
  <c r="H649" i="12"/>
  <c r="H650" i="12"/>
  <c r="H651" i="12"/>
  <c r="H652" i="12"/>
  <c r="H653" i="12"/>
  <c r="H654" i="12"/>
  <c r="H655" i="12"/>
  <c r="H656" i="12"/>
  <c r="H657" i="12"/>
  <c r="H658" i="12"/>
  <c r="H659" i="12"/>
  <c r="H660" i="12"/>
  <c r="H661" i="12"/>
  <c r="H662" i="12"/>
  <c r="H663" i="12"/>
  <c r="H664" i="12"/>
  <c r="H665" i="12"/>
  <c r="H666" i="12"/>
  <c r="H667" i="12"/>
  <c r="H668" i="12"/>
  <c r="H669" i="12"/>
  <c r="H670" i="12"/>
  <c r="H671" i="12"/>
  <c r="H672" i="12"/>
  <c r="H673" i="12"/>
  <c r="H674" i="12"/>
  <c r="H675" i="12"/>
  <c r="H676" i="12"/>
  <c r="H677" i="12"/>
  <c r="H678" i="12"/>
  <c r="H679" i="12"/>
  <c r="H680" i="12"/>
  <c r="H681" i="12"/>
  <c r="H682" i="12"/>
  <c r="H683" i="12"/>
  <c r="H684" i="12"/>
  <c r="H685" i="12"/>
  <c r="H686" i="12"/>
  <c r="H687" i="12"/>
  <c r="H688" i="12"/>
  <c r="H689" i="12"/>
  <c r="H690" i="12"/>
  <c r="H691" i="12"/>
  <c r="H692" i="12"/>
  <c r="H693" i="12"/>
  <c r="H694" i="12"/>
  <c r="H695" i="12"/>
  <c r="H696" i="12"/>
  <c r="H697" i="12"/>
  <c r="H698" i="12"/>
  <c r="H699" i="12"/>
  <c r="H700" i="12"/>
  <c r="H701" i="12"/>
  <c r="H702" i="12"/>
  <c r="H703" i="12"/>
  <c r="H704" i="12"/>
  <c r="H705" i="12"/>
  <c r="H706" i="12"/>
  <c r="H707" i="12"/>
  <c r="H708" i="12"/>
  <c r="H709" i="12"/>
  <c r="H710" i="12"/>
  <c r="H711" i="12"/>
  <c r="H712" i="12"/>
  <c r="H713" i="12"/>
  <c r="H714" i="12"/>
  <c r="H715" i="12"/>
  <c r="H716" i="12"/>
  <c r="H717" i="12"/>
  <c r="H718" i="12"/>
  <c r="H719" i="12"/>
  <c r="H720" i="12"/>
  <c r="H721" i="12"/>
  <c r="H722" i="12"/>
  <c r="H723" i="12"/>
  <c r="H724" i="12"/>
  <c r="H725" i="12"/>
  <c r="H726" i="12"/>
  <c r="H727" i="12"/>
  <c r="H728" i="12"/>
  <c r="H729" i="12"/>
  <c r="H730" i="12"/>
  <c r="H731" i="12"/>
  <c r="H732" i="12"/>
  <c r="H733" i="12"/>
  <c r="H734" i="12"/>
  <c r="H735" i="12"/>
  <c r="H736" i="12"/>
  <c r="H737" i="12"/>
  <c r="H738" i="12"/>
  <c r="H739" i="12"/>
  <c r="H740" i="12"/>
  <c r="H741" i="12"/>
  <c r="H742" i="12"/>
  <c r="H743" i="12"/>
  <c r="H744" i="12"/>
  <c r="H745" i="12"/>
  <c r="H746" i="12"/>
  <c r="H747" i="12"/>
  <c r="H748" i="12"/>
  <c r="H749" i="12"/>
  <c r="H750" i="12"/>
  <c r="H751" i="12"/>
  <c r="H752" i="12"/>
  <c r="H753" i="12"/>
  <c r="H754" i="12"/>
  <c r="H755" i="12"/>
  <c r="H756" i="12"/>
  <c r="H757" i="12"/>
  <c r="H758" i="12"/>
  <c r="H759" i="12"/>
  <c r="H760" i="12"/>
  <c r="H761" i="12"/>
  <c r="H762" i="12"/>
  <c r="H763" i="12"/>
  <c r="H764" i="12"/>
  <c r="H765" i="12"/>
  <c r="H766" i="12"/>
  <c r="H767" i="12"/>
  <c r="H768" i="12"/>
  <c r="H769" i="12"/>
  <c r="H770" i="12"/>
  <c r="H771" i="12"/>
  <c r="H772" i="12"/>
  <c r="H773" i="12"/>
  <c r="H774" i="12"/>
  <c r="H775" i="12"/>
  <c r="H776" i="12"/>
  <c r="H777" i="12"/>
  <c r="H778" i="12"/>
  <c r="H779" i="12"/>
  <c r="H780" i="12"/>
  <c r="H781" i="12"/>
  <c r="H782" i="12"/>
  <c r="H783" i="12"/>
  <c r="H784" i="12"/>
  <c r="H785" i="12"/>
  <c r="H786" i="12"/>
  <c r="H787" i="12"/>
  <c r="H788" i="12"/>
  <c r="H789" i="12"/>
  <c r="H790" i="12"/>
  <c r="H791" i="12"/>
  <c r="H792" i="12"/>
  <c r="H793" i="12"/>
  <c r="H794" i="12"/>
  <c r="H795" i="12"/>
  <c r="H796" i="12"/>
  <c r="H797" i="12"/>
  <c r="H798" i="12"/>
  <c r="H799" i="12"/>
  <c r="H800" i="12"/>
  <c r="H801" i="12"/>
  <c r="H802" i="12"/>
  <c r="H803" i="12"/>
  <c r="H804" i="12"/>
  <c r="H805" i="12"/>
  <c r="H806" i="12"/>
  <c r="H807" i="12"/>
  <c r="H808" i="12"/>
  <c r="H809" i="12"/>
  <c r="H810" i="12"/>
  <c r="H811" i="12"/>
  <c r="H812" i="12"/>
  <c r="H813" i="12"/>
  <c r="H814" i="12"/>
  <c r="H815" i="12"/>
  <c r="H816" i="12"/>
  <c r="H817" i="12"/>
  <c r="H818" i="12"/>
  <c r="H819" i="12"/>
  <c r="H820" i="12"/>
  <c r="H821" i="12"/>
  <c r="H822" i="12"/>
  <c r="H823" i="12"/>
  <c r="H824" i="12"/>
  <c r="H825" i="12"/>
  <c r="H826" i="12"/>
  <c r="H827" i="12"/>
  <c r="H828" i="12"/>
  <c r="H829" i="12"/>
  <c r="H830" i="12"/>
  <c r="H831" i="12"/>
  <c r="H832" i="12"/>
  <c r="H833" i="12"/>
  <c r="H834" i="12"/>
  <c r="H835" i="12"/>
  <c r="H836" i="12"/>
  <c r="H837" i="12"/>
  <c r="H838" i="12"/>
  <c r="H839" i="12"/>
  <c r="H840" i="12"/>
  <c r="H841" i="12"/>
  <c r="H842" i="12"/>
  <c r="H843" i="12"/>
  <c r="H844" i="12"/>
  <c r="H845" i="12"/>
  <c r="H846" i="12"/>
  <c r="H847" i="12"/>
  <c r="H848" i="12"/>
  <c r="H849" i="12"/>
  <c r="H850" i="12"/>
  <c r="H851" i="12"/>
  <c r="H852" i="12"/>
  <c r="H853" i="12"/>
  <c r="H854" i="12"/>
  <c r="H855" i="12"/>
  <c r="H856" i="12"/>
  <c r="H857" i="12"/>
  <c r="H858" i="12"/>
  <c r="H859" i="12"/>
  <c r="H860" i="12"/>
  <c r="H861" i="12"/>
  <c r="H862" i="12"/>
  <c r="H863" i="12"/>
  <c r="H864" i="12"/>
  <c r="H865" i="12"/>
  <c r="H866" i="12"/>
  <c r="H867" i="12"/>
  <c r="H868" i="12"/>
  <c r="H869" i="12"/>
  <c r="H870" i="12"/>
  <c r="H871" i="12"/>
  <c r="H872" i="12"/>
  <c r="H873" i="12"/>
  <c r="H874" i="12"/>
  <c r="H875" i="12"/>
  <c r="H876" i="12"/>
  <c r="H877" i="12"/>
  <c r="H878" i="12"/>
  <c r="H879" i="12"/>
  <c r="H880" i="12"/>
  <c r="H881" i="12"/>
  <c r="H882" i="12"/>
  <c r="H883" i="12"/>
  <c r="H884" i="12"/>
  <c r="H885" i="12"/>
  <c r="H886" i="12"/>
  <c r="H887" i="12"/>
  <c r="H888" i="12"/>
  <c r="H889" i="12"/>
  <c r="H890" i="12"/>
  <c r="H891" i="12"/>
  <c r="H892" i="12"/>
  <c r="H893" i="12"/>
  <c r="H894" i="12"/>
  <c r="H895" i="12"/>
  <c r="H896" i="12"/>
  <c r="H897" i="12"/>
  <c r="H898" i="12"/>
  <c r="H899" i="12"/>
  <c r="H900" i="12"/>
  <c r="H901" i="12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586" i="12"/>
  <c r="D587" i="12"/>
  <c r="D588" i="12"/>
  <c r="D589" i="12"/>
  <c r="D590" i="12"/>
  <c r="D591" i="12"/>
  <c r="D592" i="12"/>
  <c r="D593" i="12"/>
  <c r="D594" i="12"/>
  <c r="D595" i="12"/>
  <c r="D596" i="12"/>
  <c r="D597" i="12"/>
  <c r="D598" i="12"/>
  <c r="D599" i="12"/>
  <c r="D600" i="12"/>
  <c r="D601" i="12"/>
  <c r="D602" i="12"/>
  <c r="D603" i="12"/>
  <c r="D604" i="12"/>
  <c r="D605" i="12"/>
  <c r="D606" i="12"/>
  <c r="D607" i="12"/>
  <c r="D608" i="12"/>
  <c r="D609" i="12"/>
  <c r="D610" i="12"/>
  <c r="D611" i="12"/>
  <c r="D612" i="12"/>
  <c r="D613" i="12"/>
  <c r="D614" i="12"/>
  <c r="D615" i="12"/>
  <c r="D616" i="12"/>
  <c r="D617" i="12"/>
  <c r="D618" i="12"/>
  <c r="D619" i="12"/>
  <c r="D620" i="12"/>
  <c r="D621" i="12"/>
  <c r="D622" i="12"/>
  <c r="D623" i="12"/>
  <c r="D624" i="12"/>
  <c r="D625" i="12"/>
  <c r="D626" i="12"/>
  <c r="D627" i="12"/>
  <c r="D628" i="12"/>
  <c r="D629" i="12"/>
  <c r="D630" i="12"/>
  <c r="D631" i="12"/>
  <c r="D632" i="12"/>
  <c r="D633" i="12"/>
  <c r="D634" i="12"/>
  <c r="D635" i="12"/>
  <c r="D636" i="12"/>
  <c r="D637" i="12"/>
  <c r="D638" i="12"/>
  <c r="D639" i="12"/>
  <c r="D640" i="12"/>
  <c r="D641" i="12"/>
  <c r="D642" i="12"/>
  <c r="D643" i="12"/>
  <c r="D644" i="12"/>
  <c r="D645" i="12"/>
  <c r="D646" i="12"/>
  <c r="D647" i="12"/>
  <c r="D648" i="12"/>
  <c r="D649" i="12"/>
  <c r="D650" i="12"/>
  <c r="D651" i="12"/>
  <c r="D652" i="12"/>
  <c r="D653" i="12"/>
  <c r="D654" i="12"/>
  <c r="D655" i="12"/>
  <c r="D656" i="12"/>
  <c r="D657" i="12"/>
  <c r="D658" i="12"/>
  <c r="D659" i="12"/>
  <c r="D660" i="12"/>
  <c r="D661" i="12"/>
  <c r="D662" i="12"/>
  <c r="D663" i="12"/>
  <c r="D664" i="12"/>
  <c r="D665" i="12"/>
  <c r="D666" i="12"/>
  <c r="D667" i="12"/>
  <c r="D668" i="12"/>
  <c r="D669" i="12"/>
  <c r="D670" i="12"/>
  <c r="D671" i="12"/>
  <c r="D672" i="12"/>
  <c r="D673" i="12"/>
  <c r="D674" i="12"/>
  <c r="D675" i="12"/>
  <c r="D676" i="12"/>
  <c r="D677" i="12"/>
  <c r="D678" i="12"/>
  <c r="D679" i="12"/>
  <c r="D680" i="12"/>
  <c r="D681" i="12"/>
  <c r="D682" i="12"/>
  <c r="D683" i="12"/>
  <c r="D684" i="12"/>
  <c r="D685" i="12"/>
  <c r="D686" i="12"/>
  <c r="D687" i="12"/>
  <c r="D688" i="12"/>
  <c r="D689" i="12"/>
  <c r="D690" i="12"/>
  <c r="D691" i="12"/>
  <c r="D692" i="12"/>
  <c r="D693" i="12"/>
  <c r="D694" i="12"/>
  <c r="D695" i="12"/>
  <c r="D696" i="12"/>
  <c r="D697" i="12"/>
  <c r="D698" i="12"/>
  <c r="D699" i="12"/>
  <c r="D700" i="12"/>
  <c r="D701" i="12"/>
  <c r="D702" i="12"/>
  <c r="D703" i="12"/>
  <c r="D704" i="12"/>
  <c r="D705" i="12"/>
  <c r="D706" i="12"/>
  <c r="D707" i="12"/>
  <c r="D708" i="12"/>
  <c r="D709" i="12"/>
  <c r="D710" i="12"/>
  <c r="D711" i="12"/>
  <c r="D712" i="12"/>
  <c r="D713" i="12"/>
  <c r="D714" i="12"/>
  <c r="D715" i="12"/>
  <c r="D716" i="12"/>
  <c r="D717" i="12"/>
  <c r="D718" i="12"/>
  <c r="D719" i="12"/>
  <c r="D720" i="12"/>
  <c r="D721" i="12"/>
  <c r="D722" i="12"/>
  <c r="D723" i="12"/>
  <c r="D724" i="12"/>
  <c r="D725" i="12"/>
  <c r="D726" i="12"/>
  <c r="D727" i="12"/>
  <c r="D728" i="12"/>
  <c r="D729" i="12"/>
  <c r="D730" i="12"/>
  <c r="D731" i="12"/>
  <c r="D732" i="12"/>
  <c r="D733" i="12"/>
  <c r="D734" i="12"/>
  <c r="D735" i="12"/>
  <c r="D736" i="12"/>
  <c r="D737" i="12"/>
  <c r="D738" i="12"/>
  <c r="D739" i="12"/>
  <c r="D740" i="12"/>
  <c r="D741" i="12"/>
  <c r="D742" i="12"/>
  <c r="D743" i="12"/>
  <c r="D744" i="12"/>
  <c r="D745" i="12"/>
  <c r="D746" i="12"/>
  <c r="D747" i="12"/>
  <c r="D748" i="12"/>
  <c r="D749" i="12"/>
  <c r="D750" i="12"/>
  <c r="D751" i="12"/>
  <c r="D752" i="12"/>
  <c r="D753" i="12"/>
  <c r="D754" i="12"/>
  <c r="D755" i="12"/>
  <c r="D756" i="12"/>
  <c r="D757" i="12"/>
  <c r="D758" i="12"/>
  <c r="D759" i="12"/>
  <c r="D760" i="12"/>
  <c r="D761" i="12"/>
  <c r="D762" i="12"/>
  <c r="D763" i="12"/>
  <c r="D764" i="12"/>
  <c r="D765" i="12"/>
  <c r="D766" i="12"/>
  <c r="D767" i="12"/>
  <c r="D768" i="12"/>
  <c r="D769" i="12"/>
  <c r="D770" i="12"/>
  <c r="D771" i="12"/>
  <c r="D772" i="12"/>
  <c r="D773" i="12"/>
  <c r="D774" i="12"/>
  <c r="D775" i="12"/>
  <c r="D776" i="12"/>
  <c r="D777" i="12"/>
  <c r="D778" i="12"/>
  <c r="D779" i="12"/>
  <c r="D780" i="12"/>
  <c r="D781" i="12"/>
  <c r="D782" i="12"/>
  <c r="D783" i="12"/>
  <c r="D784" i="12"/>
  <c r="D785" i="12"/>
  <c r="D786" i="12"/>
  <c r="D787" i="12"/>
  <c r="D788" i="12"/>
  <c r="D789" i="12"/>
  <c r="D790" i="12"/>
  <c r="D791" i="12"/>
  <c r="D792" i="12"/>
  <c r="D793" i="12"/>
  <c r="D794" i="12"/>
  <c r="D795" i="12"/>
  <c r="D796" i="12"/>
  <c r="D797" i="12"/>
  <c r="D798" i="12"/>
  <c r="D799" i="12"/>
  <c r="D800" i="12"/>
  <c r="D801" i="12"/>
  <c r="D802" i="12"/>
  <c r="D803" i="12"/>
  <c r="D804" i="12"/>
  <c r="D805" i="12"/>
  <c r="D806" i="12"/>
  <c r="D807" i="12"/>
  <c r="D808" i="12"/>
  <c r="D809" i="12"/>
  <c r="D810" i="12"/>
  <c r="D811" i="12"/>
  <c r="D812" i="12"/>
  <c r="D813" i="12"/>
  <c r="D814" i="12"/>
  <c r="D815" i="12"/>
  <c r="D816" i="12"/>
  <c r="D817" i="12"/>
  <c r="D818" i="12"/>
  <c r="D819" i="12"/>
  <c r="D820" i="12"/>
  <c r="D821" i="12"/>
  <c r="D822" i="12"/>
  <c r="D823" i="12"/>
  <c r="D824" i="12"/>
  <c r="D825" i="12"/>
  <c r="D826" i="12"/>
  <c r="D827" i="12"/>
  <c r="D828" i="12"/>
  <c r="D829" i="12"/>
  <c r="D830" i="12"/>
  <c r="D831" i="12"/>
  <c r="D832" i="12"/>
  <c r="D833" i="12"/>
  <c r="D834" i="12"/>
  <c r="D835" i="12"/>
  <c r="D836" i="12"/>
  <c r="D837" i="12"/>
  <c r="D838" i="12"/>
  <c r="D839" i="12"/>
  <c r="D840" i="12"/>
  <c r="D841" i="12"/>
  <c r="D842" i="12"/>
  <c r="D843" i="12"/>
  <c r="D844" i="12"/>
  <c r="D845" i="12"/>
  <c r="D846" i="12"/>
  <c r="D847" i="12"/>
  <c r="D848" i="12"/>
  <c r="D849" i="12"/>
  <c r="D850" i="12"/>
  <c r="D851" i="12"/>
  <c r="D852" i="12"/>
  <c r="D853" i="12"/>
  <c r="D854" i="12"/>
  <c r="D855" i="12"/>
  <c r="D856" i="12"/>
  <c r="D857" i="12"/>
  <c r="D858" i="12"/>
  <c r="D859" i="12"/>
  <c r="D860" i="12"/>
  <c r="D861" i="12"/>
  <c r="D862" i="12"/>
  <c r="D863" i="12"/>
  <c r="D864" i="12"/>
  <c r="D865" i="12"/>
  <c r="D866" i="12"/>
  <c r="D867" i="12"/>
  <c r="D868" i="12"/>
  <c r="D869" i="12"/>
  <c r="D870" i="12"/>
  <c r="D871" i="12"/>
  <c r="D872" i="12"/>
  <c r="D873" i="12"/>
  <c r="D874" i="12"/>
  <c r="D875" i="12"/>
  <c r="D876" i="12"/>
  <c r="D877" i="12"/>
  <c r="D878" i="12"/>
  <c r="D879" i="12"/>
  <c r="D880" i="12"/>
  <c r="D881" i="12"/>
  <c r="D882" i="12"/>
  <c r="D883" i="12"/>
  <c r="D884" i="12"/>
  <c r="D885" i="12"/>
  <c r="D886" i="12"/>
  <c r="D887" i="12"/>
  <c r="D888" i="12"/>
  <c r="D889" i="12"/>
  <c r="D890" i="12"/>
  <c r="D891" i="12"/>
  <c r="D892" i="12"/>
  <c r="D893" i="12"/>
  <c r="D894" i="12"/>
  <c r="D895" i="12"/>
  <c r="D896" i="12"/>
  <c r="D897" i="12"/>
  <c r="D898" i="12"/>
  <c r="D899" i="12"/>
  <c r="D900" i="12"/>
  <c r="D901" i="12"/>
  <c r="N624" i="12" l="1"/>
  <c r="B624" i="12" s="1"/>
  <c r="M896" i="12"/>
  <c r="M888" i="12"/>
  <c r="M880" i="12"/>
  <c r="M872" i="12"/>
  <c r="M864" i="12"/>
  <c r="M856" i="12"/>
  <c r="M847" i="12"/>
  <c r="M838" i="12"/>
  <c r="M828" i="12"/>
  <c r="M819" i="12"/>
  <c r="M810" i="12"/>
  <c r="M793" i="12"/>
  <c r="M770" i="12"/>
  <c r="M751" i="12"/>
  <c r="M729" i="12"/>
  <c r="M706" i="12"/>
  <c r="M687" i="12"/>
  <c r="M665" i="12"/>
  <c r="M642" i="12"/>
  <c r="M610" i="12"/>
  <c r="M578" i="12"/>
  <c r="M546" i="12"/>
  <c r="M514" i="12"/>
  <c r="M482" i="12"/>
  <c r="M450" i="12"/>
  <c r="M418" i="12"/>
  <c r="M380" i="12"/>
  <c r="M329" i="12"/>
  <c r="M278" i="12"/>
  <c r="M214" i="12"/>
  <c r="M130" i="12"/>
  <c r="M47" i="12"/>
  <c r="N861" i="12"/>
  <c r="B861" i="12" s="1"/>
  <c r="N654" i="12"/>
  <c r="B654" i="12" s="1"/>
  <c r="M895" i="12"/>
  <c r="M887" i="12"/>
  <c r="M879" i="12"/>
  <c r="M871" i="12"/>
  <c r="M863" i="12"/>
  <c r="M855" i="12"/>
  <c r="M846" i="12"/>
  <c r="M836" i="12"/>
  <c r="M827" i="12"/>
  <c r="M818" i="12"/>
  <c r="M809" i="12"/>
  <c r="M791" i="12"/>
  <c r="M769" i="12"/>
  <c r="M746" i="12"/>
  <c r="M727" i="12"/>
  <c r="M705" i="12"/>
  <c r="M682" i="12"/>
  <c r="M663" i="12"/>
  <c r="M639" i="12"/>
  <c r="M607" i="12"/>
  <c r="M575" i="12"/>
  <c r="M543" i="12"/>
  <c r="M511" i="12"/>
  <c r="M479" i="12"/>
  <c r="M447" i="12"/>
  <c r="M415" i="12"/>
  <c r="M375" i="12"/>
  <c r="M324" i="12"/>
  <c r="M271" i="12"/>
  <c r="M207" i="12"/>
  <c r="M122" i="12"/>
  <c r="M39" i="12"/>
  <c r="N853" i="12"/>
  <c r="B853" i="12" s="1"/>
  <c r="N3" i="12"/>
  <c r="B3" i="12" s="1"/>
  <c r="N11" i="12"/>
  <c r="B11" i="12" s="1"/>
  <c r="N19" i="12"/>
  <c r="B19" i="12" s="1"/>
  <c r="N27" i="12"/>
  <c r="B27" i="12" s="1"/>
  <c r="N35" i="12"/>
  <c r="B35" i="12" s="1"/>
  <c r="N43" i="12"/>
  <c r="B43" i="12" s="1"/>
  <c r="N51" i="12"/>
  <c r="B51" i="12" s="1"/>
  <c r="N59" i="12"/>
  <c r="B59" i="12" s="1"/>
  <c r="N67" i="12"/>
  <c r="B67" i="12" s="1"/>
  <c r="N75" i="12"/>
  <c r="B75" i="12" s="1"/>
  <c r="N83" i="12"/>
  <c r="B83" i="12" s="1"/>
  <c r="N91" i="12"/>
  <c r="B91" i="12" s="1"/>
  <c r="N99" i="12"/>
  <c r="B99" i="12" s="1"/>
  <c r="N107" i="12"/>
  <c r="B107" i="12" s="1"/>
  <c r="N115" i="12"/>
  <c r="B115" i="12" s="1"/>
  <c r="N123" i="12"/>
  <c r="B123" i="12" s="1"/>
  <c r="N131" i="12"/>
  <c r="B131" i="12" s="1"/>
  <c r="N139" i="12"/>
  <c r="B139" i="12" s="1"/>
  <c r="N147" i="12"/>
  <c r="B147" i="12" s="1"/>
  <c r="N155" i="12"/>
  <c r="B155" i="12" s="1"/>
  <c r="N163" i="12"/>
  <c r="B163" i="12" s="1"/>
  <c r="N171" i="12"/>
  <c r="B171" i="12" s="1"/>
  <c r="N179" i="12"/>
  <c r="B179" i="12" s="1"/>
  <c r="N187" i="12"/>
  <c r="B187" i="12" s="1"/>
  <c r="N195" i="12"/>
  <c r="B195" i="12" s="1"/>
  <c r="N203" i="12"/>
  <c r="B203" i="12" s="1"/>
  <c r="N211" i="12"/>
  <c r="B211" i="12" s="1"/>
  <c r="N219" i="12"/>
  <c r="B219" i="12" s="1"/>
  <c r="N227" i="12"/>
  <c r="B227" i="12" s="1"/>
  <c r="N235" i="12"/>
  <c r="B235" i="12" s="1"/>
  <c r="N243" i="12"/>
  <c r="B243" i="12" s="1"/>
  <c r="N251" i="12"/>
  <c r="B251" i="12" s="1"/>
  <c r="N259" i="12"/>
  <c r="B259" i="12" s="1"/>
  <c r="N267" i="12"/>
  <c r="B267" i="12" s="1"/>
  <c r="N275" i="12"/>
  <c r="B275" i="12" s="1"/>
  <c r="N283" i="12"/>
  <c r="B283" i="12" s="1"/>
  <c r="N4" i="12"/>
  <c r="B4" i="12" s="1"/>
  <c r="N12" i="12"/>
  <c r="B12" i="12" s="1"/>
  <c r="N20" i="12"/>
  <c r="B20" i="12" s="1"/>
  <c r="N28" i="12"/>
  <c r="B28" i="12" s="1"/>
  <c r="N36" i="12"/>
  <c r="B36" i="12" s="1"/>
  <c r="N44" i="12"/>
  <c r="B44" i="12" s="1"/>
  <c r="N52" i="12"/>
  <c r="B52" i="12" s="1"/>
  <c r="N60" i="12"/>
  <c r="B60" i="12" s="1"/>
  <c r="N68" i="12"/>
  <c r="B68" i="12" s="1"/>
  <c r="N76" i="12"/>
  <c r="B76" i="12" s="1"/>
  <c r="N84" i="12"/>
  <c r="B84" i="12" s="1"/>
  <c r="N92" i="12"/>
  <c r="B92" i="12" s="1"/>
  <c r="N100" i="12"/>
  <c r="B100" i="12" s="1"/>
  <c r="N108" i="12"/>
  <c r="B108" i="12" s="1"/>
  <c r="N116" i="12"/>
  <c r="B116" i="12" s="1"/>
  <c r="N124" i="12"/>
  <c r="B124" i="12" s="1"/>
  <c r="N132" i="12"/>
  <c r="B132" i="12" s="1"/>
  <c r="N140" i="12"/>
  <c r="B140" i="12" s="1"/>
  <c r="N148" i="12"/>
  <c r="B148" i="12" s="1"/>
  <c r="N156" i="12"/>
  <c r="B156" i="12" s="1"/>
  <c r="N164" i="12"/>
  <c r="B164" i="12" s="1"/>
  <c r="N172" i="12"/>
  <c r="B172" i="12" s="1"/>
  <c r="N180" i="12"/>
  <c r="B180" i="12" s="1"/>
  <c r="N188" i="12"/>
  <c r="B188" i="12" s="1"/>
  <c r="N196" i="12"/>
  <c r="B196" i="12" s="1"/>
  <c r="N204" i="12"/>
  <c r="B204" i="12" s="1"/>
  <c r="N212" i="12"/>
  <c r="B212" i="12" s="1"/>
  <c r="N220" i="12"/>
  <c r="B220" i="12" s="1"/>
  <c r="N228" i="12"/>
  <c r="B228" i="12" s="1"/>
  <c r="N236" i="12"/>
  <c r="B236" i="12" s="1"/>
  <c r="N244" i="12"/>
  <c r="B244" i="12" s="1"/>
  <c r="N252" i="12"/>
  <c r="B252" i="12" s="1"/>
  <c r="N260" i="12"/>
  <c r="B260" i="12" s="1"/>
  <c r="N268" i="12"/>
  <c r="B268" i="12" s="1"/>
  <c r="N276" i="12"/>
  <c r="B276" i="12" s="1"/>
  <c r="N284" i="12"/>
  <c r="B284" i="12" s="1"/>
  <c r="N292" i="12"/>
  <c r="B292" i="12" s="1"/>
  <c r="N5" i="12"/>
  <c r="B5" i="12" s="1"/>
  <c r="N13" i="12"/>
  <c r="B13" i="12" s="1"/>
  <c r="N21" i="12"/>
  <c r="B21" i="12" s="1"/>
  <c r="N29" i="12"/>
  <c r="B29" i="12" s="1"/>
  <c r="N37" i="12"/>
  <c r="B37" i="12" s="1"/>
  <c r="N45" i="12"/>
  <c r="B45" i="12" s="1"/>
  <c r="N53" i="12"/>
  <c r="B53" i="12" s="1"/>
  <c r="N61" i="12"/>
  <c r="B61" i="12" s="1"/>
  <c r="N69" i="12"/>
  <c r="B69" i="12" s="1"/>
  <c r="N77" i="12"/>
  <c r="B77" i="12" s="1"/>
  <c r="N85" i="12"/>
  <c r="B85" i="12" s="1"/>
  <c r="N93" i="12"/>
  <c r="B93" i="12" s="1"/>
  <c r="N101" i="12"/>
  <c r="B101" i="12" s="1"/>
  <c r="N109" i="12"/>
  <c r="B109" i="12" s="1"/>
  <c r="N117" i="12"/>
  <c r="B117" i="12" s="1"/>
  <c r="N125" i="12"/>
  <c r="B125" i="12" s="1"/>
  <c r="N133" i="12"/>
  <c r="B133" i="12" s="1"/>
  <c r="N141" i="12"/>
  <c r="B141" i="12" s="1"/>
  <c r="N149" i="12"/>
  <c r="B149" i="12" s="1"/>
  <c r="N157" i="12"/>
  <c r="B157" i="12" s="1"/>
  <c r="N165" i="12"/>
  <c r="B165" i="12" s="1"/>
  <c r="N173" i="12"/>
  <c r="B173" i="12" s="1"/>
  <c r="N181" i="12"/>
  <c r="B181" i="12" s="1"/>
  <c r="N189" i="12"/>
  <c r="B189" i="12" s="1"/>
  <c r="N197" i="12"/>
  <c r="B197" i="12" s="1"/>
  <c r="N205" i="12"/>
  <c r="B205" i="12" s="1"/>
  <c r="N213" i="12"/>
  <c r="B213" i="12" s="1"/>
  <c r="N221" i="12"/>
  <c r="B221" i="12" s="1"/>
  <c r="N229" i="12"/>
  <c r="B229" i="12" s="1"/>
  <c r="N237" i="12"/>
  <c r="B237" i="12" s="1"/>
  <c r="N245" i="12"/>
  <c r="B245" i="12" s="1"/>
  <c r="N253" i="12"/>
  <c r="B253" i="12" s="1"/>
  <c r="N261" i="12"/>
  <c r="B261" i="12" s="1"/>
  <c r="N269" i="12"/>
  <c r="B269" i="12" s="1"/>
  <c r="N277" i="12"/>
  <c r="B277" i="12" s="1"/>
  <c r="N285" i="12"/>
  <c r="B285" i="12" s="1"/>
  <c r="N293" i="12"/>
  <c r="B293" i="12" s="1"/>
  <c r="N6" i="12"/>
  <c r="B6" i="12" s="1"/>
  <c r="N14" i="12"/>
  <c r="B14" i="12" s="1"/>
  <c r="N22" i="12"/>
  <c r="B22" i="12" s="1"/>
  <c r="N30" i="12"/>
  <c r="B30" i="12" s="1"/>
  <c r="N38" i="12"/>
  <c r="B38" i="12" s="1"/>
  <c r="N46" i="12"/>
  <c r="B46" i="12" s="1"/>
  <c r="N54" i="12"/>
  <c r="B54" i="12" s="1"/>
  <c r="N62" i="12"/>
  <c r="B62" i="12" s="1"/>
  <c r="N70" i="12"/>
  <c r="B70" i="12" s="1"/>
  <c r="N78" i="12"/>
  <c r="B78" i="12" s="1"/>
  <c r="N86" i="12"/>
  <c r="B86" i="12" s="1"/>
  <c r="N94" i="12"/>
  <c r="B94" i="12" s="1"/>
  <c r="N102" i="12"/>
  <c r="B102" i="12" s="1"/>
  <c r="N110" i="12"/>
  <c r="B110" i="12" s="1"/>
  <c r="N118" i="12"/>
  <c r="B118" i="12" s="1"/>
  <c r="N126" i="12"/>
  <c r="B126" i="12" s="1"/>
  <c r="N134" i="12"/>
  <c r="B134" i="12" s="1"/>
  <c r="N142" i="12"/>
  <c r="B142" i="12" s="1"/>
  <c r="N150" i="12"/>
  <c r="B150" i="12" s="1"/>
  <c r="N158" i="12"/>
  <c r="B158" i="12" s="1"/>
  <c r="N166" i="12"/>
  <c r="B166" i="12" s="1"/>
  <c r="N174" i="12"/>
  <c r="B174" i="12" s="1"/>
  <c r="N182" i="12"/>
  <c r="B182" i="12" s="1"/>
  <c r="N190" i="12"/>
  <c r="B190" i="12" s="1"/>
  <c r="N198" i="12"/>
  <c r="B198" i="12" s="1"/>
  <c r="N206" i="12"/>
  <c r="B206" i="12" s="1"/>
  <c r="N214" i="12"/>
  <c r="B214" i="12" s="1"/>
  <c r="N222" i="12"/>
  <c r="B222" i="12" s="1"/>
  <c r="N230" i="12"/>
  <c r="B230" i="12" s="1"/>
  <c r="N238" i="12"/>
  <c r="B238" i="12" s="1"/>
  <c r="N246" i="12"/>
  <c r="B246" i="12" s="1"/>
  <c r="N254" i="12"/>
  <c r="B254" i="12" s="1"/>
  <c r="N262" i="12"/>
  <c r="B262" i="12" s="1"/>
  <c r="N270" i="12"/>
  <c r="B270" i="12" s="1"/>
  <c r="N278" i="12"/>
  <c r="B278" i="12" s="1"/>
  <c r="N286" i="12"/>
  <c r="B286" i="12" s="1"/>
  <c r="N7" i="12"/>
  <c r="B7" i="12" s="1"/>
  <c r="N15" i="12"/>
  <c r="B15" i="12" s="1"/>
  <c r="N23" i="12"/>
  <c r="B23" i="12" s="1"/>
  <c r="N31" i="12"/>
  <c r="B31" i="12" s="1"/>
  <c r="N39" i="12"/>
  <c r="B39" i="12" s="1"/>
  <c r="N47" i="12"/>
  <c r="B47" i="12" s="1"/>
  <c r="N55" i="12"/>
  <c r="B55" i="12" s="1"/>
  <c r="N63" i="12"/>
  <c r="B63" i="12" s="1"/>
  <c r="N71" i="12"/>
  <c r="B71" i="12" s="1"/>
  <c r="N79" i="12"/>
  <c r="B79" i="12" s="1"/>
  <c r="N87" i="12"/>
  <c r="B87" i="12" s="1"/>
  <c r="N95" i="12"/>
  <c r="B95" i="12" s="1"/>
  <c r="N103" i="12"/>
  <c r="B103" i="12" s="1"/>
  <c r="N111" i="12"/>
  <c r="B111" i="12" s="1"/>
  <c r="N119" i="12"/>
  <c r="B119" i="12" s="1"/>
  <c r="N127" i="12"/>
  <c r="B127" i="12" s="1"/>
  <c r="N135" i="12"/>
  <c r="B135" i="12" s="1"/>
  <c r="N143" i="12"/>
  <c r="B143" i="12" s="1"/>
  <c r="N151" i="12"/>
  <c r="B151" i="12" s="1"/>
  <c r="N159" i="12"/>
  <c r="B159" i="12" s="1"/>
  <c r="N167" i="12"/>
  <c r="B167" i="12" s="1"/>
  <c r="N175" i="12"/>
  <c r="B175" i="12" s="1"/>
  <c r="N183" i="12"/>
  <c r="B183" i="12" s="1"/>
  <c r="N191" i="12"/>
  <c r="B191" i="12" s="1"/>
  <c r="N199" i="12"/>
  <c r="B199" i="12" s="1"/>
  <c r="N207" i="12"/>
  <c r="B207" i="12" s="1"/>
  <c r="N215" i="12"/>
  <c r="B215" i="12" s="1"/>
  <c r="N223" i="12"/>
  <c r="B223" i="12" s="1"/>
  <c r="N231" i="12"/>
  <c r="B231" i="12" s="1"/>
  <c r="N239" i="12"/>
  <c r="B239" i="12" s="1"/>
  <c r="N247" i="12"/>
  <c r="B247" i="12" s="1"/>
  <c r="N255" i="12"/>
  <c r="B255" i="12" s="1"/>
  <c r="N263" i="12"/>
  <c r="B263" i="12" s="1"/>
  <c r="N271" i="12"/>
  <c r="B271" i="12" s="1"/>
  <c r="N279" i="12"/>
  <c r="B279" i="12" s="1"/>
  <c r="N287" i="12"/>
  <c r="B287" i="12" s="1"/>
  <c r="N295" i="12"/>
  <c r="B295" i="12" s="1"/>
  <c r="N9" i="12"/>
  <c r="B9" i="12" s="1"/>
  <c r="N17" i="12"/>
  <c r="B17" i="12" s="1"/>
  <c r="N25" i="12"/>
  <c r="B25" i="12" s="1"/>
  <c r="N33" i="12"/>
  <c r="B33" i="12" s="1"/>
  <c r="N41" i="12"/>
  <c r="B41" i="12" s="1"/>
  <c r="N49" i="12"/>
  <c r="B49" i="12" s="1"/>
  <c r="N57" i="12"/>
  <c r="B57" i="12" s="1"/>
  <c r="N65" i="12"/>
  <c r="B65" i="12" s="1"/>
  <c r="N73" i="12"/>
  <c r="B73" i="12" s="1"/>
  <c r="N81" i="12"/>
  <c r="B81" i="12" s="1"/>
  <c r="N89" i="12"/>
  <c r="B89" i="12" s="1"/>
  <c r="N97" i="12"/>
  <c r="B97" i="12" s="1"/>
  <c r="N105" i="12"/>
  <c r="B105" i="12" s="1"/>
  <c r="N113" i="12"/>
  <c r="B113" i="12" s="1"/>
  <c r="N121" i="12"/>
  <c r="B121" i="12" s="1"/>
  <c r="N129" i="12"/>
  <c r="B129" i="12" s="1"/>
  <c r="N137" i="12"/>
  <c r="B137" i="12" s="1"/>
  <c r="N145" i="12"/>
  <c r="B145" i="12" s="1"/>
  <c r="N153" i="12"/>
  <c r="B153" i="12" s="1"/>
  <c r="N161" i="12"/>
  <c r="B161" i="12" s="1"/>
  <c r="N169" i="12"/>
  <c r="B169" i="12" s="1"/>
  <c r="N177" i="12"/>
  <c r="B177" i="12" s="1"/>
  <c r="N185" i="12"/>
  <c r="B185" i="12" s="1"/>
  <c r="N193" i="12"/>
  <c r="B193" i="12" s="1"/>
  <c r="N201" i="12"/>
  <c r="B201" i="12" s="1"/>
  <c r="N209" i="12"/>
  <c r="B209" i="12" s="1"/>
  <c r="N217" i="12"/>
  <c r="B217" i="12" s="1"/>
  <c r="N225" i="12"/>
  <c r="B225" i="12" s="1"/>
  <c r="N233" i="12"/>
  <c r="B233" i="12" s="1"/>
  <c r="N241" i="12"/>
  <c r="B241" i="12" s="1"/>
  <c r="N249" i="12"/>
  <c r="B249" i="12" s="1"/>
  <c r="N257" i="12"/>
  <c r="B257" i="12" s="1"/>
  <c r="N265" i="12"/>
  <c r="B265" i="12" s="1"/>
  <c r="N273" i="12"/>
  <c r="B273" i="12" s="1"/>
  <c r="N281" i="12"/>
  <c r="B281" i="12" s="1"/>
  <c r="N289" i="12"/>
  <c r="B289" i="12" s="1"/>
  <c r="N24" i="12"/>
  <c r="B24" i="12" s="1"/>
  <c r="N56" i="12"/>
  <c r="B56" i="12" s="1"/>
  <c r="N88" i="12"/>
  <c r="B88" i="12" s="1"/>
  <c r="N120" i="12"/>
  <c r="B120" i="12" s="1"/>
  <c r="N152" i="12"/>
  <c r="B152" i="12" s="1"/>
  <c r="N184" i="12"/>
  <c r="B184" i="12" s="1"/>
  <c r="N216" i="12"/>
  <c r="B216" i="12" s="1"/>
  <c r="N248" i="12"/>
  <c r="B248" i="12" s="1"/>
  <c r="N280" i="12"/>
  <c r="B280" i="12" s="1"/>
  <c r="N298" i="12"/>
  <c r="B298" i="12" s="1"/>
  <c r="N306" i="12"/>
  <c r="B306" i="12" s="1"/>
  <c r="N314" i="12"/>
  <c r="B314" i="12" s="1"/>
  <c r="N322" i="12"/>
  <c r="B322" i="12" s="1"/>
  <c r="N330" i="12"/>
  <c r="B330" i="12" s="1"/>
  <c r="N338" i="12"/>
  <c r="B338" i="12" s="1"/>
  <c r="N346" i="12"/>
  <c r="B346" i="12" s="1"/>
  <c r="N354" i="12"/>
  <c r="B354" i="12" s="1"/>
  <c r="N362" i="12"/>
  <c r="B362" i="12" s="1"/>
  <c r="N370" i="12"/>
  <c r="B370" i="12" s="1"/>
  <c r="N378" i="12"/>
  <c r="B378" i="12" s="1"/>
  <c r="N386" i="12"/>
  <c r="B386" i="12" s="1"/>
  <c r="N394" i="12"/>
  <c r="B394" i="12" s="1"/>
  <c r="N402" i="12"/>
  <c r="B402" i="12" s="1"/>
  <c r="N410" i="12"/>
  <c r="B410" i="12" s="1"/>
  <c r="N418" i="12"/>
  <c r="B418" i="12" s="1"/>
  <c r="N426" i="12"/>
  <c r="B426" i="12" s="1"/>
  <c r="N434" i="12"/>
  <c r="B434" i="12" s="1"/>
  <c r="N442" i="12"/>
  <c r="B442" i="12" s="1"/>
  <c r="N450" i="12"/>
  <c r="B450" i="12" s="1"/>
  <c r="N458" i="12"/>
  <c r="B458" i="12" s="1"/>
  <c r="N466" i="12"/>
  <c r="B466" i="12" s="1"/>
  <c r="N474" i="12"/>
  <c r="B474" i="12" s="1"/>
  <c r="N482" i="12"/>
  <c r="B482" i="12" s="1"/>
  <c r="N490" i="12"/>
  <c r="B490" i="12" s="1"/>
  <c r="N498" i="12"/>
  <c r="B498" i="12" s="1"/>
  <c r="N506" i="12"/>
  <c r="B506" i="12" s="1"/>
  <c r="N514" i="12"/>
  <c r="B514" i="12" s="1"/>
  <c r="N522" i="12"/>
  <c r="B522" i="12" s="1"/>
  <c r="N530" i="12"/>
  <c r="B530" i="12" s="1"/>
  <c r="N538" i="12"/>
  <c r="B538" i="12" s="1"/>
  <c r="N546" i="12"/>
  <c r="B546" i="12" s="1"/>
  <c r="N554" i="12"/>
  <c r="B554" i="12" s="1"/>
  <c r="N562" i="12"/>
  <c r="B562" i="12" s="1"/>
  <c r="N570" i="12"/>
  <c r="B570" i="12" s="1"/>
  <c r="N578" i="12"/>
  <c r="B578" i="12" s="1"/>
  <c r="N586" i="12"/>
  <c r="B586" i="12" s="1"/>
  <c r="N594" i="12"/>
  <c r="B594" i="12" s="1"/>
  <c r="N602" i="12"/>
  <c r="B602" i="12" s="1"/>
  <c r="N610" i="12"/>
  <c r="B610" i="12" s="1"/>
  <c r="N618" i="12"/>
  <c r="B618" i="12" s="1"/>
  <c r="N626" i="12"/>
  <c r="B626" i="12" s="1"/>
  <c r="N634" i="12"/>
  <c r="B634" i="12" s="1"/>
  <c r="N642" i="12"/>
  <c r="B642" i="12" s="1"/>
  <c r="N650" i="12"/>
  <c r="B650" i="12" s="1"/>
  <c r="N658" i="12"/>
  <c r="B658" i="12" s="1"/>
  <c r="N666" i="12"/>
  <c r="B666" i="12" s="1"/>
  <c r="N674" i="12"/>
  <c r="B674" i="12" s="1"/>
  <c r="N682" i="12"/>
  <c r="B682" i="12" s="1"/>
  <c r="N690" i="12"/>
  <c r="B690" i="12" s="1"/>
  <c r="N698" i="12"/>
  <c r="B698" i="12" s="1"/>
  <c r="N706" i="12"/>
  <c r="B706" i="12" s="1"/>
  <c r="N714" i="12"/>
  <c r="B714" i="12" s="1"/>
  <c r="N722" i="12"/>
  <c r="B722" i="12" s="1"/>
  <c r="N730" i="12"/>
  <c r="B730" i="12" s="1"/>
  <c r="N738" i="12"/>
  <c r="B738" i="12" s="1"/>
  <c r="N746" i="12"/>
  <c r="B746" i="12" s="1"/>
  <c r="N754" i="12"/>
  <c r="B754" i="12" s="1"/>
  <c r="N762" i="12"/>
  <c r="B762" i="12" s="1"/>
  <c r="N770" i="12"/>
  <c r="B770" i="12" s="1"/>
  <c r="N778" i="12"/>
  <c r="B778" i="12" s="1"/>
  <c r="N786" i="12"/>
  <c r="B786" i="12" s="1"/>
  <c r="N794" i="12"/>
  <c r="B794" i="12" s="1"/>
  <c r="N802" i="12"/>
  <c r="B802" i="12" s="1"/>
  <c r="N810" i="12"/>
  <c r="B810" i="12" s="1"/>
  <c r="N26" i="12"/>
  <c r="B26" i="12" s="1"/>
  <c r="N58" i="12"/>
  <c r="B58" i="12" s="1"/>
  <c r="N90" i="12"/>
  <c r="B90" i="12" s="1"/>
  <c r="N122" i="12"/>
  <c r="B122" i="12" s="1"/>
  <c r="N154" i="12"/>
  <c r="B154" i="12" s="1"/>
  <c r="N186" i="12"/>
  <c r="B186" i="12" s="1"/>
  <c r="N218" i="12"/>
  <c r="B218" i="12" s="1"/>
  <c r="N250" i="12"/>
  <c r="B250" i="12" s="1"/>
  <c r="N282" i="12"/>
  <c r="B282" i="12" s="1"/>
  <c r="N299" i="12"/>
  <c r="B299" i="12" s="1"/>
  <c r="N307" i="12"/>
  <c r="B307" i="12" s="1"/>
  <c r="N315" i="12"/>
  <c r="B315" i="12" s="1"/>
  <c r="N323" i="12"/>
  <c r="B323" i="12" s="1"/>
  <c r="N331" i="12"/>
  <c r="B331" i="12" s="1"/>
  <c r="N339" i="12"/>
  <c r="B339" i="12" s="1"/>
  <c r="N347" i="12"/>
  <c r="B347" i="12" s="1"/>
  <c r="N355" i="12"/>
  <c r="B355" i="12" s="1"/>
  <c r="N363" i="12"/>
  <c r="B363" i="12" s="1"/>
  <c r="N371" i="12"/>
  <c r="B371" i="12" s="1"/>
  <c r="N379" i="12"/>
  <c r="B379" i="12" s="1"/>
  <c r="N387" i="12"/>
  <c r="B387" i="12" s="1"/>
  <c r="N395" i="12"/>
  <c r="B395" i="12" s="1"/>
  <c r="N403" i="12"/>
  <c r="B403" i="12" s="1"/>
  <c r="N411" i="12"/>
  <c r="B411" i="12" s="1"/>
  <c r="N419" i="12"/>
  <c r="B419" i="12" s="1"/>
  <c r="N427" i="12"/>
  <c r="B427" i="12" s="1"/>
  <c r="N435" i="12"/>
  <c r="B435" i="12" s="1"/>
  <c r="N443" i="12"/>
  <c r="B443" i="12" s="1"/>
  <c r="N451" i="12"/>
  <c r="B451" i="12" s="1"/>
  <c r="N459" i="12"/>
  <c r="B459" i="12" s="1"/>
  <c r="N467" i="12"/>
  <c r="B467" i="12" s="1"/>
  <c r="N475" i="12"/>
  <c r="B475" i="12" s="1"/>
  <c r="N483" i="12"/>
  <c r="B483" i="12" s="1"/>
  <c r="N491" i="12"/>
  <c r="B491" i="12" s="1"/>
  <c r="N499" i="12"/>
  <c r="B499" i="12" s="1"/>
  <c r="N507" i="12"/>
  <c r="B507" i="12" s="1"/>
  <c r="N515" i="12"/>
  <c r="B515" i="12" s="1"/>
  <c r="N523" i="12"/>
  <c r="B523" i="12" s="1"/>
  <c r="N531" i="12"/>
  <c r="B531" i="12" s="1"/>
  <c r="N539" i="12"/>
  <c r="B539" i="12" s="1"/>
  <c r="N547" i="12"/>
  <c r="B547" i="12" s="1"/>
  <c r="N555" i="12"/>
  <c r="B555" i="12" s="1"/>
  <c r="N563" i="12"/>
  <c r="B563" i="12" s="1"/>
  <c r="N571" i="12"/>
  <c r="B571" i="12" s="1"/>
  <c r="N579" i="12"/>
  <c r="B579" i="12" s="1"/>
  <c r="N587" i="12"/>
  <c r="B587" i="12" s="1"/>
  <c r="N595" i="12"/>
  <c r="B595" i="12" s="1"/>
  <c r="N603" i="12"/>
  <c r="B603" i="12" s="1"/>
  <c r="N611" i="12"/>
  <c r="B611" i="12" s="1"/>
  <c r="N619" i="12"/>
  <c r="B619" i="12" s="1"/>
  <c r="N627" i="12"/>
  <c r="B627" i="12" s="1"/>
  <c r="N635" i="12"/>
  <c r="B635" i="12" s="1"/>
  <c r="N643" i="12"/>
  <c r="B643" i="12" s="1"/>
  <c r="N651" i="12"/>
  <c r="B651" i="12" s="1"/>
  <c r="N659" i="12"/>
  <c r="B659" i="12" s="1"/>
  <c r="N667" i="12"/>
  <c r="B667" i="12" s="1"/>
  <c r="N675" i="12"/>
  <c r="B675" i="12" s="1"/>
  <c r="N683" i="12"/>
  <c r="B683" i="12" s="1"/>
  <c r="N691" i="12"/>
  <c r="B691" i="12" s="1"/>
  <c r="N699" i="12"/>
  <c r="B699" i="12" s="1"/>
  <c r="N707" i="12"/>
  <c r="B707" i="12" s="1"/>
  <c r="N715" i="12"/>
  <c r="B715" i="12" s="1"/>
  <c r="N723" i="12"/>
  <c r="B723" i="12" s="1"/>
  <c r="N731" i="12"/>
  <c r="B731" i="12" s="1"/>
  <c r="N739" i="12"/>
  <c r="B739" i="12" s="1"/>
  <c r="N747" i="12"/>
  <c r="B747" i="12" s="1"/>
  <c r="N755" i="12"/>
  <c r="B755" i="12" s="1"/>
  <c r="N763" i="12"/>
  <c r="B763" i="12" s="1"/>
  <c r="N771" i="12"/>
  <c r="B771" i="12" s="1"/>
  <c r="N779" i="12"/>
  <c r="B779" i="12" s="1"/>
  <c r="N787" i="12"/>
  <c r="B787" i="12" s="1"/>
  <c r="N795" i="12"/>
  <c r="B795" i="12" s="1"/>
  <c r="N803" i="12"/>
  <c r="B803" i="12" s="1"/>
  <c r="N32" i="12"/>
  <c r="B32" i="12" s="1"/>
  <c r="N64" i="12"/>
  <c r="B64" i="12" s="1"/>
  <c r="N96" i="12"/>
  <c r="B96" i="12" s="1"/>
  <c r="N128" i="12"/>
  <c r="B128" i="12" s="1"/>
  <c r="N160" i="12"/>
  <c r="B160" i="12" s="1"/>
  <c r="N192" i="12"/>
  <c r="B192" i="12" s="1"/>
  <c r="N224" i="12"/>
  <c r="B224" i="12" s="1"/>
  <c r="N256" i="12"/>
  <c r="B256" i="12" s="1"/>
  <c r="N288" i="12"/>
  <c r="B288" i="12" s="1"/>
  <c r="N300" i="12"/>
  <c r="B300" i="12" s="1"/>
  <c r="N308" i="12"/>
  <c r="B308" i="12" s="1"/>
  <c r="N316" i="12"/>
  <c r="B316" i="12" s="1"/>
  <c r="N324" i="12"/>
  <c r="B324" i="12" s="1"/>
  <c r="N332" i="12"/>
  <c r="B332" i="12" s="1"/>
  <c r="N340" i="12"/>
  <c r="B340" i="12" s="1"/>
  <c r="N348" i="12"/>
  <c r="B348" i="12" s="1"/>
  <c r="N356" i="12"/>
  <c r="B356" i="12" s="1"/>
  <c r="N364" i="12"/>
  <c r="B364" i="12" s="1"/>
  <c r="N372" i="12"/>
  <c r="B372" i="12" s="1"/>
  <c r="N380" i="12"/>
  <c r="B380" i="12" s="1"/>
  <c r="N388" i="12"/>
  <c r="B388" i="12" s="1"/>
  <c r="N396" i="12"/>
  <c r="B396" i="12" s="1"/>
  <c r="N404" i="12"/>
  <c r="B404" i="12" s="1"/>
  <c r="N412" i="12"/>
  <c r="B412" i="12" s="1"/>
  <c r="N420" i="12"/>
  <c r="B420" i="12" s="1"/>
  <c r="N428" i="12"/>
  <c r="B428" i="12" s="1"/>
  <c r="N436" i="12"/>
  <c r="B436" i="12" s="1"/>
  <c r="N444" i="12"/>
  <c r="B444" i="12" s="1"/>
  <c r="N452" i="12"/>
  <c r="B452" i="12" s="1"/>
  <c r="N460" i="12"/>
  <c r="B460" i="12" s="1"/>
  <c r="N468" i="12"/>
  <c r="B468" i="12" s="1"/>
  <c r="N476" i="12"/>
  <c r="B476" i="12" s="1"/>
  <c r="N484" i="12"/>
  <c r="B484" i="12" s="1"/>
  <c r="N492" i="12"/>
  <c r="B492" i="12" s="1"/>
  <c r="N500" i="12"/>
  <c r="B500" i="12" s="1"/>
  <c r="N508" i="12"/>
  <c r="B508" i="12" s="1"/>
  <c r="N516" i="12"/>
  <c r="B516" i="12" s="1"/>
  <c r="N524" i="12"/>
  <c r="B524" i="12" s="1"/>
  <c r="N532" i="12"/>
  <c r="B532" i="12" s="1"/>
  <c r="N540" i="12"/>
  <c r="B540" i="12" s="1"/>
  <c r="N548" i="12"/>
  <c r="B548" i="12" s="1"/>
  <c r="N556" i="12"/>
  <c r="B556" i="12" s="1"/>
  <c r="N564" i="12"/>
  <c r="B564" i="12" s="1"/>
  <c r="N572" i="12"/>
  <c r="B572" i="12" s="1"/>
  <c r="N580" i="12"/>
  <c r="B580" i="12" s="1"/>
  <c r="N588" i="12"/>
  <c r="B588" i="12" s="1"/>
  <c r="N596" i="12"/>
  <c r="B596" i="12" s="1"/>
  <c r="N604" i="12"/>
  <c r="B604" i="12" s="1"/>
  <c r="N612" i="12"/>
  <c r="B612" i="12" s="1"/>
  <c r="N620" i="12"/>
  <c r="B620" i="12" s="1"/>
  <c r="N628" i="12"/>
  <c r="B628" i="12" s="1"/>
  <c r="N636" i="12"/>
  <c r="B636" i="12" s="1"/>
  <c r="N644" i="12"/>
  <c r="B644" i="12" s="1"/>
  <c r="N652" i="12"/>
  <c r="B652" i="12" s="1"/>
  <c r="N660" i="12"/>
  <c r="B660" i="12" s="1"/>
  <c r="N668" i="12"/>
  <c r="B668" i="12" s="1"/>
  <c r="N676" i="12"/>
  <c r="B676" i="12" s="1"/>
  <c r="N684" i="12"/>
  <c r="B684" i="12" s="1"/>
  <c r="N692" i="12"/>
  <c r="B692" i="12" s="1"/>
  <c r="N700" i="12"/>
  <c r="B700" i="12" s="1"/>
  <c r="N708" i="12"/>
  <c r="B708" i="12" s="1"/>
  <c r="N716" i="12"/>
  <c r="B716" i="12" s="1"/>
  <c r="N724" i="12"/>
  <c r="B724" i="12" s="1"/>
  <c r="N732" i="12"/>
  <c r="B732" i="12" s="1"/>
  <c r="N740" i="12"/>
  <c r="B740" i="12" s="1"/>
  <c r="N748" i="12"/>
  <c r="B748" i="12" s="1"/>
  <c r="N756" i="12"/>
  <c r="B756" i="12" s="1"/>
  <c r="N764" i="12"/>
  <c r="B764" i="12" s="1"/>
  <c r="N772" i="12"/>
  <c r="B772" i="12" s="1"/>
  <c r="N780" i="12"/>
  <c r="B780" i="12" s="1"/>
  <c r="N788" i="12"/>
  <c r="B788" i="12" s="1"/>
  <c r="N796" i="12"/>
  <c r="B796" i="12" s="1"/>
  <c r="N2" i="12"/>
  <c r="B2" i="12" s="1"/>
  <c r="N34" i="12"/>
  <c r="B34" i="12" s="1"/>
  <c r="N66" i="12"/>
  <c r="B66" i="12" s="1"/>
  <c r="N98" i="12"/>
  <c r="B98" i="12" s="1"/>
  <c r="N130" i="12"/>
  <c r="B130" i="12" s="1"/>
  <c r="N162" i="12"/>
  <c r="B162" i="12" s="1"/>
  <c r="N194" i="12"/>
  <c r="B194" i="12" s="1"/>
  <c r="N226" i="12"/>
  <c r="B226" i="12" s="1"/>
  <c r="N258" i="12"/>
  <c r="B258" i="12" s="1"/>
  <c r="N290" i="12"/>
  <c r="B290" i="12" s="1"/>
  <c r="N301" i="12"/>
  <c r="B301" i="12" s="1"/>
  <c r="N309" i="12"/>
  <c r="B309" i="12" s="1"/>
  <c r="N317" i="12"/>
  <c r="B317" i="12" s="1"/>
  <c r="N325" i="12"/>
  <c r="B325" i="12" s="1"/>
  <c r="N333" i="12"/>
  <c r="B333" i="12" s="1"/>
  <c r="N341" i="12"/>
  <c r="B341" i="12" s="1"/>
  <c r="N349" i="12"/>
  <c r="B349" i="12" s="1"/>
  <c r="N357" i="12"/>
  <c r="B357" i="12" s="1"/>
  <c r="N365" i="12"/>
  <c r="B365" i="12" s="1"/>
  <c r="N373" i="12"/>
  <c r="B373" i="12" s="1"/>
  <c r="N381" i="12"/>
  <c r="B381" i="12" s="1"/>
  <c r="N389" i="12"/>
  <c r="B389" i="12" s="1"/>
  <c r="N397" i="12"/>
  <c r="B397" i="12" s="1"/>
  <c r="N405" i="12"/>
  <c r="B405" i="12" s="1"/>
  <c r="N413" i="12"/>
  <c r="B413" i="12" s="1"/>
  <c r="N421" i="12"/>
  <c r="B421" i="12" s="1"/>
  <c r="N429" i="12"/>
  <c r="B429" i="12" s="1"/>
  <c r="N437" i="12"/>
  <c r="B437" i="12" s="1"/>
  <c r="N445" i="12"/>
  <c r="B445" i="12" s="1"/>
  <c r="N453" i="12"/>
  <c r="B453" i="12" s="1"/>
  <c r="N461" i="12"/>
  <c r="B461" i="12" s="1"/>
  <c r="N469" i="12"/>
  <c r="B469" i="12" s="1"/>
  <c r="N477" i="12"/>
  <c r="B477" i="12" s="1"/>
  <c r="N485" i="12"/>
  <c r="B485" i="12" s="1"/>
  <c r="N493" i="12"/>
  <c r="B493" i="12" s="1"/>
  <c r="N501" i="12"/>
  <c r="B501" i="12" s="1"/>
  <c r="N509" i="12"/>
  <c r="B509" i="12" s="1"/>
  <c r="N517" i="12"/>
  <c r="B517" i="12" s="1"/>
  <c r="N525" i="12"/>
  <c r="B525" i="12" s="1"/>
  <c r="N533" i="12"/>
  <c r="B533" i="12" s="1"/>
  <c r="N541" i="12"/>
  <c r="B541" i="12" s="1"/>
  <c r="N549" i="12"/>
  <c r="B549" i="12" s="1"/>
  <c r="N557" i="12"/>
  <c r="B557" i="12" s="1"/>
  <c r="N565" i="12"/>
  <c r="B565" i="12" s="1"/>
  <c r="N573" i="12"/>
  <c r="B573" i="12" s="1"/>
  <c r="N581" i="12"/>
  <c r="B581" i="12" s="1"/>
  <c r="N589" i="12"/>
  <c r="B589" i="12" s="1"/>
  <c r="N597" i="12"/>
  <c r="B597" i="12" s="1"/>
  <c r="N605" i="12"/>
  <c r="B605" i="12" s="1"/>
  <c r="N613" i="12"/>
  <c r="B613" i="12" s="1"/>
  <c r="N621" i="12"/>
  <c r="B621" i="12" s="1"/>
  <c r="N629" i="12"/>
  <c r="B629" i="12" s="1"/>
  <c r="N637" i="12"/>
  <c r="B637" i="12" s="1"/>
  <c r="N645" i="12"/>
  <c r="B645" i="12" s="1"/>
  <c r="N653" i="12"/>
  <c r="B653" i="12" s="1"/>
  <c r="N661" i="12"/>
  <c r="B661" i="12" s="1"/>
  <c r="N669" i="12"/>
  <c r="B669" i="12" s="1"/>
  <c r="N677" i="12"/>
  <c r="B677" i="12" s="1"/>
  <c r="N685" i="12"/>
  <c r="B685" i="12" s="1"/>
  <c r="N693" i="12"/>
  <c r="B693" i="12" s="1"/>
  <c r="N701" i="12"/>
  <c r="B701" i="12" s="1"/>
  <c r="N709" i="12"/>
  <c r="B709" i="12" s="1"/>
  <c r="N717" i="12"/>
  <c r="B717" i="12" s="1"/>
  <c r="N725" i="12"/>
  <c r="B725" i="12" s="1"/>
  <c r="N733" i="12"/>
  <c r="B733" i="12" s="1"/>
  <c r="N741" i="12"/>
  <c r="B741" i="12" s="1"/>
  <c r="N749" i="12"/>
  <c r="B749" i="12" s="1"/>
  <c r="N757" i="12"/>
  <c r="B757" i="12" s="1"/>
  <c r="N765" i="12"/>
  <c r="B765" i="12" s="1"/>
  <c r="N773" i="12"/>
  <c r="B773" i="12" s="1"/>
  <c r="N781" i="12"/>
  <c r="B781" i="12" s="1"/>
  <c r="N789" i="12"/>
  <c r="B789" i="12" s="1"/>
  <c r="N797" i="12"/>
  <c r="B797" i="12" s="1"/>
  <c r="N805" i="12"/>
  <c r="B805" i="12" s="1"/>
  <c r="N813" i="12"/>
  <c r="B813" i="12" s="1"/>
  <c r="N821" i="12"/>
  <c r="B821" i="12" s="1"/>
  <c r="N829" i="12"/>
  <c r="B829" i="12" s="1"/>
  <c r="N837" i="12"/>
  <c r="B837" i="12" s="1"/>
  <c r="N8" i="12"/>
  <c r="B8" i="12" s="1"/>
  <c r="N40" i="12"/>
  <c r="B40" i="12" s="1"/>
  <c r="N72" i="12"/>
  <c r="B72" i="12" s="1"/>
  <c r="N104" i="12"/>
  <c r="B104" i="12" s="1"/>
  <c r="N136" i="12"/>
  <c r="B136" i="12" s="1"/>
  <c r="N10" i="12"/>
  <c r="B10" i="12" s="1"/>
  <c r="N42" i="12"/>
  <c r="B42" i="12" s="1"/>
  <c r="N74" i="12"/>
  <c r="B74" i="12" s="1"/>
  <c r="N106" i="12"/>
  <c r="B106" i="12" s="1"/>
  <c r="N138" i="12"/>
  <c r="B138" i="12" s="1"/>
  <c r="N170" i="12"/>
  <c r="B170" i="12" s="1"/>
  <c r="N202" i="12"/>
  <c r="B202" i="12" s="1"/>
  <c r="N234" i="12"/>
  <c r="B234" i="12" s="1"/>
  <c r="N266" i="12"/>
  <c r="B266" i="12" s="1"/>
  <c r="N294" i="12"/>
  <c r="B294" i="12" s="1"/>
  <c r="N303" i="12"/>
  <c r="B303" i="12" s="1"/>
  <c r="N311" i="12"/>
  <c r="B311" i="12" s="1"/>
  <c r="N319" i="12"/>
  <c r="B319" i="12" s="1"/>
  <c r="N327" i="12"/>
  <c r="B327" i="12" s="1"/>
  <c r="N335" i="12"/>
  <c r="B335" i="12" s="1"/>
  <c r="N343" i="12"/>
  <c r="B343" i="12" s="1"/>
  <c r="N351" i="12"/>
  <c r="B351" i="12" s="1"/>
  <c r="N359" i="12"/>
  <c r="B359" i="12" s="1"/>
  <c r="N367" i="12"/>
  <c r="B367" i="12" s="1"/>
  <c r="N375" i="12"/>
  <c r="B375" i="12" s="1"/>
  <c r="N383" i="12"/>
  <c r="B383" i="12" s="1"/>
  <c r="N391" i="12"/>
  <c r="B391" i="12" s="1"/>
  <c r="N399" i="12"/>
  <c r="B399" i="12" s="1"/>
  <c r="N407" i="12"/>
  <c r="B407" i="12" s="1"/>
  <c r="N415" i="12"/>
  <c r="B415" i="12" s="1"/>
  <c r="N423" i="12"/>
  <c r="B423" i="12" s="1"/>
  <c r="N431" i="12"/>
  <c r="B431" i="12" s="1"/>
  <c r="N439" i="12"/>
  <c r="B439" i="12" s="1"/>
  <c r="N447" i="12"/>
  <c r="B447" i="12" s="1"/>
  <c r="N455" i="12"/>
  <c r="B455" i="12" s="1"/>
  <c r="N463" i="12"/>
  <c r="B463" i="12" s="1"/>
  <c r="N471" i="12"/>
  <c r="B471" i="12" s="1"/>
  <c r="N479" i="12"/>
  <c r="B479" i="12" s="1"/>
  <c r="N487" i="12"/>
  <c r="B487" i="12" s="1"/>
  <c r="N495" i="12"/>
  <c r="B495" i="12" s="1"/>
  <c r="N503" i="12"/>
  <c r="B503" i="12" s="1"/>
  <c r="N511" i="12"/>
  <c r="B511" i="12" s="1"/>
  <c r="N519" i="12"/>
  <c r="B519" i="12" s="1"/>
  <c r="N527" i="12"/>
  <c r="B527" i="12" s="1"/>
  <c r="N535" i="12"/>
  <c r="B535" i="12" s="1"/>
  <c r="N543" i="12"/>
  <c r="B543" i="12" s="1"/>
  <c r="N551" i="12"/>
  <c r="B551" i="12" s="1"/>
  <c r="N559" i="12"/>
  <c r="B559" i="12" s="1"/>
  <c r="N567" i="12"/>
  <c r="B567" i="12" s="1"/>
  <c r="N575" i="12"/>
  <c r="B575" i="12" s="1"/>
  <c r="N583" i="12"/>
  <c r="B583" i="12" s="1"/>
  <c r="N591" i="12"/>
  <c r="B591" i="12" s="1"/>
  <c r="N599" i="12"/>
  <c r="B599" i="12" s="1"/>
  <c r="N607" i="12"/>
  <c r="B607" i="12" s="1"/>
  <c r="N615" i="12"/>
  <c r="B615" i="12" s="1"/>
  <c r="N623" i="12"/>
  <c r="B623" i="12" s="1"/>
  <c r="N631" i="12"/>
  <c r="B631" i="12" s="1"/>
  <c r="N639" i="12"/>
  <c r="B639" i="12" s="1"/>
  <c r="N647" i="12"/>
  <c r="B647" i="12" s="1"/>
  <c r="N655" i="12"/>
  <c r="B655" i="12" s="1"/>
  <c r="N663" i="12"/>
  <c r="B663" i="12" s="1"/>
  <c r="N671" i="12"/>
  <c r="B671" i="12" s="1"/>
  <c r="N679" i="12"/>
  <c r="B679" i="12" s="1"/>
  <c r="N687" i="12"/>
  <c r="B687" i="12" s="1"/>
  <c r="N695" i="12"/>
  <c r="B695" i="12" s="1"/>
  <c r="N703" i="12"/>
  <c r="B703" i="12" s="1"/>
  <c r="N711" i="12"/>
  <c r="B711" i="12" s="1"/>
  <c r="N16" i="12"/>
  <c r="B16" i="12" s="1"/>
  <c r="N48" i="12"/>
  <c r="B48" i="12" s="1"/>
  <c r="N80" i="12"/>
  <c r="B80" i="12" s="1"/>
  <c r="N112" i="12"/>
  <c r="B112" i="12" s="1"/>
  <c r="N144" i="12"/>
  <c r="B144" i="12" s="1"/>
  <c r="N176" i="12"/>
  <c r="B176" i="12" s="1"/>
  <c r="N208" i="12"/>
  <c r="B208" i="12" s="1"/>
  <c r="N240" i="12"/>
  <c r="B240" i="12" s="1"/>
  <c r="N272" i="12"/>
  <c r="B272" i="12" s="1"/>
  <c r="N296" i="12"/>
  <c r="B296" i="12" s="1"/>
  <c r="N304" i="12"/>
  <c r="B304" i="12" s="1"/>
  <c r="N312" i="12"/>
  <c r="B312" i="12" s="1"/>
  <c r="N320" i="12"/>
  <c r="B320" i="12" s="1"/>
  <c r="N328" i="12"/>
  <c r="B328" i="12" s="1"/>
  <c r="N336" i="12"/>
  <c r="B336" i="12" s="1"/>
  <c r="N344" i="12"/>
  <c r="B344" i="12" s="1"/>
  <c r="N352" i="12"/>
  <c r="B352" i="12" s="1"/>
  <c r="N360" i="12"/>
  <c r="B360" i="12" s="1"/>
  <c r="N368" i="12"/>
  <c r="B368" i="12" s="1"/>
  <c r="N376" i="12"/>
  <c r="B376" i="12" s="1"/>
  <c r="N384" i="12"/>
  <c r="B384" i="12" s="1"/>
  <c r="N392" i="12"/>
  <c r="B392" i="12" s="1"/>
  <c r="N400" i="12"/>
  <c r="B400" i="12" s="1"/>
  <c r="N408" i="12"/>
  <c r="B408" i="12" s="1"/>
  <c r="N416" i="12"/>
  <c r="B416" i="12" s="1"/>
  <c r="N424" i="12"/>
  <c r="B424" i="12" s="1"/>
  <c r="N432" i="12"/>
  <c r="B432" i="12" s="1"/>
  <c r="N440" i="12"/>
  <c r="B440" i="12" s="1"/>
  <c r="N448" i="12"/>
  <c r="B448" i="12" s="1"/>
  <c r="N456" i="12"/>
  <c r="B456" i="12" s="1"/>
  <c r="N464" i="12"/>
  <c r="B464" i="12" s="1"/>
  <c r="N472" i="12"/>
  <c r="B472" i="12" s="1"/>
  <c r="N480" i="12"/>
  <c r="B480" i="12" s="1"/>
  <c r="N488" i="12"/>
  <c r="B488" i="12" s="1"/>
  <c r="N496" i="12"/>
  <c r="B496" i="12" s="1"/>
  <c r="N504" i="12"/>
  <c r="B504" i="12" s="1"/>
  <c r="N512" i="12"/>
  <c r="B512" i="12" s="1"/>
  <c r="N50" i="12"/>
  <c r="B50" i="12" s="1"/>
  <c r="N232" i="12"/>
  <c r="B232" i="12" s="1"/>
  <c r="N310" i="12"/>
  <c r="B310" i="12" s="1"/>
  <c r="N342" i="12"/>
  <c r="B342" i="12" s="1"/>
  <c r="N374" i="12"/>
  <c r="B374" i="12" s="1"/>
  <c r="N406" i="12"/>
  <c r="B406" i="12" s="1"/>
  <c r="N438" i="12"/>
  <c r="B438" i="12" s="1"/>
  <c r="N470" i="12"/>
  <c r="B470" i="12" s="1"/>
  <c r="N502" i="12"/>
  <c r="B502" i="12" s="1"/>
  <c r="N528" i="12"/>
  <c r="B528" i="12" s="1"/>
  <c r="N550" i="12"/>
  <c r="B550" i="12" s="1"/>
  <c r="N569" i="12"/>
  <c r="B569" i="12" s="1"/>
  <c r="N592" i="12"/>
  <c r="B592" i="12" s="1"/>
  <c r="N614" i="12"/>
  <c r="B614" i="12" s="1"/>
  <c r="N633" i="12"/>
  <c r="B633" i="12" s="1"/>
  <c r="N656" i="12"/>
  <c r="B656" i="12" s="1"/>
  <c r="N678" i="12"/>
  <c r="B678" i="12" s="1"/>
  <c r="N697" i="12"/>
  <c r="B697" i="12" s="1"/>
  <c r="N719" i="12"/>
  <c r="B719" i="12" s="1"/>
  <c r="N735" i="12"/>
  <c r="B735" i="12" s="1"/>
  <c r="N751" i="12"/>
  <c r="B751" i="12" s="1"/>
  <c r="N767" i="12"/>
  <c r="B767" i="12" s="1"/>
  <c r="N783" i="12"/>
  <c r="B783" i="12" s="1"/>
  <c r="N799" i="12"/>
  <c r="B799" i="12" s="1"/>
  <c r="N811" i="12"/>
  <c r="B811" i="12" s="1"/>
  <c r="N820" i="12"/>
  <c r="B820" i="12" s="1"/>
  <c r="N830" i="12"/>
  <c r="B830" i="12" s="1"/>
  <c r="N839" i="12"/>
  <c r="B839" i="12" s="1"/>
  <c r="N847" i="12"/>
  <c r="B847" i="12" s="1"/>
  <c r="N855" i="12"/>
  <c r="B855" i="12" s="1"/>
  <c r="N863" i="12"/>
  <c r="B863" i="12" s="1"/>
  <c r="N871" i="12"/>
  <c r="B871" i="12" s="1"/>
  <c r="N879" i="12"/>
  <c r="B879" i="12" s="1"/>
  <c r="N887" i="12"/>
  <c r="B887" i="12" s="1"/>
  <c r="N895" i="12"/>
  <c r="B895" i="12" s="1"/>
  <c r="M3" i="12"/>
  <c r="M11" i="12"/>
  <c r="M19" i="12"/>
  <c r="M27" i="12"/>
  <c r="M35" i="12"/>
  <c r="M43" i="12"/>
  <c r="M51" i="12"/>
  <c r="M59" i="12"/>
  <c r="M67" i="12"/>
  <c r="M75" i="12"/>
  <c r="M83" i="12"/>
  <c r="M91" i="12"/>
  <c r="M99" i="12"/>
  <c r="M107" i="12"/>
  <c r="M115" i="12"/>
  <c r="M123" i="12"/>
  <c r="M131" i="12"/>
  <c r="M139" i="12"/>
  <c r="M147" i="12"/>
  <c r="M155" i="12"/>
  <c r="M163" i="12"/>
  <c r="M171" i="12"/>
  <c r="M179" i="12"/>
  <c r="M187" i="12"/>
  <c r="M195" i="12"/>
  <c r="M203" i="12"/>
  <c r="M211" i="12"/>
  <c r="M219" i="12"/>
  <c r="M227" i="12"/>
  <c r="M235" i="12"/>
  <c r="M243" i="12"/>
  <c r="M251" i="12"/>
  <c r="M259" i="12"/>
  <c r="M267" i="12"/>
  <c r="M275" i="12"/>
  <c r="M283" i="12"/>
  <c r="M291" i="12"/>
  <c r="M299" i="12"/>
  <c r="M307" i="12"/>
  <c r="M315" i="12"/>
  <c r="M323" i="12"/>
  <c r="M331" i="12"/>
  <c r="M339" i="12"/>
  <c r="M347" i="12"/>
  <c r="M355" i="12"/>
  <c r="M363" i="12"/>
  <c r="M371" i="12"/>
  <c r="M379" i="12"/>
  <c r="M387" i="12"/>
  <c r="M395" i="12"/>
  <c r="N82" i="12"/>
  <c r="B82" i="12" s="1"/>
  <c r="N242" i="12"/>
  <c r="B242" i="12" s="1"/>
  <c r="N313" i="12"/>
  <c r="B313" i="12" s="1"/>
  <c r="N345" i="12"/>
  <c r="B345" i="12" s="1"/>
  <c r="N377" i="12"/>
  <c r="B377" i="12" s="1"/>
  <c r="N409" i="12"/>
  <c r="B409" i="12" s="1"/>
  <c r="N441" i="12"/>
  <c r="B441" i="12" s="1"/>
  <c r="N473" i="12"/>
  <c r="B473" i="12" s="1"/>
  <c r="N505" i="12"/>
  <c r="B505" i="12" s="1"/>
  <c r="N529" i="12"/>
  <c r="B529" i="12" s="1"/>
  <c r="N552" i="12"/>
  <c r="B552" i="12" s="1"/>
  <c r="N574" i="12"/>
  <c r="B574" i="12" s="1"/>
  <c r="N593" i="12"/>
  <c r="B593" i="12" s="1"/>
  <c r="N616" i="12"/>
  <c r="B616" i="12" s="1"/>
  <c r="N638" i="12"/>
  <c r="B638" i="12" s="1"/>
  <c r="N657" i="12"/>
  <c r="B657" i="12" s="1"/>
  <c r="N680" i="12"/>
  <c r="B680" i="12" s="1"/>
  <c r="N702" i="12"/>
  <c r="B702" i="12" s="1"/>
  <c r="N720" i="12"/>
  <c r="B720" i="12" s="1"/>
  <c r="N736" i="12"/>
  <c r="B736" i="12" s="1"/>
  <c r="N752" i="12"/>
  <c r="B752" i="12" s="1"/>
  <c r="N768" i="12"/>
  <c r="B768" i="12" s="1"/>
  <c r="N784" i="12"/>
  <c r="B784" i="12" s="1"/>
  <c r="N800" i="12"/>
  <c r="B800" i="12" s="1"/>
  <c r="N812" i="12"/>
  <c r="B812" i="12" s="1"/>
  <c r="N822" i="12"/>
  <c r="B822" i="12" s="1"/>
  <c r="N831" i="12"/>
  <c r="B831" i="12" s="1"/>
  <c r="N840" i="12"/>
  <c r="B840" i="12" s="1"/>
  <c r="N848" i="12"/>
  <c r="B848" i="12" s="1"/>
  <c r="N856" i="12"/>
  <c r="B856" i="12" s="1"/>
  <c r="N864" i="12"/>
  <c r="B864" i="12" s="1"/>
  <c r="N872" i="12"/>
  <c r="B872" i="12" s="1"/>
  <c r="N880" i="12"/>
  <c r="B880" i="12" s="1"/>
  <c r="N888" i="12"/>
  <c r="B888" i="12" s="1"/>
  <c r="N896" i="12"/>
  <c r="B896" i="12" s="1"/>
  <c r="M4" i="12"/>
  <c r="M12" i="12"/>
  <c r="M20" i="12"/>
  <c r="M28" i="12"/>
  <c r="M36" i="12"/>
  <c r="M44" i="12"/>
  <c r="M52" i="12"/>
  <c r="M60" i="12"/>
  <c r="M68" i="12"/>
  <c r="M76" i="12"/>
  <c r="M84" i="12"/>
  <c r="M92" i="12"/>
  <c r="M100" i="12"/>
  <c r="M108" i="12"/>
  <c r="M116" i="12"/>
  <c r="M124" i="12"/>
  <c r="M132" i="12"/>
  <c r="M140" i="12"/>
  <c r="M148" i="12"/>
  <c r="M156" i="12"/>
  <c r="M164" i="12"/>
  <c r="M172" i="12"/>
  <c r="M180" i="12"/>
  <c r="M188" i="12"/>
  <c r="M196" i="12"/>
  <c r="M204" i="12"/>
  <c r="M212" i="12"/>
  <c r="M220" i="12"/>
  <c r="M228" i="12"/>
  <c r="M236" i="12"/>
  <c r="M244" i="12"/>
  <c r="M252" i="12"/>
  <c r="M260" i="12"/>
  <c r="M268" i="12"/>
  <c r="M276" i="12"/>
  <c r="N114" i="12"/>
  <c r="B114" i="12" s="1"/>
  <c r="N264" i="12"/>
  <c r="B264" i="12" s="1"/>
  <c r="N318" i="12"/>
  <c r="B318" i="12" s="1"/>
  <c r="N350" i="12"/>
  <c r="B350" i="12" s="1"/>
  <c r="N382" i="12"/>
  <c r="B382" i="12" s="1"/>
  <c r="N414" i="12"/>
  <c r="B414" i="12" s="1"/>
  <c r="N446" i="12"/>
  <c r="B446" i="12" s="1"/>
  <c r="N478" i="12"/>
  <c r="B478" i="12" s="1"/>
  <c r="N510" i="12"/>
  <c r="B510" i="12" s="1"/>
  <c r="N534" i="12"/>
  <c r="B534" i="12" s="1"/>
  <c r="N553" i="12"/>
  <c r="B553" i="12" s="1"/>
  <c r="N576" i="12"/>
  <c r="B576" i="12" s="1"/>
  <c r="N598" i="12"/>
  <c r="B598" i="12" s="1"/>
  <c r="N617" i="12"/>
  <c r="B617" i="12" s="1"/>
  <c r="N640" i="12"/>
  <c r="B640" i="12" s="1"/>
  <c r="N662" i="12"/>
  <c r="B662" i="12" s="1"/>
  <c r="N681" i="12"/>
  <c r="B681" i="12" s="1"/>
  <c r="N704" i="12"/>
  <c r="B704" i="12" s="1"/>
  <c r="N721" i="12"/>
  <c r="B721" i="12" s="1"/>
  <c r="N737" i="12"/>
  <c r="B737" i="12" s="1"/>
  <c r="N753" i="12"/>
  <c r="B753" i="12" s="1"/>
  <c r="N769" i="12"/>
  <c r="B769" i="12" s="1"/>
  <c r="N785" i="12"/>
  <c r="B785" i="12" s="1"/>
  <c r="N801" i="12"/>
  <c r="B801" i="12" s="1"/>
  <c r="N814" i="12"/>
  <c r="B814" i="12" s="1"/>
  <c r="N823" i="12"/>
  <c r="B823" i="12" s="1"/>
  <c r="N832" i="12"/>
  <c r="B832" i="12" s="1"/>
  <c r="N841" i="12"/>
  <c r="B841" i="12" s="1"/>
  <c r="N849" i="12"/>
  <c r="B849" i="12" s="1"/>
  <c r="N857" i="12"/>
  <c r="B857" i="12" s="1"/>
  <c r="N865" i="12"/>
  <c r="B865" i="12" s="1"/>
  <c r="N873" i="12"/>
  <c r="B873" i="12" s="1"/>
  <c r="N881" i="12"/>
  <c r="B881" i="12" s="1"/>
  <c r="N889" i="12"/>
  <c r="B889" i="12" s="1"/>
  <c r="N897" i="12"/>
  <c r="B897" i="12" s="1"/>
  <c r="M5" i="12"/>
  <c r="M13" i="12"/>
  <c r="M21" i="12"/>
  <c r="M29" i="12"/>
  <c r="M37" i="12"/>
  <c r="M45" i="12"/>
  <c r="M53" i="12"/>
  <c r="M61" i="12"/>
  <c r="M69" i="12"/>
  <c r="M77" i="12"/>
  <c r="M85" i="12"/>
  <c r="M93" i="12"/>
  <c r="M101" i="12"/>
  <c r="M109" i="12"/>
  <c r="M117" i="12"/>
  <c r="M125" i="12"/>
  <c r="M133" i="12"/>
  <c r="M141" i="12"/>
  <c r="M149" i="12"/>
  <c r="M157" i="12"/>
  <c r="M165" i="12"/>
  <c r="M173" i="12"/>
  <c r="M181" i="12"/>
  <c r="M189" i="12"/>
  <c r="M197" i="12"/>
  <c r="M205" i="12"/>
  <c r="M213" i="12"/>
  <c r="M221" i="12"/>
  <c r="M229" i="12"/>
  <c r="M237" i="12"/>
  <c r="M245" i="12"/>
  <c r="M253" i="12"/>
  <c r="M261" i="12"/>
  <c r="M269" i="12"/>
  <c r="M277" i="12"/>
  <c r="M285" i="12"/>
  <c r="M293" i="12"/>
  <c r="M301" i="12"/>
  <c r="M309" i="12"/>
  <c r="M317" i="12"/>
  <c r="M325" i="12"/>
  <c r="M333" i="12"/>
  <c r="M341" i="12"/>
  <c r="M349" i="12"/>
  <c r="M357" i="12"/>
  <c r="M365" i="12"/>
  <c r="M373" i="12"/>
  <c r="M381" i="12"/>
  <c r="M389" i="12"/>
  <c r="N146" i="12"/>
  <c r="B146" i="12" s="1"/>
  <c r="N274" i="12"/>
  <c r="B274" i="12" s="1"/>
  <c r="N321" i="12"/>
  <c r="B321" i="12" s="1"/>
  <c r="N353" i="12"/>
  <c r="B353" i="12" s="1"/>
  <c r="N385" i="12"/>
  <c r="B385" i="12" s="1"/>
  <c r="N417" i="12"/>
  <c r="B417" i="12" s="1"/>
  <c r="N449" i="12"/>
  <c r="B449" i="12" s="1"/>
  <c r="N481" i="12"/>
  <c r="B481" i="12" s="1"/>
  <c r="N513" i="12"/>
  <c r="B513" i="12" s="1"/>
  <c r="N536" i="12"/>
  <c r="B536" i="12" s="1"/>
  <c r="N558" i="12"/>
  <c r="B558" i="12" s="1"/>
  <c r="N577" i="12"/>
  <c r="B577" i="12" s="1"/>
  <c r="N600" i="12"/>
  <c r="B600" i="12" s="1"/>
  <c r="N622" i="12"/>
  <c r="B622" i="12" s="1"/>
  <c r="N641" i="12"/>
  <c r="B641" i="12" s="1"/>
  <c r="N664" i="12"/>
  <c r="B664" i="12" s="1"/>
  <c r="N686" i="12"/>
  <c r="B686" i="12" s="1"/>
  <c r="N705" i="12"/>
  <c r="B705" i="12" s="1"/>
  <c r="N726" i="12"/>
  <c r="B726" i="12" s="1"/>
  <c r="N742" i="12"/>
  <c r="B742" i="12" s="1"/>
  <c r="N758" i="12"/>
  <c r="B758" i="12" s="1"/>
  <c r="N774" i="12"/>
  <c r="B774" i="12" s="1"/>
  <c r="N790" i="12"/>
  <c r="B790" i="12" s="1"/>
  <c r="N804" i="12"/>
  <c r="B804" i="12" s="1"/>
  <c r="N815" i="12"/>
  <c r="B815" i="12" s="1"/>
  <c r="N824" i="12"/>
  <c r="B824" i="12" s="1"/>
  <c r="N833" i="12"/>
  <c r="B833" i="12" s="1"/>
  <c r="N842" i="12"/>
  <c r="B842" i="12" s="1"/>
  <c r="N850" i="12"/>
  <c r="B850" i="12" s="1"/>
  <c r="N858" i="12"/>
  <c r="B858" i="12" s="1"/>
  <c r="N866" i="12"/>
  <c r="B866" i="12" s="1"/>
  <c r="N874" i="12"/>
  <c r="B874" i="12" s="1"/>
  <c r="N882" i="12"/>
  <c r="B882" i="12" s="1"/>
  <c r="N890" i="12"/>
  <c r="B890" i="12" s="1"/>
  <c r="N898" i="12"/>
  <c r="B898" i="12" s="1"/>
  <c r="M6" i="12"/>
  <c r="M14" i="12"/>
  <c r="M22" i="12"/>
  <c r="M30" i="12"/>
  <c r="M38" i="12"/>
  <c r="M46" i="12"/>
  <c r="M54" i="12"/>
  <c r="M62" i="12"/>
  <c r="M70" i="12"/>
  <c r="M78" i="12"/>
  <c r="M86" i="12"/>
  <c r="M94" i="12"/>
  <c r="M102" i="12"/>
  <c r="M110" i="12"/>
  <c r="M118" i="12"/>
  <c r="M126" i="12"/>
  <c r="M134" i="12"/>
  <c r="M142" i="12"/>
  <c r="M150" i="12"/>
  <c r="M158" i="12"/>
  <c r="M166" i="12"/>
  <c r="M174" i="12"/>
  <c r="M182" i="12"/>
  <c r="M190" i="12"/>
  <c r="M198" i="12"/>
  <c r="N178" i="12"/>
  <c r="B178" i="12" s="1"/>
  <c r="N297" i="12"/>
  <c r="B297" i="12" s="1"/>
  <c r="N329" i="12"/>
  <c r="B329" i="12" s="1"/>
  <c r="N361" i="12"/>
  <c r="B361" i="12" s="1"/>
  <c r="N393" i="12"/>
  <c r="B393" i="12" s="1"/>
  <c r="N425" i="12"/>
  <c r="B425" i="12" s="1"/>
  <c r="N457" i="12"/>
  <c r="B457" i="12" s="1"/>
  <c r="N489" i="12"/>
  <c r="B489" i="12" s="1"/>
  <c r="N520" i="12"/>
  <c r="B520" i="12" s="1"/>
  <c r="N542" i="12"/>
  <c r="B542" i="12" s="1"/>
  <c r="N561" i="12"/>
  <c r="B561" i="12" s="1"/>
  <c r="N584" i="12"/>
  <c r="B584" i="12" s="1"/>
  <c r="N606" i="12"/>
  <c r="B606" i="12" s="1"/>
  <c r="N625" i="12"/>
  <c r="B625" i="12" s="1"/>
  <c r="N648" i="12"/>
  <c r="B648" i="12" s="1"/>
  <c r="N670" i="12"/>
  <c r="B670" i="12" s="1"/>
  <c r="N689" i="12"/>
  <c r="B689" i="12" s="1"/>
  <c r="N712" i="12"/>
  <c r="B712" i="12" s="1"/>
  <c r="N728" i="12"/>
  <c r="B728" i="12" s="1"/>
  <c r="N744" i="12"/>
  <c r="B744" i="12" s="1"/>
  <c r="N760" i="12"/>
  <c r="B760" i="12" s="1"/>
  <c r="N776" i="12"/>
  <c r="B776" i="12" s="1"/>
  <c r="N792" i="12"/>
  <c r="B792" i="12" s="1"/>
  <c r="N807" i="12"/>
  <c r="B807" i="12" s="1"/>
  <c r="N817" i="12"/>
  <c r="B817" i="12" s="1"/>
  <c r="N826" i="12"/>
  <c r="B826" i="12" s="1"/>
  <c r="N835" i="12"/>
  <c r="B835" i="12" s="1"/>
  <c r="N844" i="12"/>
  <c r="B844" i="12" s="1"/>
  <c r="N852" i="12"/>
  <c r="B852" i="12" s="1"/>
  <c r="N860" i="12"/>
  <c r="B860" i="12" s="1"/>
  <c r="N868" i="12"/>
  <c r="B868" i="12" s="1"/>
  <c r="N876" i="12"/>
  <c r="B876" i="12" s="1"/>
  <c r="N884" i="12"/>
  <c r="B884" i="12" s="1"/>
  <c r="N892" i="12"/>
  <c r="B892" i="12" s="1"/>
  <c r="N900" i="12"/>
  <c r="B900" i="12" s="1"/>
  <c r="M8" i="12"/>
  <c r="M16" i="12"/>
  <c r="M24" i="12"/>
  <c r="M32" i="12"/>
  <c r="M40" i="12"/>
  <c r="M48" i="12"/>
  <c r="M56" i="12"/>
  <c r="M64" i="12"/>
  <c r="M72" i="12"/>
  <c r="M80" i="12"/>
  <c r="M88" i="12"/>
  <c r="M96" i="12"/>
  <c r="M104" i="12"/>
  <c r="M112" i="12"/>
  <c r="M120" i="12"/>
  <c r="M128" i="12"/>
  <c r="M136" i="12"/>
  <c r="M144" i="12"/>
  <c r="M152" i="12"/>
  <c r="M160" i="12"/>
  <c r="M168" i="12"/>
  <c r="M176" i="12"/>
  <c r="M184" i="12"/>
  <c r="M192" i="12"/>
  <c r="M200" i="12"/>
  <c r="M208" i="12"/>
  <c r="M216" i="12"/>
  <c r="M224" i="12"/>
  <c r="M232" i="12"/>
  <c r="M240" i="12"/>
  <c r="M248" i="12"/>
  <c r="M256" i="12"/>
  <c r="M264" i="12"/>
  <c r="M272" i="12"/>
  <c r="M280" i="12"/>
  <c r="M288" i="12"/>
  <c r="M296" i="12"/>
  <c r="M304" i="12"/>
  <c r="M312" i="12"/>
  <c r="M320" i="12"/>
  <c r="M328" i="12"/>
  <c r="M336" i="12"/>
  <c r="M344" i="12"/>
  <c r="M352" i="12"/>
  <c r="M360" i="12"/>
  <c r="M368" i="12"/>
  <c r="M376" i="12"/>
  <c r="M384" i="12"/>
  <c r="M392" i="12"/>
  <c r="N200" i="12"/>
  <c r="B200" i="12" s="1"/>
  <c r="N302" i="12"/>
  <c r="B302" i="12" s="1"/>
  <c r="N334" i="12"/>
  <c r="B334" i="12" s="1"/>
  <c r="N366" i="12"/>
  <c r="B366" i="12" s="1"/>
  <c r="N398" i="12"/>
  <c r="B398" i="12" s="1"/>
  <c r="N430" i="12"/>
  <c r="B430" i="12" s="1"/>
  <c r="N462" i="12"/>
  <c r="B462" i="12" s="1"/>
  <c r="N494" i="12"/>
  <c r="B494" i="12" s="1"/>
  <c r="N521" i="12"/>
  <c r="B521" i="12" s="1"/>
  <c r="N544" i="12"/>
  <c r="B544" i="12" s="1"/>
  <c r="N566" i="12"/>
  <c r="B566" i="12" s="1"/>
  <c r="N585" i="12"/>
  <c r="B585" i="12" s="1"/>
  <c r="N608" i="12"/>
  <c r="B608" i="12" s="1"/>
  <c r="N630" i="12"/>
  <c r="B630" i="12" s="1"/>
  <c r="N649" i="12"/>
  <c r="B649" i="12" s="1"/>
  <c r="N672" i="12"/>
  <c r="B672" i="12" s="1"/>
  <c r="N694" i="12"/>
  <c r="B694" i="12" s="1"/>
  <c r="N713" i="12"/>
  <c r="B713" i="12" s="1"/>
  <c r="N729" i="12"/>
  <c r="B729" i="12" s="1"/>
  <c r="N745" i="12"/>
  <c r="B745" i="12" s="1"/>
  <c r="N761" i="12"/>
  <c r="B761" i="12" s="1"/>
  <c r="N777" i="12"/>
  <c r="B777" i="12" s="1"/>
  <c r="N793" i="12"/>
  <c r="B793" i="12" s="1"/>
  <c r="N808" i="12"/>
  <c r="B808" i="12" s="1"/>
  <c r="N818" i="12"/>
  <c r="B818" i="12" s="1"/>
  <c r="N827" i="12"/>
  <c r="B827" i="12" s="1"/>
  <c r="N836" i="12"/>
  <c r="B836" i="12" s="1"/>
  <c r="N358" i="12"/>
  <c r="B358" i="12" s="1"/>
  <c r="N486" i="12"/>
  <c r="B486" i="12" s="1"/>
  <c r="N582" i="12"/>
  <c r="B582" i="12" s="1"/>
  <c r="N665" i="12"/>
  <c r="B665" i="12" s="1"/>
  <c r="N743" i="12"/>
  <c r="B743" i="12" s="1"/>
  <c r="N806" i="12"/>
  <c r="B806" i="12" s="1"/>
  <c r="N843" i="12"/>
  <c r="B843" i="12" s="1"/>
  <c r="N862" i="12"/>
  <c r="B862" i="12" s="1"/>
  <c r="N885" i="12"/>
  <c r="B885" i="12" s="1"/>
  <c r="M7" i="12"/>
  <c r="M26" i="12"/>
  <c r="M49" i="12"/>
  <c r="M71" i="12"/>
  <c r="M90" i="12"/>
  <c r="M113" i="12"/>
  <c r="M135" i="12"/>
  <c r="M154" i="12"/>
  <c r="M177" i="12"/>
  <c r="M199" i="12"/>
  <c r="M215" i="12"/>
  <c r="M231" i="12"/>
  <c r="M247" i="12"/>
  <c r="M263" i="12"/>
  <c r="M279" i="12"/>
  <c r="M292" i="12"/>
  <c r="M305" i="12"/>
  <c r="M318" i="12"/>
  <c r="M330" i="12"/>
  <c r="M343" i="12"/>
  <c r="M356" i="12"/>
  <c r="M369" i="12"/>
  <c r="M382" i="12"/>
  <c r="M394" i="12"/>
  <c r="M403" i="12"/>
  <c r="M411" i="12"/>
  <c r="M419" i="12"/>
  <c r="M427" i="12"/>
  <c r="M435" i="12"/>
  <c r="M443" i="12"/>
  <c r="M451" i="12"/>
  <c r="M459" i="12"/>
  <c r="M467" i="12"/>
  <c r="M475" i="12"/>
  <c r="M483" i="12"/>
  <c r="M491" i="12"/>
  <c r="M499" i="12"/>
  <c r="M507" i="12"/>
  <c r="M515" i="12"/>
  <c r="M523" i="12"/>
  <c r="M531" i="12"/>
  <c r="M539" i="12"/>
  <c r="M547" i="12"/>
  <c r="M555" i="12"/>
  <c r="M563" i="12"/>
  <c r="M571" i="12"/>
  <c r="M579" i="12"/>
  <c r="M587" i="12"/>
  <c r="M595" i="12"/>
  <c r="M603" i="12"/>
  <c r="M611" i="12"/>
  <c r="M619" i="12"/>
  <c r="M627" i="12"/>
  <c r="M635" i="12"/>
  <c r="M643" i="12"/>
  <c r="M651" i="12"/>
  <c r="M659" i="12"/>
  <c r="M667" i="12"/>
  <c r="M675" i="12"/>
  <c r="M683" i="12"/>
  <c r="M691" i="12"/>
  <c r="M699" i="12"/>
  <c r="M707" i="12"/>
  <c r="M715" i="12"/>
  <c r="M723" i="12"/>
  <c r="M731" i="12"/>
  <c r="M739" i="12"/>
  <c r="M747" i="12"/>
  <c r="M755" i="12"/>
  <c r="M763" i="12"/>
  <c r="M771" i="12"/>
  <c r="M779" i="12"/>
  <c r="M787" i="12"/>
  <c r="M795" i="12"/>
  <c r="M803" i="12"/>
  <c r="N18" i="12"/>
  <c r="B18" i="12" s="1"/>
  <c r="N369" i="12"/>
  <c r="B369" i="12" s="1"/>
  <c r="N497" i="12"/>
  <c r="B497" i="12" s="1"/>
  <c r="N590" i="12"/>
  <c r="B590" i="12" s="1"/>
  <c r="N673" i="12"/>
  <c r="B673" i="12" s="1"/>
  <c r="N750" i="12"/>
  <c r="B750" i="12" s="1"/>
  <c r="N809" i="12"/>
  <c r="B809" i="12" s="1"/>
  <c r="N845" i="12"/>
  <c r="B845" i="12" s="1"/>
  <c r="N867" i="12"/>
  <c r="B867" i="12" s="1"/>
  <c r="N886" i="12"/>
  <c r="B886" i="12" s="1"/>
  <c r="M9" i="12"/>
  <c r="M31" i="12"/>
  <c r="M50" i="12"/>
  <c r="M73" i="12"/>
  <c r="M95" i="12"/>
  <c r="M114" i="12"/>
  <c r="M137" i="12"/>
  <c r="M159" i="12"/>
  <c r="M178" i="12"/>
  <c r="M201" i="12"/>
  <c r="M217" i="12"/>
  <c r="M233" i="12"/>
  <c r="M249" i="12"/>
  <c r="M265" i="12"/>
  <c r="M281" i="12"/>
  <c r="M294" i="12"/>
  <c r="M306" i="12"/>
  <c r="M319" i="12"/>
  <c r="M332" i="12"/>
  <c r="M345" i="12"/>
  <c r="M358" i="12"/>
  <c r="M370" i="12"/>
  <c r="M383" i="12"/>
  <c r="M396" i="12"/>
  <c r="M404" i="12"/>
  <c r="M412" i="12"/>
  <c r="M420" i="12"/>
  <c r="M428" i="12"/>
  <c r="M436" i="12"/>
  <c r="M444" i="12"/>
  <c r="M452" i="12"/>
  <c r="M460" i="12"/>
  <c r="M468" i="12"/>
  <c r="M476" i="12"/>
  <c r="M484" i="12"/>
  <c r="M492" i="12"/>
  <c r="M500" i="12"/>
  <c r="M508" i="12"/>
  <c r="M516" i="12"/>
  <c r="M524" i="12"/>
  <c r="M532" i="12"/>
  <c r="M540" i="12"/>
  <c r="M548" i="12"/>
  <c r="M556" i="12"/>
  <c r="M564" i="12"/>
  <c r="M572" i="12"/>
  <c r="M580" i="12"/>
  <c r="M588" i="12"/>
  <c r="M596" i="12"/>
  <c r="M604" i="12"/>
  <c r="M612" i="12"/>
  <c r="M620" i="12"/>
  <c r="M628" i="12"/>
  <c r="M636" i="12"/>
  <c r="M644" i="12"/>
  <c r="M652" i="12"/>
  <c r="M660" i="12"/>
  <c r="M668" i="12"/>
  <c r="M676" i="12"/>
  <c r="M684" i="12"/>
  <c r="M692" i="12"/>
  <c r="M700" i="12"/>
  <c r="M708" i="12"/>
  <c r="M716" i="12"/>
  <c r="M724" i="12"/>
  <c r="M732" i="12"/>
  <c r="M740" i="12"/>
  <c r="M748" i="12"/>
  <c r="M756" i="12"/>
  <c r="M764" i="12"/>
  <c r="M772" i="12"/>
  <c r="M780" i="12"/>
  <c r="M788" i="12"/>
  <c r="M796" i="12"/>
  <c r="M804" i="12"/>
  <c r="N168" i="12"/>
  <c r="B168" i="12" s="1"/>
  <c r="N390" i="12"/>
  <c r="B390" i="12" s="1"/>
  <c r="N518" i="12"/>
  <c r="B518" i="12" s="1"/>
  <c r="N601" i="12"/>
  <c r="B601" i="12" s="1"/>
  <c r="N688" i="12"/>
  <c r="B688" i="12" s="1"/>
  <c r="N759" i="12"/>
  <c r="B759" i="12" s="1"/>
  <c r="N816" i="12"/>
  <c r="B816" i="12" s="1"/>
  <c r="N846" i="12"/>
  <c r="B846" i="12" s="1"/>
  <c r="N869" i="12"/>
  <c r="B869" i="12" s="1"/>
  <c r="N891" i="12"/>
  <c r="B891" i="12" s="1"/>
  <c r="M10" i="12"/>
  <c r="M33" i="12"/>
  <c r="M55" i="12"/>
  <c r="M74" i="12"/>
  <c r="M97" i="12"/>
  <c r="M119" i="12"/>
  <c r="M138" i="12"/>
  <c r="M161" i="12"/>
  <c r="M183" i="12"/>
  <c r="M202" i="12"/>
  <c r="M218" i="12"/>
  <c r="M234" i="12"/>
  <c r="M250" i="12"/>
  <c r="M266" i="12"/>
  <c r="M282" i="12"/>
  <c r="M295" i="12"/>
  <c r="M308" i="12"/>
  <c r="M321" i="12"/>
  <c r="M334" i="12"/>
  <c r="M346" i="12"/>
  <c r="M359" i="12"/>
  <c r="M372" i="12"/>
  <c r="M385" i="12"/>
  <c r="M397" i="12"/>
  <c r="M405" i="12"/>
  <c r="M413" i="12"/>
  <c r="M421" i="12"/>
  <c r="M429" i="12"/>
  <c r="M437" i="12"/>
  <c r="M445" i="12"/>
  <c r="M453" i="12"/>
  <c r="M461" i="12"/>
  <c r="M469" i="12"/>
  <c r="M477" i="12"/>
  <c r="M485" i="12"/>
  <c r="M493" i="12"/>
  <c r="M501" i="12"/>
  <c r="M509" i="12"/>
  <c r="M517" i="12"/>
  <c r="M525" i="12"/>
  <c r="M533" i="12"/>
  <c r="M541" i="12"/>
  <c r="M549" i="12"/>
  <c r="M557" i="12"/>
  <c r="M565" i="12"/>
  <c r="M573" i="12"/>
  <c r="M581" i="12"/>
  <c r="M589" i="12"/>
  <c r="M597" i="12"/>
  <c r="M605" i="12"/>
  <c r="M613" i="12"/>
  <c r="M621" i="12"/>
  <c r="M629" i="12"/>
  <c r="M637" i="12"/>
  <c r="M645" i="12"/>
  <c r="M653" i="12"/>
  <c r="M661" i="12"/>
  <c r="M669" i="12"/>
  <c r="M677" i="12"/>
  <c r="M685" i="12"/>
  <c r="M693" i="12"/>
  <c r="M701" i="12"/>
  <c r="M709" i="12"/>
  <c r="M717" i="12"/>
  <c r="M725" i="12"/>
  <c r="M733" i="12"/>
  <c r="M741" i="12"/>
  <c r="M749" i="12"/>
  <c r="M757" i="12"/>
  <c r="M765" i="12"/>
  <c r="M773" i="12"/>
  <c r="M781" i="12"/>
  <c r="M789" i="12"/>
  <c r="M797" i="12"/>
  <c r="M805" i="12"/>
  <c r="M813" i="12"/>
  <c r="M821" i="12"/>
  <c r="M829" i="12"/>
  <c r="M837" i="12"/>
  <c r="M845" i="12"/>
  <c r="M853" i="12"/>
  <c r="N210" i="12"/>
  <c r="B210" i="12" s="1"/>
  <c r="N401" i="12"/>
  <c r="B401" i="12" s="1"/>
  <c r="N526" i="12"/>
  <c r="B526" i="12" s="1"/>
  <c r="N609" i="12"/>
  <c r="B609" i="12" s="1"/>
  <c r="N696" i="12"/>
  <c r="B696" i="12" s="1"/>
  <c r="N766" i="12"/>
  <c r="B766" i="12" s="1"/>
  <c r="N819" i="12"/>
  <c r="B819" i="12" s="1"/>
  <c r="N851" i="12"/>
  <c r="B851" i="12" s="1"/>
  <c r="N870" i="12"/>
  <c r="B870" i="12" s="1"/>
  <c r="N893" i="12"/>
  <c r="B893" i="12" s="1"/>
  <c r="M15" i="12"/>
  <c r="M34" i="12"/>
  <c r="M57" i="12"/>
  <c r="M79" i="12"/>
  <c r="M98" i="12"/>
  <c r="M121" i="12"/>
  <c r="M143" i="12"/>
  <c r="M162" i="12"/>
  <c r="M185" i="12"/>
  <c r="M206" i="12"/>
  <c r="M222" i="12"/>
  <c r="M238" i="12"/>
  <c r="M254" i="12"/>
  <c r="M270" i="12"/>
  <c r="M284" i="12"/>
  <c r="M297" i="12"/>
  <c r="M310" i="12"/>
  <c r="M322" i="12"/>
  <c r="M335" i="12"/>
  <c r="M348" i="12"/>
  <c r="M361" i="12"/>
  <c r="M374" i="12"/>
  <c r="M386" i="12"/>
  <c r="M398" i="12"/>
  <c r="M406" i="12"/>
  <c r="M414" i="12"/>
  <c r="M422" i="12"/>
  <c r="M430" i="12"/>
  <c r="M438" i="12"/>
  <c r="M446" i="12"/>
  <c r="M454" i="12"/>
  <c r="M462" i="12"/>
  <c r="M470" i="12"/>
  <c r="M478" i="12"/>
  <c r="M486" i="12"/>
  <c r="M494" i="12"/>
  <c r="M502" i="12"/>
  <c r="M510" i="12"/>
  <c r="M518" i="12"/>
  <c r="M526" i="12"/>
  <c r="M534" i="12"/>
  <c r="M542" i="12"/>
  <c r="M550" i="12"/>
  <c r="M558" i="12"/>
  <c r="M566" i="12"/>
  <c r="M574" i="12"/>
  <c r="M582" i="12"/>
  <c r="M590" i="12"/>
  <c r="M598" i="12"/>
  <c r="M606" i="12"/>
  <c r="M614" i="12"/>
  <c r="M622" i="12"/>
  <c r="M630" i="12"/>
  <c r="M638" i="12"/>
  <c r="M646" i="12"/>
  <c r="M654" i="12"/>
  <c r="M662" i="12"/>
  <c r="M670" i="12"/>
  <c r="M678" i="12"/>
  <c r="M686" i="12"/>
  <c r="M694" i="12"/>
  <c r="M702" i="12"/>
  <c r="M710" i="12"/>
  <c r="M718" i="12"/>
  <c r="M726" i="12"/>
  <c r="M734" i="12"/>
  <c r="M742" i="12"/>
  <c r="M750" i="12"/>
  <c r="M758" i="12"/>
  <c r="M766" i="12"/>
  <c r="M774" i="12"/>
  <c r="M782" i="12"/>
  <c r="M790" i="12"/>
  <c r="M798" i="12"/>
  <c r="N305" i="12"/>
  <c r="B305" i="12" s="1"/>
  <c r="N433" i="12"/>
  <c r="B433" i="12" s="1"/>
  <c r="N545" i="12"/>
  <c r="B545" i="12" s="1"/>
  <c r="N632" i="12"/>
  <c r="B632" i="12" s="1"/>
  <c r="N718" i="12"/>
  <c r="B718" i="12" s="1"/>
  <c r="N782" i="12"/>
  <c r="B782" i="12" s="1"/>
  <c r="N828" i="12"/>
  <c r="B828" i="12" s="1"/>
  <c r="N854" i="12"/>
  <c r="B854" i="12" s="1"/>
  <c r="N877" i="12"/>
  <c r="B877" i="12" s="1"/>
  <c r="N899" i="12"/>
  <c r="B899" i="12" s="1"/>
  <c r="M18" i="12"/>
  <c r="M41" i="12"/>
  <c r="M63" i="12"/>
  <c r="M82" i="12"/>
  <c r="M105" i="12"/>
  <c r="M127" i="12"/>
  <c r="M146" i="12"/>
  <c r="M169" i="12"/>
  <c r="M191" i="12"/>
  <c r="M209" i="12"/>
  <c r="M225" i="12"/>
  <c r="M241" i="12"/>
  <c r="M257" i="12"/>
  <c r="M273" i="12"/>
  <c r="M287" i="12"/>
  <c r="M300" i="12"/>
  <c r="M313" i="12"/>
  <c r="M326" i="12"/>
  <c r="M338" i="12"/>
  <c r="M351" i="12"/>
  <c r="M364" i="12"/>
  <c r="M377" i="12"/>
  <c r="M390" i="12"/>
  <c r="M400" i="12"/>
  <c r="M408" i="12"/>
  <c r="M416" i="12"/>
  <c r="M424" i="12"/>
  <c r="M432" i="12"/>
  <c r="M440" i="12"/>
  <c r="M448" i="12"/>
  <c r="M456" i="12"/>
  <c r="M464" i="12"/>
  <c r="M472" i="12"/>
  <c r="M480" i="12"/>
  <c r="M488" i="12"/>
  <c r="M496" i="12"/>
  <c r="M504" i="12"/>
  <c r="M512" i="12"/>
  <c r="M520" i="12"/>
  <c r="M528" i="12"/>
  <c r="M536" i="12"/>
  <c r="M544" i="12"/>
  <c r="M552" i="12"/>
  <c r="M560" i="12"/>
  <c r="M568" i="12"/>
  <c r="M576" i="12"/>
  <c r="M584" i="12"/>
  <c r="M592" i="12"/>
  <c r="M600" i="12"/>
  <c r="M608" i="12"/>
  <c r="M616" i="12"/>
  <c r="M624" i="12"/>
  <c r="M632" i="12"/>
  <c r="M640" i="12"/>
  <c r="M648" i="12"/>
  <c r="M656" i="12"/>
  <c r="M664" i="12"/>
  <c r="M672" i="12"/>
  <c r="M680" i="12"/>
  <c r="M688" i="12"/>
  <c r="M696" i="12"/>
  <c r="M704" i="12"/>
  <c r="M712" i="12"/>
  <c r="M720" i="12"/>
  <c r="M728" i="12"/>
  <c r="M736" i="12"/>
  <c r="M744" i="12"/>
  <c r="M752" i="12"/>
  <c r="M760" i="12"/>
  <c r="M768" i="12"/>
  <c r="M776" i="12"/>
  <c r="M784" i="12"/>
  <c r="M792" i="12"/>
  <c r="M800" i="12"/>
  <c r="M808" i="12"/>
  <c r="N326" i="12"/>
  <c r="B326" i="12" s="1"/>
  <c r="N454" i="12"/>
  <c r="B454" i="12" s="1"/>
  <c r="N560" i="12"/>
  <c r="B560" i="12" s="1"/>
  <c r="N646" i="12"/>
  <c r="B646" i="12" s="1"/>
  <c r="N727" i="12"/>
  <c r="B727" i="12" s="1"/>
  <c r="N791" i="12"/>
  <c r="B791" i="12" s="1"/>
  <c r="N834" i="12"/>
  <c r="B834" i="12" s="1"/>
  <c r="N859" i="12"/>
  <c r="B859" i="12" s="1"/>
  <c r="N878" i="12"/>
  <c r="B878" i="12" s="1"/>
  <c r="N901" i="12"/>
  <c r="B901" i="12" s="1"/>
  <c r="M23" i="12"/>
  <c r="M42" i="12"/>
  <c r="M65" i="12"/>
  <c r="M87" i="12"/>
  <c r="M106" i="12"/>
  <c r="M129" i="12"/>
  <c r="M151" i="12"/>
  <c r="M170" i="12"/>
  <c r="M193" i="12"/>
  <c r="M210" i="12"/>
  <c r="M226" i="12"/>
  <c r="M242" i="12"/>
  <c r="M258" i="12"/>
  <c r="M274" i="12"/>
  <c r="M289" i="12"/>
  <c r="M302" i="12"/>
  <c r="M314" i="12"/>
  <c r="M327" i="12"/>
  <c r="M340" i="12"/>
  <c r="M353" i="12"/>
  <c r="M366" i="12"/>
  <c r="M378" i="12"/>
  <c r="M391" i="12"/>
  <c r="M401" i="12"/>
  <c r="M409" i="12"/>
  <c r="M417" i="12"/>
  <c r="M425" i="12"/>
  <c r="M433" i="12"/>
  <c r="M441" i="12"/>
  <c r="M449" i="12"/>
  <c r="M457" i="12"/>
  <c r="M465" i="12"/>
  <c r="M473" i="12"/>
  <c r="M481" i="12"/>
  <c r="M489" i="12"/>
  <c r="M497" i="12"/>
  <c r="M505" i="12"/>
  <c r="M513" i="12"/>
  <c r="M521" i="12"/>
  <c r="M529" i="12"/>
  <c r="M537" i="12"/>
  <c r="M545" i="12"/>
  <c r="M553" i="12"/>
  <c r="M561" i="12"/>
  <c r="M569" i="12"/>
  <c r="M577" i="12"/>
  <c r="M585" i="12"/>
  <c r="M593" i="12"/>
  <c r="M601" i="12"/>
  <c r="M609" i="12"/>
  <c r="M617" i="12"/>
  <c r="M625" i="12"/>
  <c r="M633" i="12"/>
  <c r="M641" i="12"/>
  <c r="M894" i="12"/>
  <c r="M886" i="12"/>
  <c r="M878" i="12"/>
  <c r="M870" i="12"/>
  <c r="M862" i="12"/>
  <c r="M854" i="12"/>
  <c r="M844" i="12"/>
  <c r="M835" i="12"/>
  <c r="M826" i="12"/>
  <c r="M817" i="12"/>
  <c r="M807" i="12"/>
  <c r="M786" i="12"/>
  <c r="M767" i="12"/>
  <c r="M745" i="12"/>
  <c r="M722" i="12"/>
  <c r="M703" i="12"/>
  <c r="M681" i="12"/>
  <c r="M658" i="12"/>
  <c r="M634" i="12"/>
  <c r="M602" i="12"/>
  <c r="M570" i="12"/>
  <c r="M538" i="12"/>
  <c r="M506" i="12"/>
  <c r="M474" i="12"/>
  <c r="M442" i="12"/>
  <c r="M410" i="12"/>
  <c r="M367" i="12"/>
  <c r="M316" i="12"/>
  <c r="M262" i="12"/>
  <c r="M194" i="12"/>
  <c r="M111" i="12"/>
  <c r="M25" i="12"/>
  <c r="N838" i="12"/>
  <c r="B838" i="12" s="1"/>
  <c r="N568" i="12"/>
  <c r="B568" i="12" s="1"/>
  <c r="M885" i="12"/>
  <c r="M861" i="12"/>
  <c r="M834" i="12"/>
  <c r="M806" i="12"/>
  <c r="M743" i="12"/>
  <c r="M679" i="12"/>
  <c r="M567" i="12"/>
  <c r="M471" i="12"/>
  <c r="M362" i="12"/>
  <c r="M186" i="12"/>
  <c r="N537" i="12"/>
  <c r="B537" i="12" s="1"/>
  <c r="M900" i="12"/>
  <c r="M892" i="12"/>
  <c r="M884" i="12"/>
  <c r="M876" i="12"/>
  <c r="M868" i="12"/>
  <c r="M860" i="12"/>
  <c r="M851" i="12"/>
  <c r="M842" i="12"/>
  <c r="M833" i="12"/>
  <c r="M824" i="12"/>
  <c r="M815" i="12"/>
  <c r="M802" i="12"/>
  <c r="M783" i="12"/>
  <c r="M761" i="12"/>
  <c r="M738" i="12"/>
  <c r="M719" i="12"/>
  <c r="M697" i="12"/>
  <c r="M674" i="12"/>
  <c r="M655" i="12"/>
  <c r="M626" i="12"/>
  <c r="M594" i="12"/>
  <c r="M562" i="12"/>
  <c r="M530" i="12"/>
  <c r="M498" i="12"/>
  <c r="M466" i="12"/>
  <c r="M434" i="12"/>
  <c r="M402" i="12"/>
  <c r="M354" i="12"/>
  <c r="M303" i="12"/>
  <c r="M246" i="12"/>
  <c r="M175" i="12"/>
  <c r="M89" i="12"/>
  <c r="M2" i="12"/>
  <c r="N798" i="12"/>
  <c r="B798" i="12" s="1"/>
  <c r="N465" i="12"/>
  <c r="B465" i="12" s="1"/>
  <c r="N825" i="12"/>
  <c r="B825" i="12" s="1"/>
  <c r="M899" i="12"/>
  <c r="M891" i="12"/>
  <c r="M883" i="12"/>
  <c r="M875" i="12"/>
  <c r="M867" i="12"/>
  <c r="M859" i="12"/>
  <c r="M850" i="12"/>
  <c r="M841" i="12"/>
  <c r="M832" i="12"/>
  <c r="M823" i="12"/>
  <c r="M814" i="12"/>
  <c r="M801" i="12"/>
  <c r="M778" i="12"/>
  <c r="M759" i="12"/>
  <c r="M737" i="12"/>
  <c r="M714" i="12"/>
  <c r="M695" i="12"/>
  <c r="M673" i="12"/>
  <c r="M650" i="12"/>
  <c r="M623" i="12"/>
  <c r="M591" i="12"/>
  <c r="M559" i="12"/>
  <c r="M527" i="12"/>
  <c r="M495" i="12"/>
  <c r="M463" i="12"/>
  <c r="M431" i="12"/>
  <c r="M399" i="12"/>
  <c r="M350" i="12"/>
  <c r="M298" i="12"/>
  <c r="M239" i="12"/>
  <c r="M167" i="12"/>
  <c r="M81" i="12"/>
  <c r="N894" i="12"/>
  <c r="B894" i="12" s="1"/>
  <c r="N775" i="12"/>
  <c r="B775" i="12" s="1"/>
  <c r="N422" i="12"/>
  <c r="B422" i="12" s="1"/>
  <c r="M901" i="12"/>
  <c r="M869" i="12"/>
  <c r="M843" i="12"/>
  <c r="M816" i="12"/>
  <c r="M762" i="12"/>
  <c r="M698" i="12"/>
  <c r="M631" i="12"/>
  <c r="M535" i="12"/>
  <c r="M439" i="12"/>
  <c r="M311" i="12"/>
  <c r="M17" i="12"/>
  <c r="M898" i="12"/>
  <c r="M890" i="12"/>
  <c r="M882" i="12"/>
  <c r="M874" i="12"/>
  <c r="M866" i="12"/>
  <c r="M858" i="12"/>
  <c r="M849" i="12"/>
  <c r="M840" i="12"/>
  <c r="M831" i="12"/>
  <c r="M822" i="12"/>
  <c r="M812" i="12"/>
  <c r="M799" i="12"/>
  <c r="M777" i="12"/>
  <c r="M754" i="12"/>
  <c r="M735" i="12"/>
  <c r="M713" i="12"/>
  <c r="M690" i="12"/>
  <c r="M671" i="12"/>
  <c r="M649" i="12"/>
  <c r="M618" i="12"/>
  <c r="M586" i="12"/>
  <c r="M554" i="12"/>
  <c r="M522" i="12"/>
  <c r="M490" i="12"/>
  <c r="M458" i="12"/>
  <c r="M426" i="12"/>
  <c r="M393" i="12"/>
  <c r="M342" i="12"/>
  <c r="M290" i="12"/>
  <c r="M230" i="12"/>
  <c r="M153" i="12"/>
  <c r="M66" i="12"/>
  <c r="N883" i="12"/>
  <c r="B883" i="12" s="1"/>
  <c r="N734" i="12"/>
  <c r="B734" i="12" s="1"/>
  <c r="N337" i="12"/>
  <c r="B337" i="12" s="1"/>
  <c r="M893" i="12"/>
  <c r="M877" i="12"/>
  <c r="M852" i="12"/>
  <c r="M825" i="12"/>
  <c r="M785" i="12"/>
  <c r="M721" i="12"/>
  <c r="M657" i="12"/>
  <c r="M599" i="12"/>
  <c r="M503" i="12"/>
  <c r="M407" i="12"/>
  <c r="M255" i="12"/>
  <c r="M103" i="12"/>
  <c r="M897" i="12"/>
  <c r="M889" i="12"/>
  <c r="M881" i="12"/>
  <c r="M873" i="12"/>
  <c r="M865" i="12"/>
  <c r="M857" i="12"/>
  <c r="M848" i="12"/>
  <c r="M839" i="12"/>
  <c r="M830" i="12"/>
  <c r="M820" i="12"/>
  <c r="M811" i="12"/>
  <c r="M794" i="12"/>
  <c r="M775" i="12"/>
  <c r="M753" i="12"/>
  <c r="M730" i="12"/>
  <c r="M711" i="12"/>
  <c r="M689" i="12"/>
  <c r="M666" i="12"/>
  <c r="M647" i="12"/>
  <c r="M615" i="12"/>
  <c r="M583" i="12"/>
  <c r="M551" i="12"/>
  <c r="M519" i="12"/>
  <c r="M487" i="12"/>
  <c r="M455" i="12"/>
  <c r="M423" i="12"/>
  <c r="M388" i="12"/>
  <c r="M337" i="12"/>
  <c r="M286" i="12"/>
  <c r="M223" i="12"/>
  <c r="M145" i="12"/>
  <c r="M58" i="12"/>
  <c r="N875" i="12"/>
  <c r="B875" i="12" s="1"/>
  <c r="N710" i="12"/>
  <c r="B710" i="12" s="1"/>
  <c r="N291" i="12"/>
  <c r="B291" i="12" s="1"/>
  <c r="C469" i="16" l="1"/>
  <c r="C874" i="16"/>
  <c r="C498" i="16"/>
  <c r="C748" i="16"/>
  <c r="C826" i="16"/>
  <c r="C637" i="16"/>
  <c r="C683" i="16"/>
  <c r="C298" i="16"/>
  <c r="C385" i="16"/>
  <c r="C399" i="16"/>
  <c r="C414" i="16"/>
  <c r="C279" i="16"/>
  <c r="C295" i="16"/>
  <c r="C738" i="16"/>
  <c r="C829" i="16"/>
  <c r="C842" i="16"/>
  <c r="C882" i="16"/>
  <c r="C330" i="16"/>
  <c r="C786" i="16"/>
  <c r="C897" i="16"/>
  <c r="C405" i="16"/>
  <c r="C692" i="16"/>
  <c r="C890" i="16"/>
  <c r="C373" i="16"/>
  <c r="C810" i="16"/>
  <c r="C822" i="16"/>
  <c r="C698" i="16"/>
  <c r="C525" i="16"/>
  <c r="C856" i="16"/>
  <c r="C764" i="16"/>
  <c r="C610" i="16"/>
  <c r="C397" i="16"/>
  <c r="C886" i="16"/>
  <c r="C819" i="16"/>
  <c r="C690" i="16"/>
  <c r="C517" i="16"/>
  <c r="C853" i="16"/>
  <c r="C757" i="16"/>
  <c r="C602" i="16"/>
  <c r="C386" i="16"/>
  <c r="C900" i="16"/>
  <c r="C835" i="16"/>
  <c r="C724" i="16"/>
  <c r="C556" i="16"/>
  <c r="C317" i="16"/>
  <c r="C875" i="16"/>
  <c r="C803" i="16"/>
  <c r="C660" i="16"/>
  <c r="C474" i="16"/>
  <c r="C516" i="16"/>
  <c r="C452" i="16"/>
  <c r="C388" i="16"/>
  <c r="C324" i="16"/>
  <c r="C691" i="16"/>
  <c r="C627" i="16"/>
  <c r="C563" i="16"/>
  <c r="C499" i="16"/>
  <c r="C435" i="16"/>
  <c r="C371" i="16"/>
  <c r="C307" i="16"/>
  <c r="C841" i="16"/>
  <c r="C777" i="16"/>
  <c r="C713" i="16"/>
  <c r="C649" i="16"/>
  <c r="C585" i="16"/>
  <c r="C521" i="16"/>
  <c r="C457" i="16"/>
  <c r="C393" i="16"/>
  <c r="C329" i="16"/>
  <c r="C784" i="16"/>
  <c r="C720" i="16"/>
  <c r="C656" i="16"/>
  <c r="C592" i="16"/>
  <c r="C528" i="16"/>
  <c r="C464" i="16"/>
  <c r="C400" i="16"/>
  <c r="C336" i="16"/>
  <c r="C791" i="16"/>
  <c r="C727" i="16"/>
  <c r="C663" i="16"/>
  <c r="C599" i="16"/>
  <c r="C535" i="16"/>
  <c r="C471" i="16"/>
  <c r="C407" i="16"/>
  <c r="C343" i="16"/>
  <c r="C222" i="16"/>
  <c r="C806" i="16"/>
  <c r="C742" i="16"/>
  <c r="C678" i="16"/>
  <c r="C614" i="16"/>
  <c r="C550" i="16"/>
  <c r="C486" i="16"/>
  <c r="C422" i="16"/>
  <c r="C358" i="16"/>
  <c r="C284" i="16"/>
  <c r="C237" i="16"/>
  <c r="C275" i="16"/>
  <c r="C211" i="16"/>
  <c r="C242" i="16"/>
  <c r="C281" i="16"/>
  <c r="C217" i="16"/>
  <c r="C256" i="16"/>
  <c r="C287" i="16"/>
  <c r="C223" i="16"/>
  <c r="C722" i="16"/>
  <c r="C812" i="16"/>
  <c r="C365" i="16"/>
  <c r="C845" i="16"/>
  <c r="C867" i="16"/>
  <c r="C380" i="16"/>
  <c r="C449" i="16"/>
  <c r="C584" i="16"/>
  <c r="C719" i="16"/>
  <c r="C335" i="16"/>
  <c r="C542" i="16"/>
  <c r="C229" i="16"/>
  <c r="C267" i="16"/>
  <c r="C215" i="16"/>
  <c r="C802" i="16"/>
  <c r="C838" i="16"/>
  <c r="C636" i="16"/>
  <c r="C855" i="16"/>
  <c r="C522" i="16"/>
  <c r="C849" i="16"/>
  <c r="C669" i="16"/>
  <c r="C797" i="16"/>
  <c r="C653" i="16"/>
  <c r="C466" i="16"/>
  <c r="C904" i="16"/>
  <c r="C839" i="16"/>
  <c r="C732" i="16"/>
  <c r="C565" i="16"/>
  <c r="C333" i="16"/>
  <c r="C870" i="16"/>
  <c r="C794" i="16"/>
  <c r="C645" i="16"/>
  <c r="C453" i="16"/>
  <c r="C901" i="16"/>
  <c r="C836" i="16"/>
  <c r="C725" i="16"/>
  <c r="C557" i="16"/>
  <c r="C322" i="16"/>
  <c r="C884" i="16"/>
  <c r="C816" i="16"/>
  <c r="C684" i="16"/>
  <c r="C509" i="16"/>
  <c r="C859" i="16"/>
  <c r="C771" i="16"/>
  <c r="C618" i="16"/>
  <c r="C410" i="16"/>
  <c r="C500" i="16"/>
  <c r="C436" i="16"/>
  <c r="C372" i="16"/>
  <c r="C308" i="16"/>
  <c r="C675" i="16"/>
  <c r="C611" i="16"/>
  <c r="C547" i="16"/>
  <c r="C483" i="16"/>
  <c r="C419" i="16"/>
  <c r="C355" i="16"/>
  <c r="C270" i="16"/>
  <c r="C825" i="16"/>
  <c r="C761" i="16"/>
  <c r="C697" i="16"/>
  <c r="C633" i="16"/>
  <c r="C569" i="16"/>
  <c r="C505" i="16"/>
  <c r="C441" i="16"/>
  <c r="C377" i="16"/>
  <c r="C313" i="16"/>
  <c r="C768" i="16"/>
  <c r="C704" i="16"/>
  <c r="C640" i="16"/>
  <c r="C576" i="16"/>
  <c r="C512" i="16"/>
  <c r="C448" i="16"/>
  <c r="C384" i="16"/>
  <c r="C320" i="16"/>
  <c r="C775" i="16"/>
  <c r="C711" i="16"/>
  <c r="C647" i="16"/>
  <c r="C583" i="16"/>
  <c r="C519" i="16"/>
  <c r="C455" i="16"/>
  <c r="C391" i="16"/>
  <c r="C327" i="16"/>
  <c r="C790" i="16"/>
  <c r="C726" i="16"/>
  <c r="C662" i="16"/>
  <c r="C598" i="16"/>
  <c r="C534" i="16"/>
  <c r="C470" i="16"/>
  <c r="C406" i="16"/>
  <c r="C342" i="16"/>
  <c r="C220" i="16"/>
  <c r="C285" i="16"/>
  <c r="C221" i="16"/>
  <c r="C259" i="16"/>
  <c r="C290" i="16"/>
  <c r="C226" i="16"/>
  <c r="C265" i="16"/>
  <c r="C240" i="16"/>
  <c r="C271" i="16"/>
  <c r="C207" i="16"/>
  <c r="C588" i="16"/>
  <c r="C741" i="16"/>
  <c r="C706" i="16"/>
  <c r="C508" i="16"/>
  <c r="C555" i="16"/>
  <c r="C769" i="16"/>
  <c r="C513" i="16"/>
  <c r="C712" i="16"/>
  <c r="C328" i="16"/>
  <c r="C527" i="16"/>
  <c r="C670" i="16"/>
  <c r="C209" i="16"/>
  <c r="C879" i="16"/>
  <c r="C795" i="16"/>
  <c r="C549" i="16"/>
  <c r="C823" i="16"/>
  <c r="C895" i="16"/>
  <c r="C394" i="16"/>
  <c r="C813" i="16"/>
  <c r="C586" i="16"/>
  <c r="C781" i="16"/>
  <c r="C634" i="16"/>
  <c r="C434" i="16"/>
  <c r="C896" i="16"/>
  <c r="C830" i="16"/>
  <c r="C716" i="16"/>
  <c r="C546" i="16"/>
  <c r="C301" i="16"/>
  <c r="C862" i="16"/>
  <c r="C778" i="16"/>
  <c r="C626" i="16"/>
  <c r="C421" i="16"/>
  <c r="C893" i="16"/>
  <c r="C827" i="16"/>
  <c r="C708" i="16"/>
  <c r="C538" i="16"/>
  <c r="C268" i="16"/>
  <c r="C876" i="16"/>
  <c r="C804" i="16"/>
  <c r="C661" i="16"/>
  <c r="C477" i="16"/>
  <c r="C851" i="16"/>
  <c r="C755" i="16"/>
  <c r="C596" i="16"/>
  <c r="C378" i="16"/>
  <c r="C492" i="16"/>
  <c r="C428" i="16"/>
  <c r="C364" i="16"/>
  <c r="C300" i="16"/>
  <c r="C667" i="16"/>
  <c r="C603" i="16"/>
  <c r="C539" i="16"/>
  <c r="C475" i="16"/>
  <c r="C411" i="16"/>
  <c r="C347" i="16"/>
  <c r="C238" i="16"/>
  <c r="C817" i="16"/>
  <c r="C753" i="16"/>
  <c r="C689" i="16"/>
  <c r="C625" i="16"/>
  <c r="C561" i="16"/>
  <c r="C497" i="16"/>
  <c r="C433" i="16"/>
  <c r="C369" i="16"/>
  <c r="C305" i="16"/>
  <c r="C760" i="16"/>
  <c r="C696" i="16"/>
  <c r="C632" i="16"/>
  <c r="C568" i="16"/>
  <c r="C504" i="16"/>
  <c r="C440" i="16"/>
  <c r="C376" i="16"/>
  <c r="C312" i="16"/>
  <c r="C767" i="16"/>
  <c r="C703" i="16"/>
  <c r="C639" i="16"/>
  <c r="C575" i="16"/>
  <c r="C511" i="16"/>
  <c r="C447" i="16"/>
  <c r="C383" i="16"/>
  <c r="C319" i="16"/>
  <c r="C782" i="16"/>
  <c r="C718" i="16"/>
  <c r="C654" i="16"/>
  <c r="C590" i="16"/>
  <c r="C526" i="16"/>
  <c r="C462" i="16"/>
  <c r="C398" i="16"/>
  <c r="C334" i="16"/>
  <c r="C277" i="16"/>
  <c r="C213" i="16"/>
  <c r="C251" i="16"/>
  <c r="C282" i="16"/>
  <c r="C218" i="16"/>
  <c r="C257" i="16"/>
  <c r="C296" i="16"/>
  <c r="C232" i="16"/>
  <c r="C263" i="16"/>
  <c r="C863" i="16"/>
  <c r="C871" i="16"/>
  <c r="C676" i="16"/>
  <c r="C668" i="16"/>
  <c r="C354" i="16"/>
  <c r="C427" i="16"/>
  <c r="C641" i="16"/>
  <c r="C776" i="16"/>
  <c r="C392" i="16"/>
  <c r="C478" i="16"/>
  <c r="C541" i="16"/>
  <c r="C731" i="16"/>
  <c r="C903" i="16"/>
  <c r="C437" i="16"/>
  <c r="C770" i="16"/>
  <c r="C873" i="16"/>
  <c r="C754" i="16"/>
  <c r="C490" i="16"/>
  <c r="C765" i="16"/>
  <c r="C612" i="16"/>
  <c r="C402" i="16"/>
  <c r="C888" i="16"/>
  <c r="C821" i="16"/>
  <c r="C693" i="16"/>
  <c r="C524" i="16"/>
  <c r="C854" i="16"/>
  <c r="C762" i="16"/>
  <c r="C604" i="16"/>
  <c r="C389" i="16"/>
  <c r="C885" i="16"/>
  <c r="C818" i="16"/>
  <c r="C685" i="16"/>
  <c r="C514" i="16"/>
  <c r="C868" i="16"/>
  <c r="C788" i="16"/>
  <c r="C642" i="16"/>
  <c r="C445" i="16"/>
  <c r="C843" i="16"/>
  <c r="C739" i="16"/>
  <c r="C573" i="16"/>
  <c r="C346" i="16"/>
  <c r="C484" i="16"/>
  <c r="C420" i="16"/>
  <c r="C356" i="16"/>
  <c r="C276" i="16"/>
  <c r="C659" i="16"/>
  <c r="C595" i="16"/>
  <c r="C531" i="16"/>
  <c r="C467" i="16"/>
  <c r="C403" i="16"/>
  <c r="C339" i="16"/>
  <c r="C206" i="16"/>
  <c r="C809" i="16"/>
  <c r="C745" i="16"/>
  <c r="C681" i="16"/>
  <c r="C617" i="16"/>
  <c r="C553" i="16"/>
  <c r="C489" i="16"/>
  <c r="C425" i="16"/>
  <c r="C361" i="16"/>
  <c r="C294" i="16"/>
  <c r="C752" i="16"/>
  <c r="C688" i="16"/>
  <c r="C624" i="16"/>
  <c r="C560" i="16"/>
  <c r="C496" i="16"/>
  <c r="C432" i="16"/>
  <c r="C368" i="16"/>
  <c r="C304" i="16"/>
  <c r="C759" i="16"/>
  <c r="C695" i="16"/>
  <c r="C631" i="16"/>
  <c r="C567" i="16"/>
  <c r="C503" i="16"/>
  <c r="C439" i="16"/>
  <c r="C375" i="16"/>
  <c r="C311" i="16"/>
  <c r="C774" i="16"/>
  <c r="C710" i="16"/>
  <c r="C646" i="16"/>
  <c r="C582" i="16"/>
  <c r="C518" i="16"/>
  <c r="C454" i="16"/>
  <c r="C390" i="16"/>
  <c r="C326" i="16"/>
  <c r="C269" i="16"/>
  <c r="C205" i="16"/>
  <c r="C243" i="16"/>
  <c r="C274" i="16"/>
  <c r="C210" i="16"/>
  <c r="C249" i="16"/>
  <c r="C288" i="16"/>
  <c r="C224" i="16"/>
  <c r="C255" i="16"/>
  <c r="C857" i="16"/>
  <c r="C878" i="16"/>
  <c r="C892" i="16"/>
  <c r="C787" i="16"/>
  <c r="C316" i="16"/>
  <c r="C363" i="16"/>
  <c r="C456" i="16"/>
  <c r="C591" i="16"/>
  <c r="C734" i="16"/>
  <c r="C350" i="16"/>
  <c r="C426" i="16"/>
  <c r="C650" i="16"/>
  <c r="C881" i="16"/>
  <c r="C309" i="16"/>
  <c r="C700" i="16"/>
  <c r="C850" i="16"/>
  <c r="C677" i="16"/>
  <c r="C889" i="16"/>
  <c r="C362" i="16"/>
  <c r="C749" i="16"/>
  <c r="C589" i="16"/>
  <c r="C370" i="16"/>
  <c r="C880" i="16"/>
  <c r="C811" i="16"/>
  <c r="C674" i="16"/>
  <c r="C493" i="16"/>
  <c r="C846" i="16"/>
  <c r="C746" i="16"/>
  <c r="C581" i="16"/>
  <c r="C357" i="16"/>
  <c r="C877" i="16"/>
  <c r="C805" i="16"/>
  <c r="C666" i="16"/>
  <c r="C482" i="16"/>
  <c r="C860" i="16"/>
  <c r="C772" i="16"/>
  <c r="C620" i="16"/>
  <c r="C413" i="16"/>
  <c r="C899" i="16"/>
  <c r="C834" i="16"/>
  <c r="C723" i="16"/>
  <c r="C554" i="16"/>
  <c r="C314" i="16"/>
  <c r="C476" i="16"/>
  <c r="C412" i="16"/>
  <c r="C348" i="16"/>
  <c r="C244" i="16"/>
  <c r="C715" i="16"/>
  <c r="C651" i="16"/>
  <c r="C587" i="16"/>
  <c r="C523" i="16"/>
  <c r="C459" i="16"/>
  <c r="C395" i="16"/>
  <c r="C331" i="16"/>
  <c r="C801" i="16"/>
  <c r="C737" i="16"/>
  <c r="C673" i="16"/>
  <c r="C609" i="16"/>
  <c r="C545" i="16"/>
  <c r="C481" i="16"/>
  <c r="C417" i="16"/>
  <c r="C353" i="16"/>
  <c r="C262" i="16"/>
  <c r="C744" i="16"/>
  <c r="C680" i="16"/>
  <c r="C616" i="16"/>
  <c r="C552" i="16"/>
  <c r="C488" i="16"/>
  <c r="C424" i="16"/>
  <c r="C360" i="16"/>
  <c r="C292" i="16"/>
  <c r="C751" i="16"/>
  <c r="C687" i="16"/>
  <c r="C623" i="16"/>
  <c r="C559" i="16"/>
  <c r="C495" i="16"/>
  <c r="C431" i="16"/>
  <c r="C367" i="16"/>
  <c r="C303" i="16"/>
  <c r="C766" i="16"/>
  <c r="C702" i="16"/>
  <c r="C638" i="16"/>
  <c r="C574" i="16"/>
  <c r="C510" i="16"/>
  <c r="C446" i="16"/>
  <c r="C382" i="16"/>
  <c r="C318" i="16"/>
  <c r="C261" i="16"/>
  <c r="C299" i="16"/>
  <c r="C235" i="16"/>
  <c r="C266" i="16"/>
  <c r="C241" i="16"/>
  <c r="C280" i="16"/>
  <c r="C216" i="16"/>
  <c r="C247" i="16"/>
  <c r="C658" i="16"/>
  <c r="C887" i="16"/>
  <c r="C214" i="16"/>
  <c r="C848" i="16"/>
  <c r="C485" i="16"/>
  <c r="C246" i="16"/>
  <c r="C442" i="16"/>
  <c r="C619" i="16"/>
  <c r="C833" i="16"/>
  <c r="C577" i="16"/>
  <c r="C648" i="16"/>
  <c r="C783" i="16"/>
  <c r="C463" i="16"/>
  <c r="C606" i="16"/>
  <c r="C293" i="16"/>
  <c r="C234" i="16"/>
  <c r="C273" i="16"/>
  <c r="C248" i="16"/>
  <c r="C779" i="16"/>
  <c r="C564" i="16"/>
  <c r="C858" i="16"/>
  <c r="C613" i="16"/>
  <c r="C820" i="16"/>
  <c r="C594" i="16"/>
  <c r="C866" i="16"/>
  <c r="C840" i="16"/>
  <c r="C733" i="16"/>
  <c r="C570" i="16"/>
  <c r="C338" i="16"/>
  <c r="C872" i="16"/>
  <c r="C796" i="16"/>
  <c r="C652" i="16"/>
  <c r="C461" i="16"/>
  <c r="C902" i="16"/>
  <c r="C837" i="16"/>
  <c r="C730" i="16"/>
  <c r="C562" i="16"/>
  <c r="C325" i="16"/>
  <c r="C869" i="16"/>
  <c r="C789" i="16"/>
  <c r="C644" i="16"/>
  <c r="C450" i="16"/>
  <c r="C852" i="16"/>
  <c r="C756" i="16"/>
  <c r="C597" i="16"/>
  <c r="C381" i="16"/>
  <c r="C891" i="16"/>
  <c r="C824" i="16"/>
  <c r="C701" i="16"/>
  <c r="C532" i="16"/>
  <c r="C236" i="16"/>
  <c r="C468" i="16"/>
  <c r="C404" i="16"/>
  <c r="C340" i="16"/>
  <c r="C212" i="16"/>
  <c r="C707" i="16"/>
  <c r="C643" i="16"/>
  <c r="C579" i="16"/>
  <c r="C515" i="16"/>
  <c r="C451" i="16"/>
  <c r="C387" i="16"/>
  <c r="C323" i="16"/>
  <c r="C793" i="16"/>
  <c r="C729" i="16"/>
  <c r="C665" i="16"/>
  <c r="C601" i="16"/>
  <c r="C537" i="16"/>
  <c r="C473" i="16"/>
  <c r="C409" i="16"/>
  <c r="C345" i="16"/>
  <c r="C230" i="16"/>
  <c r="C800" i="16"/>
  <c r="C736" i="16"/>
  <c r="C672" i="16"/>
  <c r="C608" i="16"/>
  <c r="C544" i="16"/>
  <c r="C480" i="16"/>
  <c r="C416" i="16"/>
  <c r="C352" i="16"/>
  <c r="C260" i="16"/>
  <c r="C807" i="16"/>
  <c r="C743" i="16"/>
  <c r="C679" i="16"/>
  <c r="C615" i="16"/>
  <c r="C551" i="16"/>
  <c r="C487" i="16"/>
  <c r="C423" i="16"/>
  <c r="C359" i="16"/>
  <c r="C286" i="16"/>
  <c r="C758" i="16"/>
  <c r="C694" i="16"/>
  <c r="C630" i="16"/>
  <c r="C566" i="16"/>
  <c r="C502" i="16"/>
  <c r="C438" i="16"/>
  <c r="C374" i="16"/>
  <c r="C310" i="16"/>
  <c r="C253" i="16"/>
  <c r="C291" i="16"/>
  <c r="C227" i="16"/>
  <c r="C258" i="16"/>
  <c r="C297" i="16"/>
  <c r="C233" i="16"/>
  <c r="C272" i="16"/>
  <c r="C208" i="16"/>
  <c r="C239" i="16"/>
  <c r="C865" i="16"/>
  <c r="C714" i="16"/>
  <c r="C605" i="16"/>
  <c r="C747" i="16"/>
  <c r="C808" i="16"/>
  <c r="C580" i="16"/>
  <c r="C533" i="16"/>
  <c r="C444" i="16"/>
  <c r="C491" i="16"/>
  <c r="C705" i="16"/>
  <c r="C321" i="16"/>
  <c r="C520" i="16"/>
  <c r="C655" i="16"/>
  <c r="C798" i="16"/>
  <c r="C252" i="16"/>
  <c r="C341" i="16"/>
  <c r="C898" i="16"/>
  <c r="C572" i="16"/>
  <c r="C905" i="16"/>
  <c r="C458" i="16"/>
  <c r="C832" i="16"/>
  <c r="C530" i="16"/>
  <c r="C763" i="16"/>
  <c r="C501" i="16"/>
  <c r="C847" i="16"/>
  <c r="C831" i="16"/>
  <c r="C717" i="16"/>
  <c r="C548" i="16"/>
  <c r="C306" i="16"/>
  <c r="C864" i="16"/>
  <c r="C780" i="16"/>
  <c r="C629" i="16"/>
  <c r="C429" i="16"/>
  <c r="C894" i="16"/>
  <c r="C828" i="16"/>
  <c r="C709" i="16"/>
  <c r="C540" i="16"/>
  <c r="C278" i="16"/>
  <c r="C861" i="16"/>
  <c r="C773" i="16"/>
  <c r="C621" i="16"/>
  <c r="C418" i="16"/>
  <c r="C844" i="16"/>
  <c r="C740" i="16"/>
  <c r="C578" i="16"/>
  <c r="C349" i="16"/>
  <c r="C883" i="16"/>
  <c r="C815" i="16"/>
  <c r="C682" i="16"/>
  <c r="C506" i="16"/>
  <c r="C460" i="16"/>
  <c r="C396" i="16"/>
  <c r="C332" i="16"/>
  <c r="C699" i="16"/>
  <c r="C635" i="16"/>
  <c r="C571" i="16"/>
  <c r="C507" i="16"/>
  <c r="C443" i="16"/>
  <c r="C379" i="16"/>
  <c r="C315" i="16"/>
  <c r="C785" i="16"/>
  <c r="C721" i="16"/>
  <c r="C657" i="16"/>
  <c r="C593" i="16"/>
  <c r="C529" i="16"/>
  <c r="C465" i="16"/>
  <c r="C401" i="16"/>
  <c r="C337" i="16"/>
  <c r="C792" i="16"/>
  <c r="C728" i="16"/>
  <c r="C664" i="16"/>
  <c r="C600" i="16"/>
  <c r="C536" i="16"/>
  <c r="C472" i="16"/>
  <c r="C408" i="16"/>
  <c r="C344" i="16"/>
  <c r="C228" i="16"/>
  <c r="C799" i="16"/>
  <c r="C735" i="16"/>
  <c r="C671" i="16"/>
  <c r="C607" i="16"/>
  <c r="C543" i="16"/>
  <c r="C479" i="16"/>
  <c r="C415" i="16"/>
  <c r="C351" i="16"/>
  <c r="C254" i="16"/>
  <c r="C814" i="16"/>
  <c r="C750" i="16"/>
  <c r="C686" i="16"/>
  <c r="C622" i="16"/>
  <c r="C558" i="16"/>
  <c r="C494" i="16"/>
  <c r="C430" i="16"/>
  <c r="C366" i="16"/>
  <c r="C302" i="16"/>
  <c r="C245" i="16"/>
  <c r="C283" i="16"/>
  <c r="C219" i="16"/>
  <c r="C250" i="16"/>
  <c r="C289" i="16"/>
  <c r="C225" i="16"/>
  <c r="C264" i="16"/>
  <c r="C231" i="16"/>
  <c r="C628" i="16"/>
  <c r="D5" i="15"/>
  <c r="D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Terrence Wissick</author>
  </authors>
  <commentList>
    <comment ref="E1" authorId="0" shapeId="0" xr:uid="{6C0D5133-F8F1-442B-9EFE-E5C792D75B30}">
      <text>
        <r>
          <rPr>
            <b/>
            <sz val="9"/>
            <color indexed="81"/>
            <rFont val="Tahoma"/>
            <family val="2"/>
          </rPr>
          <t>Terrence Wissick:</t>
        </r>
        <r>
          <rPr>
            <sz val="9"/>
            <color indexed="81"/>
            <rFont val="Tahoma"/>
            <family val="2"/>
          </rPr>
          <t xml:space="preserve">
4/1/14 value is 69,900. Could not find good solution to automatically add.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F64B25-660A-43B9-B044-9C8FBE9B4BAC}" keepAlive="1" name="Query - Append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2" xr16:uid="{4F5414BC-DBEA-40B6-B575-16AAFD388FB2}" keepAlive="1" name="Query - Document" description="Connection to the 'Document' query in the workbook." type="5" refreshedVersion="6" background="1" saveData="1">
    <dbPr connection="Provider=Microsoft.Mashup.OleDb.1;Data Source=$Workbook$;Location=Document;Extended Properties=&quot;&quot;" command="SELECT * FROM [Document]"/>
  </connection>
  <connection id="3" xr16:uid="{291AEE87-C163-4E90-A48D-E51BA74923DB}" keepAlive="1" name="Query - Document (2)" description="Connection to the 'Document (2)' query in the workbook." type="5" refreshedVersion="6" background="1">
    <dbPr connection="Provider=Microsoft.Mashup.OleDb.1;Data Source=$Workbook$;Location=&quot;Document (2)&quot;;Extended Properties=&quot;&quot;" command="SELECT * FROM [Document (2)]"/>
  </connection>
  <connection id="4" xr16:uid="{8B0B4C63-3DC8-4F48-99A3-92EC3359A21D}" keepAlive="1" name="Query - Document (3)" description="Connection to the 'Document (3)' query in the workbook." type="5" refreshedVersion="0" background="1">
    <dbPr connection="Provider=Microsoft.Mashup.OleDb.1;Data Source=$Workbook$;Location=&quot;Document (3)&quot;;Extended Properties=&quot;&quot;" command="SELECT * FROM [Document (3)]"/>
  </connection>
  <connection id="5" xr16:uid="{9F4755F4-0318-497D-AC42-9B08FE202CEC}" keepAlive="1" name="Query - Document (4)" description="Connection to the 'Document (4)' query in the workbook." type="5" refreshedVersion="0" background="1">
    <dbPr connection="Provider=Microsoft.Mashup.OleDb.1;Data Source=$Workbook$;Location=&quot;Document (4)&quot;;Extended Properties=&quot;&quot;" command="SELECT * FROM [Document (4)]"/>
  </connection>
  <connection id="6" xr16:uid="{1F0E71DE-2321-4970-8A8A-AD0783294ADE}" keepAlive="1" name="Query - Document (5)" description="Connection to the 'Document (5)' query in the workbook." type="5" refreshedVersion="0" background="1">
    <dbPr connection="Provider=Microsoft.Mashup.OleDb.1;Data Source=$Workbook$;Location=&quot;Document (5)&quot;;Extended Properties=&quot;&quot;" command="SELECT * FROM [Document (5)]"/>
  </connection>
  <connection id="7" xr16:uid="{85CF7FF6-4C32-4285-A079-315A85F55805}" keepAlive="1" name="Query - observations?series_id=EXJPUS&amp;api_key=ecc133893ea92a842ee685c734246086&amp;file_type" description="Connection to the 'observations?series_id=EXJPUS&amp;api_key=ecc133893ea92a842ee685c734246086&amp;file_type' query in the workbook." type="5" refreshedVersion="8" background="1" saveData="1">
    <dbPr connection="Provider=Microsoft.Mashup.OleDb.1;Data Source=$Workbook$;Location=&quot;observations?series_id=EXJPUS&amp;api_key=ecc133893ea92a842ee685c734246086&amp;file_type&quot;;Extended Properties=&quot;&quot;" command="SELECT * FROM [observations?series_id=EXJPUS&amp;api_key=ecc133893ea92a842ee685c734246086&amp;file_type]"/>
  </connection>
  <connection id="8" xr16:uid="{647BEC75-B302-4390-9757-E96FD36E2665}" keepAlive="1" name="Query - observations?series_id=PCU22112222112243&amp;api_key=ecc133893ea92a842ee685c73424608" description="Connection to the 'observations?series_id=PCU22112222112243&amp;api_key=ecc133893ea92a842ee685c73424608' query in the workbook." type="5" refreshedVersion="8" background="1" saveData="1">
    <dbPr connection="Provider=Microsoft.Mashup.OleDb.1;Data Source=$Workbook$;Location=&quot;observations?series_id=PCU22112222112243&amp;api_key=ecc133893ea92a842ee685c73424608&quot;;Extended Properties=&quot;&quot;" command="SELECT * FROM [observations?series_id=PCU22112222112243&amp;api_key=ecc133893ea92a842ee685c73424608]"/>
  </connection>
  <connection id="9" xr16:uid="{286990DB-69C9-40AB-A829-E56698F11310}" keepAlive="1" name="Query - observations?series_id=PCU22122212&amp;api_key=ecc133893ea92a842ee685c734246086&amp;file" description="Connection to the 'observations?series_id=PCU22122212&amp;api_key=ecc133893ea92a842ee685c734246086&amp;file' query in the workbook." type="5" refreshedVersion="8" background="1" saveData="1">
    <dbPr connection="Provider=Microsoft.Mashup.OleDb.1;Data Source=$Workbook$;Location=&quot;observations?series_id=PCU22122212&amp;api_key=ecc133893ea92a842ee685c734246086&amp;file&quot;;Extended Properties=&quot;&quot;" command="SELECT * FROM [observations?series_id=PCU22122212&amp;api_key=ecc133893ea92a842ee685c734246086&amp;file]"/>
  </connection>
  <connection id="10" xr16:uid="{9D9FC9B7-C889-4E69-8E98-441239B5F070}" keepAlive="1" name="Query - observations?series_id=PCU3241913241910&amp;api_key=ecc133893ea92a842ee685c734246086" description="Connection to the 'observations?series_id=PCU3241913241910&amp;api_key=ecc133893ea92a842ee685c734246086' query in the workbook." type="5" refreshedVersion="8" background="1" saveData="1">
    <dbPr connection="Provider=Microsoft.Mashup.OleDb.1;Data Source=$Workbook$;Location=&quot;observations?series_id=PCU3241913241910&amp;api_key=ecc133893ea92a842ee685c734246086&quot;;Extended Properties=&quot;&quot;" command="SELECT * FROM [observations?series_id=PCU3241913241910&amp;api_key=ecc133893ea92a842ee685c734246086]"/>
  </connection>
  <connection id="11" xr16:uid="{6A19418E-D69B-4998-A94F-265CF9DBDD20}" keepAlive="1" name="Query - observations?series_id=WPU057303&amp;api_key=ecc133893ea92a842ee685c734246086&amp;file_t" description="Connection to the 'observations?series_id=WPU057303&amp;api_key=ecc133893ea92a842ee685c734246086&amp;file_t' query in the workbook." type="5" refreshedVersion="8" background="1" saveData="1">
    <dbPr connection="Provider=Microsoft.Mashup.OleDb.1;Data Source=$Workbook$;Location=&quot;observations?series_id=WPU057303&amp;api_key=ecc133893ea92a842ee685c734246086&amp;file_t&quot;;Extended Properties=&quot;&quot;" command="SELECT * FROM [observations?series_id=WPU057303&amp;api_key=ecc133893ea92a842ee685c734246086&amp;file_t]"/>
  </connection>
  <connection id="12" xr16:uid="{A662497E-F846-4C9F-990B-34116482FF02}" keepAlive="1" name="Query - observations?series_id=WPU0613020T&amp;api_key=ecc133893ea92a842ee685c734246086&amp;file" description="Connection to the 'observations?series_id=WPU0613020T&amp;api_key=ecc133893ea92a842ee685c734246086&amp;file' query in the workbook." type="5" refreshedVersion="8" background="1" saveData="1">
    <dbPr connection="Provider=Microsoft.Mashup.OleDb.1;Data Source=$Workbook$;Location=&quot;observations?series_id=WPU0613020T&amp;api_key=ecc133893ea92a842ee685c734246086&amp;file&quot;;Extended Properties=&quot;&quot;" command="SELECT * FROM [observations?series_id=WPU0613020T&amp;api_key=ecc133893ea92a842ee685c734246086&amp;file]"/>
  </connection>
  <connection id="13" xr16:uid="{8DC3E145-11DB-4CC9-A971-F742BFFF4E68}" keepAlive="1" name="Query - Text 1 2" description="Connection to the 'Text 1 2' query in the workbook." type="5" refreshedVersion="8" background="1" saveData="1">
    <dbPr connection="Provider=Microsoft.Mashup.OleDb.1;Data Source=$Workbook$;Location=Text 1 2;Extended Properties=&quot;&quot;" command="SELECT * FROM [Text 1 2]"/>
  </connection>
  <connection id="14" xr16:uid="{1696394F-83AA-46CD-BA49-32D89AE64A09}" keepAlive="1" name="Query - timeseries?access_key=fqeas14oitk235763mntlb1c0brnk9w3fenzqbk313q5kvxyf52kukw1pa" description="Connection to the 'timeseries?access_key=fqeas14oitk235763mntlb1c0brnk9w3fenzqbk313q5kvxyf52kukw1pa' query in the workbook." type="5" refreshedVersion="8" background="1" saveData="1">
    <dbPr connection="Provider=Microsoft.Mashup.OleDb.1;Data Source=$Workbook$;Location=&quot;timeseries?access_key=fqeas14oitk235763mntlb1c0brnk9w3fenzqbk313q5kvxyf52kukw1pa&quot;;Extended Properties=&quot;&quot;" command="SELECT * FROM [timeseries?access_key=fqeas14oitk235763mntlb1c0brnk9w3fenzqbk313q5kvxyf52kukw1pa]"/>
  </connection>
</connections>
</file>

<file path=xl/sharedStrings.xml><?xml version="1.0" encoding="utf-8"?>
<sst xmlns="http://schemas.openxmlformats.org/spreadsheetml/2006/main" count="305" uniqueCount="59">
  <si>
    <t>Column1.date</t>
  </si>
  <si>
    <t>Column1.value</t>
  </si>
  <si>
    <t>Exchange Rate</t>
  </si>
  <si>
    <t>LME Zinc</t>
  </si>
  <si>
    <t>Value.LME-ZNC</t>
  </si>
  <si>
    <t>Column1</t>
  </si>
  <si>
    <t>PPI - Electricity</t>
  </si>
  <si>
    <t>PPI - Inorganic Acids</t>
  </si>
  <si>
    <t>PPI - Natural Gas</t>
  </si>
  <si>
    <t>PPI - Petroleum</t>
  </si>
  <si>
    <t>Date</t>
  </si>
  <si>
    <t>Index</t>
  </si>
  <si>
    <t>StartYrMth</t>
  </si>
  <si>
    <t>EndYrMth</t>
  </si>
  <si>
    <t>PPI - Electricity (%)</t>
  </si>
  <si>
    <t>PPI - Inorganic Acids (%)</t>
  </si>
  <si>
    <t>PPI - Natural Gas (%)</t>
  </si>
  <si>
    <t>PPI - Petroleum (%)</t>
  </si>
  <si>
    <t>Exchange Rate (%)</t>
  </si>
  <si>
    <t>LME Zinc (%)</t>
  </si>
  <si>
    <t>Selected</t>
  </si>
  <si>
    <t>Row Labels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</si>
  <si>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</si>
  <si>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</si>
  <si>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</si>
  <si>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</si>
  <si>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</si>
  <si>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</si>
  <si>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</si>
  <si>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</si>
  <si>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</si>
  <si>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</si>
  <si>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</si>
  <si>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</si>
  <si>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2022</t>
  </si>
  <si>
    <t>2023</t>
  </si>
  <si>
    <t>value_adj</t>
  </si>
  <si>
    <t>Sum of Field1</t>
  </si>
  <si>
    <t>Select Date</t>
  </si>
  <si>
    <t>Select Index:</t>
  </si>
  <si>
    <t>Text.1.1.1</t>
  </si>
  <si>
    <t>Text.1.1.2</t>
  </si>
  <si>
    <t>Text.1.2</t>
  </si>
  <si>
    <t>Text.1.1.12</t>
  </si>
  <si>
    <t>Text.1.1.3</t>
  </si>
  <si>
    <t>1</t>
  </si>
  <si>
    <t>4</t>
  </si>
  <si>
    <t>7</t>
  </si>
  <si>
    <t>10</t>
  </si>
  <si>
    <t>Month</t>
  </si>
  <si>
    <t>Year</t>
  </si>
  <si>
    <t>Text.1.3</t>
  </si>
  <si>
    <t>Naphtha (%)</t>
  </si>
  <si>
    <t>2021</t>
  </si>
  <si>
    <t>2019</t>
  </si>
  <si>
    <t>2020</t>
  </si>
  <si>
    <t>Naphtha (JPY)</t>
  </si>
  <si>
    <t>Name</t>
  </si>
  <si>
    <t>Simple Index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</si>
</sst>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14" fontId="0" fillId="2" borderId="0" xfId="0" applyNumberFormat="1" applyFill="1"/>
    <xf numFmtId="14" fontId="0" fillId="0" borderId="0" xfId="0" applyNumberFormat="1" applyAlignment="1">
      <alignment horizontal="left" indent="1"/>
    </xf>
    <xf numFmtId="14" fontId="0" fillId="0" borderId="0" xfId="0" pivotButton="1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2" fontId="0" fillId="0" borderId="0" xfId="1" applyNumberFormat="1" applyFont="1"/>
    <xf numFmtId="0" fontId="0" fillId="0" borderId="0" xfId="0" applyNumberFormat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/>
    <xf numFmtId="0" fontId="0" fillId="5" borderId="0" xfId="0" applyFill="1"/>
    <xf numFmtId="0" fontId="6" fillId="5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2" xr:uid="{00000000-0005-0000-0000-000031000000}"/>
    <cellStyle name="Percent" xfId="1" builtinId="5"/>
  </cellStyles>
  <dxfs count="51">
    <dxf>
      <numFmt numFmtId="164" formatCode=";;;"/>
    </dxf>
    <dxf>
      <numFmt numFmtId="14" formatCode="0.00%"/>
    </dxf>
    <dxf>
      <numFmt numFmtId="19" formatCode="m/d/yyyy"/>
    </dxf>
    <dxf>
      <numFmt numFmtId="14" formatCode="0.00%"/>
    </dxf>
    <dxf>
      <numFmt numFmtId="0" formatCode="General"/>
    </dxf>
    <dxf>
      <numFmt numFmtId="19" formatCode="m/d/yyyy"/>
    </dxf>
    <dxf>
      <numFmt numFmtId="14" formatCode="0.00%"/>
    </dxf>
    <dxf>
      <numFmt numFmtId="19" formatCode="m/d/yyyy"/>
    </dxf>
    <dxf>
      <numFmt numFmtId="19" formatCode="m/d/yyyy"/>
    </dxf>
    <dxf>
      <numFmt numFmtId="14" formatCode="0.00%"/>
    </dxf>
    <dxf>
      <numFmt numFmtId="19" formatCode="m/d/yyyy"/>
    </dxf>
    <dxf>
      <numFmt numFmtId="14" formatCode="0.00%"/>
    </dxf>
    <dxf>
      <numFmt numFmtId="19" formatCode="m/d/yyyy"/>
    </dxf>
    <dxf>
      <numFmt numFmtId="14" formatCode="0.00%"/>
    </dxf>
    <dxf>
      <numFmt numFmtId="19" formatCode="m/d/yyyy"/>
    </dxf>
    <dxf>
      <numFmt numFmtId="14" formatCode="0.00%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[Trial_2023_Dashboard_ver.1.xlsm]Dashboard!PivotTable1</c:name>
    <c:fmtId val="6"/>
  </c:pivotSource>
  <c:chart>
    <c:title>
      <c:tx>
        <c:strRef>
          <c:f>Dashboard!$I$27</c:f>
          <c:strCache>
            <c:ptCount val="1"/>
            <c:pt idx="0">
              <c:v>PPI - Natural Gas (%)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Dashboard!$I$27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Dashboard!$I$27</c:f>
              <c:multiLvlStrCache>
                <c:ptCount val="6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</c:lvl>
                <c:lvl>
                  <c:pt idx="0">
                    <c:v>2019</c:v>
                  </c:pt>
                  <c:pt idx="12">
                    <c:v>2020</c:v>
                  </c:pt>
                  <c:pt idx="24">
                    <c:v>2021</c:v>
                  </c:pt>
                  <c:pt idx="36">
                    <c:v>2022</c:v>
                  </c:pt>
                  <c:pt idx="48">
                    <c:v>2023</c:v>
                  </c:pt>
                </c:lvl>
              </c:multiLvlStrCache>
            </c:multiLvlStrRef>
          </c:cat>
          <c:val>
            <c:numRef>
              <c:f>Dashboard!$I$27</c:f>
              <c:numCache>
                <c:formatCode>General</c:formatCode>
                <c:ptCount val="60"/>
                <c:pt idx="0">
                  <c:v>0.20760697305863707</c:v>
                </c:pt>
                <c:pt idx="1">
                  <c:v>0.17695473251028804</c:v>
                </c:pt>
                <c:pt idx="2">
                  <c:v>0.16177703269069565</c:v>
                </c:pt>
                <c:pt idx="3">
                  <c:v>0.15469146238377007</c:v>
                </c:pt>
                <c:pt idx="4">
                  <c:v>0.13344887348353562</c:v>
                </c:pt>
                <c:pt idx="5">
                  <c:v>0.13344887348353562</c:v>
                </c:pt>
                <c:pt idx="6">
                  <c:v>0.11971830985915488</c:v>
                </c:pt>
                <c:pt idx="7">
                  <c:v>0.11504424778761058</c:v>
                </c:pt>
                <c:pt idx="8">
                  <c:v>0.11190053285968027</c:v>
                </c:pt>
                <c:pt idx="9">
                  <c:v>0.1228070175438597</c:v>
                </c:pt>
                <c:pt idx="10">
                  <c:v>0.14163090128755362</c:v>
                </c:pt>
                <c:pt idx="11">
                  <c:v>0.13793103448275867</c:v>
                </c:pt>
                <c:pt idx="12">
                  <c:v>0.13344887348353562</c:v>
                </c:pt>
                <c:pt idx="13">
                  <c:v>0.11347517730496448</c:v>
                </c:pt>
                <c:pt idx="14">
                  <c:v>0.10554561717352418</c:v>
                </c:pt>
                <c:pt idx="15">
                  <c:v>8.4249084249084283E-2</c:v>
                </c:pt>
                <c:pt idx="16">
                  <c:v>9.2558983666061745E-2</c:v>
                </c:pt>
                <c:pt idx="17">
                  <c:v>9.0909090909090939E-2</c:v>
                </c:pt>
                <c:pt idx="18">
                  <c:v>7.7490774907749138E-2</c:v>
                </c:pt>
                <c:pt idx="19">
                  <c:v>0.10071942446043169</c:v>
                </c:pt>
                <c:pt idx="20">
                  <c:v>0.14310197086546705</c:v>
                </c:pt>
                <c:pt idx="21">
                  <c:v>0.21568627450980393</c:v>
                </c:pt>
                <c:pt idx="22">
                  <c:v>0.26470588235294112</c:v>
                </c:pt>
                <c:pt idx="23">
                  <c:v>0.23195084485407058</c:v>
                </c:pt>
                <c:pt idx="24">
                  <c:v>0.17695473251028804</c:v>
                </c:pt>
                <c:pt idx="25">
                  <c:v>0.19093851132686079</c:v>
                </c:pt>
                <c:pt idx="26">
                  <c:v>0.20634920634920639</c:v>
                </c:pt>
                <c:pt idx="27">
                  <c:v>0.21691464369616287</c:v>
                </c:pt>
                <c:pt idx="28">
                  <c:v>0.28005759539236863</c:v>
                </c:pt>
                <c:pt idx="29">
                  <c:v>0.2548435171385991</c:v>
                </c:pt>
                <c:pt idx="30">
                  <c:v>0.294353416035113</c:v>
                </c:pt>
                <c:pt idx="31">
                  <c:v>0.31356868774926039</c:v>
                </c:pt>
                <c:pt idx="32">
                  <c:v>0.32961942494754282</c:v>
                </c:pt>
                <c:pt idx="33">
                  <c:v>0.38905554096077133</c:v>
                </c:pt>
                <c:pt idx="34">
                  <c:v>0.44755959450874228</c:v>
                </c:pt>
                <c:pt idx="35">
                  <c:v>0.43966290120136275</c:v>
                </c:pt>
                <c:pt idx="36">
                  <c:v>0.42803214459347383</c:v>
                </c:pt>
                <c:pt idx="37">
                  <c:v>0.41683141179283523</c:v>
                </c:pt>
                <c:pt idx="38">
                  <c:v>0.37207622994568457</c:v>
                </c:pt>
                <c:pt idx="39">
                  <c:v>0.39496977874044814</c:v>
                </c:pt>
                <c:pt idx="40">
                  <c:v>0.45823536422836464</c:v>
                </c:pt>
                <c:pt idx="41">
                  <c:v>0.50830231540439685</c:v>
                </c:pt>
                <c:pt idx="42">
                  <c:v>0.46296037721663097</c:v>
                </c:pt>
                <c:pt idx="43">
                  <c:v>0.48067055817528415</c:v>
                </c:pt>
                <c:pt idx="44">
                  <c:v>0.49047441926821933</c:v>
                </c:pt>
                <c:pt idx="45">
                  <c:v>0.46995717253954117</c:v>
                </c:pt>
                <c:pt idx="46">
                  <c:v>0.4578594121027465</c:v>
                </c:pt>
                <c:pt idx="47">
                  <c:v>0.47000773788702677</c:v>
                </c:pt>
                <c:pt idx="48">
                  <c:v>0.50593129480585575</c:v>
                </c:pt>
                <c:pt idx="49">
                  <c:v>0.4697098252163584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BE3-40AF-834A-C042A0E8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2704832"/>
        <c:axId val="179595311"/>
      </c:lineChart>
      <c:catAx>
        <c:axId val="29270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95311"/>
        <c:crosses val="autoZero"/>
        <c:auto val="1"/>
        <c:lblAlgn val="ctr"/>
        <c:lblOffset val="100"/>
        <c:noMultiLvlLbl val="0"/>
      </c:catAx>
      <c:valAx>
        <c:axId val="17959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0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'PPI - Electric'!$A$679:$A$783</c:f>
              <c:numCache>
                <c:formatCode>m/d/yyyy</c:formatCode>
                <c:ptCount val="105"/>
                <c:pt idx="0">
                  <c:v>41791</c:v>
                </c:pt>
                <c:pt idx="1">
                  <c:v>41821</c:v>
                </c:pt>
                <c:pt idx="2">
                  <c:v>41852</c:v>
                </c:pt>
                <c:pt idx="3">
                  <c:v>41883</c:v>
                </c:pt>
                <c:pt idx="4">
                  <c:v>41913</c:v>
                </c:pt>
                <c:pt idx="5">
                  <c:v>41944</c:v>
                </c:pt>
                <c:pt idx="6">
                  <c:v>41974</c:v>
                </c:pt>
                <c:pt idx="7">
                  <c:v>42005</c:v>
                </c:pt>
                <c:pt idx="8">
                  <c:v>42036</c:v>
                </c:pt>
                <c:pt idx="9">
                  <c:v>42064</c:v>
                </c:pt>
                <c:pt idx="10">
                  <c:v>42095</c:v>
                </c:pt>
                <c:pt idx="11">
                  <c:v>42125</c:v>
                </c:pt>
                <c:pt idx="12">
                  <c:v>42156</c:v>
                </c:pt>
                <c:pt idx="13">
                  <c:v>42186</c:v>
                </c:pt>
                <c:pt idx="14">
                  <c:v>42217</c:v>
                </c:pt>
                <c:pt idx="15">
                  <c:v>42248</c:v>
                </c:pt>
                <c:pt idx="16">
                  <c:v>42278</c:v>
                </c:pt>
                <c:pt idx="17">
                  <c:v>42309</c:v>
                </c:pt>
                <c:pt idx="18">
                  <c:v>42339</c:v>
                </c:pt>
                <c:pt idx="19">
                  <c:v>42370</c:v>
                </c:pt>
                <c:pt idx="20">
                  <c:v>42401</c:v>
                </c:pt>
                <c:pt idx="21">
                  <c:v>42430</c:v>
                </c:pt>
                <c:pt idx="22">
                  <c:v>42461</c:v>
                </c:pt>
                <c:pt idx="23">
                  <c:v>42491</c:v>
                </c:pt>
                <c:pt idx="24">
                  <c:v>42522</c:v>
                </c:pt>
                <c:pt idx="25">
                  <c:v>42552</c:v>
                </c:pt>
                <c:pt idx="26">
                  <c:v>42583</c:v>
                </c:pt>
                <c:pt idx="27">
                  <c:v>42614</c:v>
                </c:pt>
                <c:pt idx="28">
                  <c:v>42644</c:v>
                </c:pt>
                <c:pt idx="29">
                  <c:v>42675</c:v>
                </c:pt>
                <c:pt idx="30">
                  <c:v>42705</c:v>
                </c:pt>
                <c:pt idx="31">
                  <c:v>42736</c:v>
                </c:pt>
                <c:pt idx="32">
                  <c:v>42767</c:v>
                </c:pt>
                <c:pt idx="33">
                  <c:v>42795</c:v>
                </c:pt>
                <c:pt idx="34">
                  <c:v>42826</c:v>
                </c:pt>
                <c:pt idx="35">
                  <c:v>42856</c:v>
                </c:pt>
                <c:pt idx="36">
                  <c:v>42887</c:v>
                </c:pt>
                <c:pt idx="37">
                  <c:v>42917</c:v>
                </c:pt>
                <c:pt idx="38">
                  <c:v>42948</c:v>
                </c:pt>
                <c:pt idx="39">
                  <c:v>42979</c:v>
                </c:pt>
                <c:pt idx="40">
                  <c:v>43009</c:v>
                </c:pt>
                <c:pt idx="41">
                  <c:v>43040</c:v>
                </c:pt>
                <c:pt idx="42">
                  <c:v>43070</c:v>
                </c:pt>
                <c:pt idx="43">
                  <c:v>43101</c:v>
                </c:pt>
                <c:pt idx="44">
                  <c:v>43132</c:v>
                </c:pt>
                <c:pt idx="45">
                  <c:v>43160</c:v>
                </c:pt>
                <c:pt idx="46">
                  <c:v>43191</c:v>
                </c:pt>
                <c:pt idx="47">
                  <c:v>43221</c:v>
                </c:pt>
                <c:pt idx="48">
                  <c:v>43252</c:v>
                </c:pt>
                <c:pt idx="49">
                  <c:v>43282</c:v>
                </c:pt>
                <c:pt idx="50">
                  <c:v>43313</c:v>
                </c:pt>
                <c:pt idx="51">
                  <c:v>43344</c:v>
                </c:pt>
                <c:pt idx="52">
                  <c:v>43374</c:v>
                </c:pt>
                <c:pt idx="53">
                  <c:v>43405</c:v>
                </c:pt>
                <c:pt idx="54">
                  <c:v>43435</c:v>
                </c:pt>
                <c:pt idx="55">
                  <c:v>43466</c:v>
                </c:pt>
                <c:pt idx="56">
                  <c:v>43497</c:v>
                </c:pt>
                <c:pt idx="57">
                  <c:v>43525</c:v>
                </c:pt>
                <c:pt idx="58">
                  <c:v>43556</c:v>
                </c:pt>
                <c:pt idx="59">
                  <c:v>43586</c:v>
                </c:pt>
                <c:pt idx="60">
                  <c:v>43617</c:v>
                </c:pt>
                <c:pt idx="61">
                  <c:v>43647</c:v>
                </c:pt>
                <c:pt idx="62">
                  <c:v>43678</c:v>
                </c:pt>
                <c:pt idx="63">
                  <c:v>43709</c:v>
                </c:pt>
                <c:pt idx="64">
                  <c:v>43739</c:v>
                </c:pt>
                <c:pt idx="65">
                  <c:v>43770</c:v>
                </c:pt>
                <c:pt idx="66">
                  <c:v>43800</c:v>
                </c:pt>
                <c:pt idx="67">
                  <c:v>43831</c:v>
                </c:pt>
                <c:pt idx="68">
                  <c:v>43862</c:v>
                </c:pt>
                <c:pt idx="69">
                  <c:v>43891</c:v>
                </c:pt>
                <c:pt idx="70">
                  <c:v>43922</c:v>
                </c:pt>
                <c:pt idx="71">
                  <c:v>43952</c:v>
                </c:pt>
                <c:pt idx="72">
                  <c:v>43983</c:v>
                </c:pt>
                <c:pt idx="73">
                  <c:v>44013</c:v>
                </c:pt>
                <c:pt idx="74">
                  <c:v>44044</c:v>
                </c:pt>
                <c:pt idx="75">
                  <c:v>44075</c:v>
                </c:pt>
                <c:pt idx="76">
                  <c:v>44105</c:v>
                </c:pt>
                <c:pt idx="77">
                  <c:v>44136</c:v>
                </c:pt>
                <c:pt idx="78">
                  <c:v>44166</c:v>
                </c:pt>
                <c:pt idx="79">
                  <c:v>44197</c:v>
                </c:pt>
                <c:pt idx="80">
                  <c:v>44228</c:v>
                </c:pt>
                <c:pt idx="81">
                  <c:v>44256</c:v>
                </c:pt>
                <c:pt idx="82">
                  <c:v>44287</c:v>
                </c:pt>
                <c:pt idx="83">
                  <c:v>44317</c:v>
                </c:pt>
                <c:pt idx="84">
                  <c:v>44348</c:v>
                </c:pt>
                <c:pt idx="85">
                  <c:v>44378</c:v>
                </c:pt>
                <c:pt idx="86">
                  <c:v>44409</c:v>
                </c:pt>
                <c:pt idx="87">
                  <c:v>44440</c:v>
                </c:pt>
                <c:pt idx="88">
                  <c:v>44470</c:v>
                </c:pt>
                <c:pt idx="89">
                  <c:v>44501</c:v>
                </c:pt>
                <c:pt idx="90">
                  <c:v>44531</c:v>
                </c:pt>
                <c:pt idx="91">
                  <c:v>44562</c:v>
                </c:pt>
                <c:pt idx="92">
                  <c:v>44593</c:v>
                </c:pt>
                <c:pt idx="93">
                  <c:v>44621</c:v>
                </c:pt>
                <c:pt idx="94">
                  <c:v>44652</c:v>
                </c:pt>
                <c:pt idx="95">
                  <c:v>44682</c:v>
                </c:pt>
                <c:pt idx="96">
                  <c:v>44713</c:v>
                </c:pt>
                <c:pt idx="97">
                  <c:v>44743</c:v>
                </c:pt>
                <c:pt idx="98">
                  <c:v>44774</c:v>
                </c:pt>
                <c:pt idx="99">
                  <c:v>44805</c:v>
                </c:pt>
                <c:pt idx="100">
                  <c:v>44835</c:v>
                </c:pt>
                <c:pt idx="101">
                  <c:v>44866</c:v>
                </c:pt>
                <c:pt idx="102">
                  <c:v>44896</c:v>
                </c:pt>
                <c:pt idx="103">
                  <c:v>44927</c:v>
                </c:pt>
                <c:pt idx="104">
                  <c:v>44958</c:v>
                </c:pt>
              </c:numCache>
            </c:numRef>
          </c:cat>
          <c:val>
            <c:numRef>
              <c:f>'PPI - Electric'!$B$679:$B$783</c:f>
              <c:numCache>
                <c:formatCode>General</c:formatCode>
                <c:ptCount val="105"/>
                <c:pt idx="0">
                  <c:v>186.8</c:v>
                </c:pt>
                <c:pt idx="1">
                  <c:v>189.8</c:v>
                </c:pt>
                <c:pt idx="2">
                  <c:v>190</c:v>
                </c:pt>
                <c:pt idx="3">
                  <c:v>187.8</c:v>
                </c:pt>
                <c:pt idx="4">
                  <c:v>181.3</c:v>
                </c:pt>
                <c:pt idx="5">
                  <c:v>176</c:v>
                </c:pt>
                <c:pt idx="6">
                  <c:v>178.6</c:v>
                </c:pt>
                <c:pt idx="7">
                  <c:v>185.9</c:v>
                </c:pt>
                <c:pt idx="8">
                  <c:v>184.7</c:v>
                </c:pt>
                <c:pt idx="9">
                  <c:v>182.4</c:v>
                </c:pt>
                <c:pt idx="10">
                  <c:v>178.4</c:v>
                </c:pt>
                <c:pt idx="11">
                  <c:v>181.5</c:v>
                </c:pt>
                <c:pt idx="12">
                  <c:v>197.8</c:v>
                </c:pt>
                <c:pt idx="13">
                  <c:v>197.7</c:v>
                </c:pt>
                <c:pt idx="14">
                  <c:v>197.3</c:v>
                </c:pt>
                <c:pt idx="15">
                  <c:v>195.1</c:v>
                </c:pt>
                <c:pt idx="16">
                  <c:v>182.1</c:v>
                </c:pt>
                <c:pt idx="17">
                  <c:v>178.1</c:v>
                </c:pt>
                <c:pt idx="18">
                  <c:v>179.2</c:v>
                </c:pt>
                <c:pt idx="19">
                  <c:v>171</c:v>
                </c:pt>
                <c:pt idx="20">
                  <c:v>170.2</c:v>
                </c:pt>
                <c:pt idx="21">
                  <c:v>170.4</c:v>
                </c:pt>
                <c:pt idx="22">
                  <c:v>168.6</c:v>
                </c:pt>
                <c:pt idx="23">
                  <c:v>171.8</c:v>
                </c:pt>
                <c:pt idx="24">
                  <c:v>183.2</c:v>
                </c:pt>
                <c:pt idx="25">
                  <c:v>188.3</c:v>
                </c:pt>
                <c:pt idx="26">
                  <c:v>189.2</c:v>
                </c:pt>
                <c:pt idx="27">
                  <c:v>189.9</c:v>
                </c:pt>
                <c:pt idx="28">
                  <c:v>179.2</c:v>
                </c:pt>
                <c:pt idx="29">
                  <c:v>176.2</c:v>
                </c:pt>
                <c:pt idx="30">
                  <c:v>176.5</c:v>
                </c:pt>
                <c:pt idx="31">
                  <c:v>193.8</c:v>
                </c:pt>
                <c:pt idx="32">
                  <c:v>194.7</c:v>
                </c:pt>
                <c:pt idx="33">
                  <c:v>195.9</c:v>
                </c:pt>
                <c:pt idx="34">
                  <c:v>196</c:v>
                </c:pt>
                <c:pt idx="35">
                  <c:v>198.2</c:v>
                </c:pt>
                <c:pt idx="36">
                  <c:v>209.8</c:v>
                </c:pt>
                <c:pt idx="37">
                  <c:v>211.8</c:v>
                </c:pt>
                <c:pt idx="38">
                  <c:v>209.9</c:v>
                </c:pt>
                <c:pt idx="39">
                  <c:v>208.1</c:v>
                </c:pt>
                <c:pt idx="40">
                  <c:v>199.6</c:v>
                </c:pt>
                <c:pt idx="41">
                  <c:v>197.9</c:v>
                </c:pt>
                <c:pt idx="42">
                  <c:v>198.4</c:v>
                </c:pt>
                <c:pt idx="43">
                  <c:v>203.5</c:v>
                </c:pt>
                <c:pt idx="44">
                  <c:v>205</c:v>
                </c:pt>
                <c:pt idx="45">
                  <c:v>201.4</c:v>
                </c:pt>
                <c:pt idx="46">
                  <c:v>198.6</c:v>
                </c:pt>
                <c:pt idx="47">
                  <c:v>201.6</c:v>
                </c:pt>
                <c:pt idx="48">
                  <c:v>213.3</c:v>
                </c:pt>
                <c:pt idx="49">
                  <c:v>216.3</c:v>
                </c:pt>
                <c:pt idx="50">
                  <c:v>216.2</c:v>
                </c:pt>
                <c:pt idx="51">
                  <c:v>213.5</c:v>
                </c:pt>
                <c:pt idx="52">
                  <c:v>206.1</c:v>
                </c:pt>
                <c:pt idx="53">
                  <c:v>200.7</c:v>
                </c:pt>
                <c:pt idx="54">
                  <c:v>201.4</c:v>
                </c:pt>
                <c:pt idx="55">
                  <c:v>204.7</c:v>
                </c:pt>
                <c:pt idx="56">
                  <c:v>203.9</c:v>
                </c:pt>
                <c:pt idx="57">
                  <c:v>201.9</c:v>
                </c:pt>
                <c:pt idx="58">
                  <c:v>199.5</c:v>
                </c:pt>
                <c:pt idx="59">
                  <c:v>201.5</c:v>
                </c:pt>
                <c:pt idx="60">
                  <c:v>209.5</c:v>
                </c:pt>
                <c:pt idx="61">
                  <c:v>211.7</c:v>
                </c:pt>
                <c:pt idx="62">
                  <c:v>214.9</c:v>
                </c:pt>
                <c:pt idx="63">
                  <c:v>212.6</c:v>
                </c:pt>
                <c:pt idx="64">
                  <c:v>193.4</c:v>
                </c:pt>
                <c:pt idx="65">
                  <c:v>192.4</c:v>
                </c:pt>
                <c:pt idx="66">
                  <c:v>194.3</c:v>
                </c:pt>
                <c:pt idx="67">
                  <c:v>194.6</c:v>
                </c:pt>
                <c:pt idx="68">
                  <c:v>195.8</c:v>
                </c:pt>
                <c:pt idx="69">
                  <c:v>194.9</c:v>
                </c:pt>
                <c:pt idx="70">
                  <c:v>194.7</c:v>
                </c:pt>
                <c:pt idx="71">
                  <c:v>194.6</c:v>
                </c:pt>
                <c:pt idx="72">
                  <c:v>209.2</c:v>
                </c:pt>
                <c:pt idx="73">
                  <c:v>211.9</c:v>
                </c:pt>
                <c:pt idx="74">
                  <c:v>211.9</c:v>
                </c:pt>
                <c:pt idx="75">
                  <c:v>214.1</c:v>
                </c:pt>
                <c:pt idx="76">
                  <c:v>197.6</c:v>
                </c:pt>
                <c:pt idx="77">
                  <c:v>194.9</c:v>
                </c:pt>
                <c:pt idx="78">
                  <c:v>194.6</c:v>
                </c:pt>
                <c:pt idx="79">
                  <c:v>196.1</c:v>
                </c:pt>
                <c:pt idx="80">
                  <c:v>196.6</c:v>
                </c:pt>
                <c:pt idx="81">
                  <c:v>211.6</c:v>
                </c:pt>
                <c:pt idx="82">
                  <c:v>198.1</c:v>
                </c:pt>
                <c:pt idx="83">
                  <c:v>199.9</c:v>
                </c:pt>
                <c:pt idx="84">
                  <c:v>217.1</c:v>
                </c:pt>
                <c:pt idx="85">
                  <c:v>221.232</c:v>
                </c:pt>
                <c:pt idx="86">
                  <c:v>222.61500000000001</c:v>
                </c:pt>
                <c:pt idx="87">
                  <c:v>219.977</c:v>
                </c:pt>
                <c:pt idx="88">
                  <c:v>213.345</c:v>
                </c:pt>
                <c:pt idx="89">
                  <c:v>211.864</c:v>
                </c:pt>
                <c:pt idx="90">
                  <c:v>210.08199999999999</c:v>
                </c:pt>
                <c:pt idx="91">
                  <c:v>220.00800000000001</c:v>
                </c:pt>
                <c:pt idx="92">
                  <c:v>224.99799999999999</c:v>
                </c:pt>
                <c:pt idx="93">
                  <c:v>221.40199999999999</c:v>
                </c:pt>
                <c:pt idx="94">
                  <c:v>219.76400000000001</c:v>
                </c:pt>
                <c:pt idx="95">
                  <c:v>223.78800000000001</c:v>
                </c:pt>
                <c:pt idx="96">
                  <c:v>237.71799999999999</c:v>
                </c:pt>
                <c:pt idx="97">
                  <c:v>248.316</c:v>
                </c:pt>
                <c:pt idx="98">
                  <c:v>251.47800000000001</c:v>
                </c:pt>
                <c:pt idx="99">
                  <c:v>254.327</c:v>
                </c:pt>
                <c:pt idx="100">
                  <c:v>238.315</c:v>
                </c:pt>
                <c:pt idx="101">
                  <c:v>228.934</c:v>
                </c:pt>
                <c:pt idx="102">
                  <c:v>234.03</c:v>
                </c:pt>
                <c:pt idx="103">
                  <c:v>255.50200000000001</c:v>
                </c:pt>
                <c:pt idx="104">
                  <c:v>245.154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D5-4E36-8997-240BAFAD4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593952"/>
        <c:axId val="2078491120"/>
      </c:lineChart>
      <c:dateAx>
        <c:axId val="1145939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491120"/>
        <c:crosses val="autoZero"/>
        <c:auto val="1"/>
        <c:lblOffset val="100"/>
        <c:baseTimeUnit val="months"/>
      </c:dateAx>
      <c:valAx>
        <c:axId val="207849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9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283846</xdr:colOff>
      <xdr:row>2</xdr:row>
      <xdr:rowOff>7327</xdr:rowOff>
    </xdr:from>
    <xdr:to>
      <xdr:col>17</xdr:col>
      <xdr:colOff>135402</xdr:colOff>
      <xdr:row>25</xdr:row>
      <xdr:rowOff>96918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548761</xdr:colOff>
      <xdr:row>26</xdr:row>
      <xdr:rowOff>95250</xdr:rowOff>
    </xdr:from>
    <xdr:to>
      <xdr:col>5</xdr:col>
      <xdr:colOff>637442</xdr:colOff>
      <xdr:row>26</xdr:row>
      <xdr:rowOff>95250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548761" y="4674577"/>
          <a:ext cx="748104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553402</xdr:colOff>
      <xdr:row>25</xdr:row>
      <xdr:rowOff>63818</xdr:rowOff>
    </xdr:from>
    <xdr:to>
      <xdr:col>4</xdr:col>
      <xdr:colOff>554182</xdr:colOff>
      <xdr:row>26</xdr:row>
      <xdr:rowOff>95250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419436" y="4428000"/>
          <a:ext cx="780" cy="21327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25</xdr:row>
          <xdr:rowOff>161925</xdr:rowOff>
        </xdr:from>
        <xdr:to>
          <xdr:col>17</xdr:col>
          <xdr:colOff>238125</xdr:colOff>
          <xdr:row>27</xdr:row>
          <xdr:rowOff>104775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 API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522922</xdr:colOff>
      <xdr:row>746</xdr:row>
      <xdr:rowOff>152399</xdr:rowOff>
    </xdr:from>
    <xdr:to>
      <xdr:col>21</xdr:col>
      <xdr:colOff>266700</xdr:colOff>
      <xdr:row>784</xdr:row>
      <xdr:rowOff>47625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80010</xdr:colOff>
      <xdr:row>1</xdr:row>
      <xdr:rowOff>1905</xdr:rowOff>
    </xdr:from>
    <xdr:to>
      <xdr:col>1</xdr:col>
      <xdr:colOff>283210</xdr:colOff>
      <xdr:row>2</xdr:row>
      <xdr:rowOff>24130</xdr:rowOff>
    </xdr:to>
    <xdr:sp macro="[1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784860" y="1828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&#36890;&#35379;&#12501;&#12457;&#12523;&#12480;\Excel%20Add-ons\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TJ" refreshedDate="45022.833467129632" createdVersion="6" refreshedVersion="8" minRefreshableVersion="3" recordCount="900" xr:uid="{317C2659-D49C-4802-9CB3-18EEE732D9FD}">
  <cacheSource type="worksheet">
    <worksheetSource name="all_data"/>
  </cacheSource>
  <cacheFields count="19">
    <cacheField name="Date" numFmtId="14">
      <sharedItems containsSemiMixedTypes="0" containsNonDate="0" containsDate="1" containsString="0" minDate="1958-01-01T00:00:00" maxDate="2032-12-02T00:00:00" count="900"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  <d v="1969-01-01T00:00:00"/>
        <d v="1969-02-01T00:00:00"/>
        <d v="1969-03-01T00:00:00"/>
        <d v="1969-04-01T00:00:00"/>
        <d v="1969-05-01T00:00:00"/>
        <d v="1969-06-01T00:00:00"/>
        <d v="1969-07-01T00:00:00"/>
        <d v="1969-08-01T00:00:00"/>
        <d v="1969-09-01T00:00:00"/>
        <d v="1969-10-01T00:00:00"/>
        <d v="1969-11-01T00:00:00"/>
        <d v="1969-12-01T00:00:00"/>
        <d v="1970-01-01T00:00:00"/>
        <d v="1970-02-01T00:00:00"/>
        <d v="1970-03-01T00:00:00"/>
        <d v="1970-04-01T00:00:00"/>
        <d v="1970-05-01T00:00:00"/>
        <d v="1970-06-01T00:00:00"/>
        <d v="1970-07-01T00:00:00"/>
        <d v="1970-08-01T00:00:00"/>
        <d v="1970-09-01T00:00:00"/>
        <d v="1970-10-01T00:00:00"/>
        <d v="1970-11-01T00:00:00"/>
        <d v="1970-12-01T00:00:00"/>
        <d v="1971-01-01T00:00:00"/>
        <d v="1971-02-01T00:00:00"/>
        <d v="1971-03-01T00:00:00"/>
        <d v="1971-04-01T00:00:00"/>
        <d v="1971-05-01T00:00:00"/>
        <d v="1971-06-01T00:00:00"/>
        <d v="1971-07-01T00:00:00"/>
        <d v="1971-08-01T00:00:00"/>
        <d v="1971-09-01T00:00:00"/>
        <d v="1971-10-01T00:00:00"/>
        <d v="1971-11-01T00:00:00"/>
        <d v="1971-12-01T00:00:00"/>
        <d v="1972-01-01T00:00:00"/>
        <d v="1972-02-01T00:00:00"/>
        <d v="1972-03-01T00:00:00"/>
        <d v="1972-04-01T00:00:00"/>
        <d v="1972-05-01T00:00:00"/>
        <d v="1972-06-01T00:00:00"/>
        <d v="1972-07-01T00:00:00"/>
        <d v="1972-08-01T00:00:00"/>
        <d v="1972-09-01T00:00:00"/>
        <d v="1972-10-01T00:00:00"/>
        <d v="1972-11-01T00:00:00"/>
        <d v="1972-12-01T00:00:00"/>
        <d v="1973-01-01T00:00:00"/>
        <d v="1973-02-01T00:00:00"/>
        <d v="1973-03-01T00:00:00"/>
        <d v="1973-04-01T00:00:00"/>
        <d v="1973-05-01T00:00:00"/>
        <d v="1973-06-01T00:00:00"/>
        <d v="1973-07-01T00:00:00"/>
        <d v="1973-08-01T00:00:00"/>
        <d v="1973-09-01T00:00:00"/>
        <d v="1973-10-01T00:00:00"/>
        <d v="1973-11-01T00:00:00"/>
        <d v="1973-12-01T00:00:00"/>
        <d v="1974-01-01T00:00:00"/>
        <d v="1974-02-01T00:00:00"/>
        <d v="1974-03-01T00:00:00"/>
        <d v="1974-04-01T00:00:00"/>
        <d v="1974-05-01T00:00:00"/>
        <d v="1974-06-01T00:00:00"/>
        <d v="1974-07-01T00:00:00"/>
        <d v="1974-08-01T00:00:00"/>
        <d v="1974-09-01T00:00:00"/>
        <d v="1974-10-01T00:00:00"/>
        <d v="1974-11-01T00:00:00"/>
        <d v="1974-12-01T00:00:00"/>
        <d v="1975-01-01T00:00:00"/>
        <d v="1975-02-01T00:00:00"/>
        <d v="1975-03-01T00:00:00"/>
        <d v="1975-04-01T00:00:00"/>
        <d v="1975-05-01T00:00:00"/>
        <d v="1975-06-01T00:00:00"/>
        <d v="1975-07-01T00:00:00"/>
        <d v="1975-08-01T00:00:00"/>
        <d v="1975-09-01T00:00:00"/>
        <d v="1975-10-01T00:00:00"/>
        <d v="1975-11-01T00:00:00"/>
        <d v="1975-12-01T00:00:00"/>
        <d v="1976-01-01T00:00:00"/>
        <d v="1976-02-01T00:00:00"/>
        <d v="1976-03-01T00:00:00"/>
        <d v="1976-04-01T00:00:00"/>
        <d v="1976-05-01T00:00:00"/>
        <d v="1976-06-01T00:00:00"/>
        <d v="1976-07-01T00:00:00"/>
        <d v="1976-08-01T00:00:00"/>
        <d v="1976-09-01T00:00:00"/>
        <d v="1976-10-01T00:00:00"/>
        <d v="1976-11-01T00:00:00"/>
        <d v="1976-12-01T00:00:00"/>
        <d v="1977-01-01T00:00:00"/>
        <d v="1977-02-01T00:00:00"/>
        <d v="1977-03-01T00:00:00"/>
        <d v="1977-04-01T00:00:00"/>
        <d v="1977-05-01T00:00:00"/>
        <d v="1977-06-01T00:00:00"/>
        <d v="1977-07-01T00:00:00"/>
        <d v="1977-08-01T00:00:00"/>
        <d v="1977-09-01T00:00:00"/>
        <d v="1977-10-01T00:00:00"/>
        <d v="1977-11-01T00:00:00"/>
        <d v="1977-12-01T00:00:00"/>
        <d v="1978-01-01T00:00:00"/>
        <d v="1978-02-01T00:00:00"/>
        <d v="1978-03-01T00:00:00"/>
        <d v="1978-04-01T00:00:00"/>
        <d v="1978-05-01T00:00:00"/>
        <d v="1978-06-01T00:00:00"/>
        <d v="1978-07-01T00:00:00"/>
        <d v="1978-08-01T00:00:00"/>
        <d v="1978-09-01T00:00:00"/>
        <d v="1978-10-01T00:00:00"/>
        <d v="1978-11-01T00:00:00"/>
        <d v="1978-12-01T00:00:00"/>
        <d v="1979-01-01T00:00:00"/>
        <d v="1979-02-01T00:00:00"/>
        <d v="1979-03-01T00:00:00"/>
        <d v="1979-04-01T00:00:00"/>
        <d v="1979-05-01T00:00:00"/>
        <d v="1979-06-01T00:00:00"/>
        <d v="1979-07-01T00:00:00"/>
        <d v="1979-08-01T00:00:00"/>
        <d v="1979-09-01T00:00:00"/>
        <d v="1979-10-01T00:00:00"/>
        <d v="1979-11-01T00:00:00"/>
        <d v="1979-12-01T00:00:00"/>
        <d v="1980-01-01T00:00:00"/>
        <d v="1980-02-01T00:00:00"/>
        <d v="1980-03-01T00:00:00"/>
        <d v="1980-04-01T00:00:00"/>
        <d v="1980-05-01T00:00:00"/>
        <d v="1980-06-01T00:00:00"/>
        <d v="1980-07-01T00:00:00"/>
        <d v="1980-08-01T00:00:00"/>
        <d v="1980-09-01T00:00:00"/>
        <d v="1980-10-01T00:00:00"/>
        <d v="1980-11-01T00:00:00"/>
        <d v="1980-12-01T00:00:00"/>
        <d v="1981-01-01T00:00:00"/>
        <d v="1981-02-01T00:00:00"/>
        <d v="1981-03-01T00:00:00"/>
        <d v="1981-04-01T00:00:00"/>
        <d v="1981-05-01T00:00:00"/>
        <d v="1981-06-01T00:00:00"/>
        <d v="1981-07-01T00:00:00"/>
        <d v="1981-08-01T00:00:00"/>
        <d v="1981-09-01T00:00:00"/>
        <d v="1981-10-01T00:00:00"/>
        <d v="1981-11-01T00:00:00"/>
        <d v="1981-12-01T00:00:00"/>
        <d v="1982-01-01T00:00:00"/>
        <d v="1982-02-01T00:00:00"/>
        <d v="1982-03-01T00:00:00"/>
        <d v="1982-04-01T00:00:00"/>
        <d v="1982-05-01T00:00:00"/>
        <d v="1982-06-01T00:00:00"/>
        <d v="1982-07-01T00:00:00"/>
        <d v="1982-08-01T00:00:00"/>
        <d v="1982-09-01T00:00:00"/>
        <d v="1982-10-01T00:00:00"/>
        <d v="1982-11-01T00:00:00"/>
        <d v="1982-12-01T00:00:00"/>
        <d v="1983-01-01T00:00:00"/>
        <d v="1983-02-01T00:00:00"/>
        <d v="1983-03-01T00:00:00"/>
        <d v="1983-04-01T00:00:00"/>
        <d v="1983-05-01T00:00:00"/>
        <d v="1983-06-01T00:00:00"/>
        <d v="1983-07-01T00:00:00"/>
        <d v="1983-08-01T00:00:00"/>
        <d v="1983-09-01T00:00:00"/>
        <d v="1983-10-01T00:00:00"/>
        <d v="1983-11-01T00:00:00"/>
        <d v="1983-12-01T00:00:00"/>
        <d v="1984-01-01T00:00:00"/>
        <d v="1984-02-01T00:00:00"/>
        <d v="1984-03-01T00:00:00"/>
        <d v="1984-04-01T00:00:00"/>
        <d v="1984-05-01T00:00:00"/>
        <d v="1984-06-01T00:00:00"/>
        <d v="1984-07-01T00:00:00"/>
        <d v="1984-08-01T00:00:00"/>
        <d v="1984-09-01T00:00:00"/>
        <d v="1984-10-01T00:00:00"/>
        <d v="1984-11-01T00:00:00"/>
        <d v="1984-12-01T00:00:00"/>
        <d v="1985-01-01T00:00:00"/>
        <d v="1985-02-01T00:00:00"/>
        <d v="1985-03-01T00:00:00"/>
        <d v="1985-04-01T00:00:00"/>
        <d v="1985-05-01T00:00:00"/>
        <d v="1985-06-01T00:00:00"/>
        <d v="1985-07-01T00:00:00"/>
        <d v="1985-08-01T00:00:00"/>
        <d v="1985-09-01T00:00:00"/>
        <d v="1985-10-01T00:00:00"/>
        <d v="1985-11-01T00:00:00"/>
        <d v="1985-12-01T00:00:00"/>
        <d v="1986-01-01T00:00:00"/>
        <d v="1986-02-01T00:00:00"/>
        <d v="1986-03-01T00:00:00"/>
        <d v="1986-04-01T00:00:00"/>
        <d v="1986-05-01T00:00:00"/>
        <d v="1986-06-01T00:00:00"/>
        <d v="1986-07-01T00:00:00"/>
        <d v="1986-08-01T00:00:00"/>
        <d v="1986-09-01T00:00:00"/>
        <d v="1986-10-01T00:00:00"/>
        <d v="1986-11-01T00:00:00"/>
        <d v="1986-12-01T00:00:00"/>
        <d v="1987-01-01T00:00:00"/>
        <d v="1987-02-01T00:00:00"/>
        <d v="1987-03-01T00:00:00"/>
        <d v="1987-04-01T00:00:00"/>
        <d v="1987-05-01T00:00:00"/>
        <d v="1987-06-01T00:00:00"/>
        <d v="1987-07-01T00:00:00"/>
        <d v="1987-08-01T00:00:00"/>
        <d v="1987-09-01T00:00:00"/>
        <d v="1987-10-01T00:00:00"/>
        <d v="1987-11-01T00:00:00"/>
        <d v="1987-12-01T00:00:00"/>
        <d v="1988-01-01T00:00:00"/>
        <d v="1988-02-01T00:00:00"/>
        <d v="1988-03-01T00:00:00"/>
        <d v="1988-04-01T00:00:00"/>
        <d v="1988-05-01T00:00:00"/>
        <d v="1988-06-01T00:00:00"/>
        <d v="1988-07-01T00:00:00"/>
        <d v="1988-08-01T00:00:00"/>
        <d v="1988-09-01T00:00:00"/>
        <d v="1988-10-01T00:00:00"/>
        <d v="1988-11-01T00:00:00"/>
        <d v="1988-12-01T00:00:00"/>
        <d v="1989-01-01T00:00:00"/>
        <d v="1989-02-01T00:00:00"/>
        <d v="1989-03-01T00:00:00"/>
        <d v="1989-04-01T00:00:00"/>
        <d v="1989-05-01T00:00:00"/>
        <d v="1989-06-01T00:00:00"/>
        <d v="1989-07-01T00:00:00"/>
        <d v="1989-08-01T00:00:00"/>
        <d v="1989-09-01T00:00:00"/>
        <d v="1989-10-01T00:00:00"/>
        <d v="1989-11-01T00:00:00"/>
        <d v="1989-12-01T00:00:00"/>
        <d v="1990-01-01T00:00:00"/>
        <d v="1990-02-01T00:00:00"/>
        <d v="1990-03-01T00:00:00"/>
        <d v="1990-04-01T00:00:00"/>
        <d v="1990-05-01T00:00:00"/>
        <d v="1990-06-01T00:00:00"/>
        <d v="1990-07-01T00:00:00"/>
        <d v="1990-08-01T00:00:00"/>
        <d v="1990-09-01T00:00:00"/>
        <d v="1990-10-01T00:00:00"/>
        <d v="1990-11-01T00:00:00"/>
        <d v="1990-12-01T00:00:00"/>
        <d v="1991-01-01T00:00:00"/>
        <d v="1991-02-01T00:00:00"/>
        <d v="1991-03-01T00:00:00"/>
        <d v="1991-04-01T00:00:00"/>
        <d v="1991-05-01T00:00:00"/>
        <d v="1991-06-01T00:00:00"/>
        <d v="1991-07-01T00:00:00"/>
        <d v="1991-08-01T00:00:00"/>
        <d v="1991-09-01T00:00:00"/>
        <d v="1991-10-01T00:00:00"/>
        <d v="1991-11-01T00:00:00"/>
        <d v="1991-12-01T00:00:00"/>
        <d v="1992-01-01T00:00:00"/>
        <d v="1992-02-01T00:00:00"/>
        <d v="1992-03-01T00:00:00"/>
        <d v="1992-04-01T00:00:00"/>
        <d v="1992-05-01T00:00:00"/>
        <d v="1992-06-01T00:00:00"/>
        <d v="1992-07-01T00:00:00"/>
        <d v="1992-08-01T00:00:00"/>
        <d v="1992-09-01T00:00:00"/>
        <d v="1992-10-01T00:00:00"/>
        <d v="1992-11-01T00:00:00"/>
        <d v="1992-12-01T00:00:00"/>
        <d v="1993-01-01T00:00:00"/>
        <d v="1993-02-01T00:00:00"/>
        <d v="1993-03-01T00:00:00"/>
        <d v="1993-04-01T00:00:00"/>
        <d v="1993-05-01T00:00:00"/>
        <d v="1993-06-01T00:00:00"/>
        <d v="1993-07-01T00:00:00"/>
        <d v="1993-08-01T00:00:00"/>
        <d v="1993-09-01T00:00:00"/>
        <d v="1993-10-01T00:00:00"/>
        <d v="1993-11-01T00:00:00"/>
        <d v="1993-12-01T00:00:00"/>
        <d v="1994-01-01T00:00:00"/>
        <d v="1994-02-01T00:00:00"/>
        <d v="1994-03-01T00:00:00"/>
        <d v="1994-04-01T00:00:00"/>
        <d v="1994-05-01T00:00:00"/>
        <d v="1994-06-01T00:00:00"/>
        <d v="1994-07-01T00:00:00"/>
        <d v="1994-08-01T00:00:00"/>
        <d v="1994-09-01T00:00:00"/>
        <d v="1994-10-01T00:00:00"/>
        <d v="1994-11-01T00:00:00"/>
        <d v="1994-12-01T00:00:00"/>
        <d v="1995-01-01T00:00:00"/>
        <d v="1995-02-01T00:00:00"/>
        <d v="1995-03-01T00:00:00"/>
        <d v="1995-04-01T00:00:00"/>
        <d v="1995-05-01T00:00:00"/>
        <d v="1995-06-01T00:00:00"/>
        <d v="1995-07-01T00:00:00"/>
        <d v="1995-08-01T00:00:00"/>
        <d v="1995-09-01T00:00:00"/>
        <d v="1995-10-01T00:00:00"/>
        <d v="1995-11-01T00:00:00"/>
        <d v="1995-12-01T00:00:00"/>
        <d v="1996-01-01T00:00:00"/>
        <d v="1996-02-01T00:00:00"/>
        <d v="1996-03-01T00:00:00"/>
        <d v="1996-04-01T00:00:00"/>
        <d v="1996-05-01T00:00:00"/>
        <d v="1996-06-01T00:00:00"/>
        <d v="1996-07-01T00:00:00"/>
        <d v="1996-08-01T00:00:00"/>
        <d v="1996-09-01T00:00:00"/>
        <d v="1996-10-01T00:00:00"/>
        <d v="1996-11-01T00:00:00"/>
        <d v="1996-12-01T00:00:00"/>
        <d v="1997-01-01T00:00:00"/>
        <d v="1997-02-01T00:00:00"/>
        <d v="1997-03-01T00:00:00"/>
        <d v="1997-04-01T00:00:00"/>
        <d v="1997-05-01T00:00:00"/>
        <d v="1997-06-01T00:00:00"/>
        <d v="1997-07-01T00:00:00"/>
        <d v="1997-08-01T00:00:00"/>
        <d v="1997-09-01T00:00:00"/>
        <d v="1997-10-01T00:00:00"/>
        <d v="1997-11-01T00:00:00"/>
        <d v="1997-12-01T00:00:00"/>
        <d v="1998-01-01T00:00:00"/>
        <d v="1998-02-01T00:00:00"/>
        <d v="1998-03-01T00:00:00"/>
        <d v="1998-04-01T00:00:00"/>
        <d v="1998-05-01T00:00:00"/>
        <d v="1998-06-01T00:00:00"/>
        <d v="1998-07-01T00:00:00"/>
        <d v="1998-08-01T00:00:00"/>
        <d v="1998-09-01T00:00:00"/>
        <d v="1998-10-01T00:00:00"/>
        <d v="1998-11-01T00:00:00"/>
        <d v="1998-12-01T00:00:00"/>
        <d v="1999-01-01T00:00:00"/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6-12-01T00:00:00"/>
        <d v="2027-01-01T00:00:00"/>
        <d v="2027-02-01T00:00:00"/>
        <d v="2027-03-01T00:00:00"/>
        <d v="2027-04-01T00:00:00"/>
        <d v="2027-05-01T00:00:00"/>
        <d v="2027-06-01T00:00:00"/>
        <d v="2027-07-01T00:00:00"/>
        <d v="2027-08-01T00:00:00"/>
        <d v="2027-09-01T00:00:00"/>
        <d v="2027-10-01T00:00:00"/>
        <d v="2027-11-01T00:00:00"/>
        <d v="2027-12-01T00:00:00"/>
        <d v="2028-01-01T00:00:00"/>
        <d v="2028-02-01T00:00:00"/>
        <d v="2028-03-01T00:00:00"/>
        <d v="2028-04-01T00:00:00"/>
        <d v="2028-05-01T00:00:00"/>
        <d v="2028-06-01T00:00:00"/>
        <d v="2028-07-01T00:00:00"/>
        <d v="2028-08-01T00:00:00"/>
        <d v="2028-09-01T00:00:00"/>
        <d v="2028-10-01T00:00:00"/>
        <d v="2028-11-01T00:00:00"/>
        <d v="2028-12-01T00:00:00"/>
        <d v="2029-01-01T00:00:00"/>
        <d v="2029-02-01T00:00:00"/>
        <d v="2029-03-01T00:00:00"/>
        <d v="2029-04-01T00:00:00"/>
        <d v="2029-05-01T00:00:00"/>
        <d v="2029-06-01T00:00:00"/>
        <d v="2029-07-01T00:00:00"/>
        <d v="2029-08-01T00:00:00"/>
        <d v="2029-09-01T00:00:00"/>
        <d v="2029-10-01T00:00:00"/>
        <d v="2029-11-01T00:00:00"/>
        <d v="2029-12-01T00:00:00"/>
        <d v="2030-01-01T00:00:00"/>
        <d v="2030-02-01T00:00:00"/>
        <d v="2030-03-01T00:00:00"/>
        <d v="2030-04-01T00:00:00"/>
        <d v="2030-05-01T00:00:00"/>
        <d v="2030-06-01T00:00:00"/>
        <d v="2030-07-01T00:00:00"/>
        <d v="2030-08-01T00:00:00"/>
        <d v="2030-09-01T00:00:00"/>
        <d v="2030-10-01T00:00:00"/>
        <d v="2030-11-01T00:00:00"/>
        <d v="2030-12-01T00:00:00"/>
        <d v="2031-01-01T00:00:00"/>
        <d v="2031-02-01T00:00:00"/>
        <d v="2031-03-01T00:00:00"/>
        <d v="2031-04-01T00:00:00"/>
        <d v="2031-05-01T00:00:00"/>
        <d v="2031-06-01T00:00:00"/>
        <d v="2031-07-01T00:00:00"/>
        <d v="2031-08-01T00:00:00"/>
        <d v="2031-09-01T00:00:00"/>
        <d v="2031-10-01T00:00:00"/>
        <d v="2031-11-01T00:00:00"/>
        <d v="2031-12-01T00:00:00"/>
        <d v="2032-01-01T00:00:00"/>
        <d v="2032-02-01T00:00:00"/>
        <d v="2032-03-01T00:00:00"/>
        <d v="2032-04-01T00:00:00"/>
        <d v="2032-05-01T00:00:00"/>
        <d v="2032-06-01T00:00:00"/>
        <d v="2032-07-01T00:00:00"/>
        <d v="2032-08-01T00:00:00"/>
        <d v="2032-09-01T00:00:00"/>
        <d v="2032-10-01T00:00:00"/>
        <d v="2032-11-01T00:00:00"/>
        <d v="2032-12-01T00:00:00"/>
      </sharedItems>
      <fieldGroup par="17" base="0">
        <rangePr groupBy="months" startDate="1958-01-01T00:00:00" endDate="2032-12-02T00:00:00"/>
        <groupItems count="14">
          <s v="&lt;1/1/195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/2032"/>
        </groupItems>
      </fieldGroup>
    </cacheField>
    <cacheField name="Selected" numFmtId="0">
      <sharedItems containsMixedTypes="1" containsNumber="1" minValue="-3.6712680871051493" maxValue="86100" count="3682">
        <s v=""/>
        <n v="0"/>
        <n v="3.7536092396535214E-2"/>
        <n v="4.5801526717557217E-2"/>
        <n v="2.34375E-2"/>
        <n v="3.0067895247332665E-2"/>
        <n v="4.3977055449330726E-2"/>
        <n v="8.0036798528058894E-2"/>
        <n v="7.578558225508325E-2"/>
        <n v="7.3215940685820269E-2"/>
        <n v="4.2145593869731823E-2"/>
        <n v="6.1032863849765251E-2"/>
        <n v="0.14163090128755362"/>
        <n v="0.1386735572782084"/>
        <n v="0.12434325744308239"/>
        <n v="0.11504424778761058"/>
        <n v="0.11347517730496448"/>
        <n v="0.15611814345991559"/>
        <n v="0.14821124361158433"/>
        <n v="0.1296779808529156"/>
        <n v="0.16107382550335569"/>
        <n v="0.17695473251028804"/>
        <n v="0.25980754996299038"/>
        <n v="0.34080421885299927"/>
        <n v="0.34895833333333326"/>
        <n v="0.31880108991825618"/>
        <n v="0.33730947647448639"/>
        <n v="0.28774928774928776"/>
        <n v="0.25093632958801493"/>
        <n v="0.22839506172839508"/>
        <n v="0.21691464369616287"/>
        <n v="0.18032786885245899"/>
        <n v="0.18300653594771243"/>
        <n v="0.20127795527156556"/>
        <n v="0.20318725099601598"/>
        <n v="0.13269731136166518"/>
        <n v="0.21813917122752158"/>
        <n v="0.23838537699923845"/>
        <n v="0.21935987509757993"/>
        <n v="0.23780487804878048"/>
        <n v="0.23136049192928509"/>
        <n v="0.24812030075187974"/>
        <n v="0.24924924924924918"/>
        <n v="0.20571882446386025"/>
        <n v="0.20508744038155802"/>
        <n v="0.19871794871794868"/>
        <n v="0.22178988326848248"/>
        <n v="0.22720247295208662"/>
        <n v="0.22360248447204978"/>
        <n v="0.24357034795763988"/>
        <n v="0.2706053975200583"/>
        <n v="0.29378531073446323"/>
        <n v="0.32795698924731187"/>
        <n v="0.35191186001296182"/>
        <n v="0.3964996982498491"/>
        <n v="0.35107073329007132"/>
        <n v="0.3127147766323024"/>
        <n v="0.26578560939794416"/>
        <n v="0.26253687315634211"/>
        <n v="0.26199261992619927"/>
        <n v="0.25650557620817849"/>
        <n v="0.19159256265157643"/>
        <n v="0.15182357930449542"/>
        <n v="0.11032028469750899"/>
        <n v="9.9099099099099086E-2"/>
        <n v="0.11894273127753308"/>
        <n v="0.12126537785588754"/>
        <n v="0.10634495084897233"/>
        <n v="0.14529914529914534"/>
        <n v="0.18699186991869921"/>
        <n v="0.17012448132780078"/>
        <n v="0.1460290350128095"/>
        <n v="0.14015477214101457"/>
        <n v="0.14965986394557818"/>
        <n v="0.17830731306491376"/>
        <n v="0.180999180999181"/>
        <n v="0.15325994919559693"/>
        <n v="0.14089347079037806"/>
        <n v="0.15540540540540548"/>
        <n v="0.15895710681244746"/>
        <n v="0.16247906197654949"/>
        <n v="0.14893617021276595"/>
        <n v="0.13718723037100955"/>
        <n v="0.14675767918088745"/>
        <n v="0.12357581069237511"/>
        <n v="0.11190053285968027"/>
        <n v="9.0909090909090939E-2"/>
        <n v="8.5923217550274322E-2"/>
        <n v="4.8525214081826751E-2"/>
        <n v="1.2833168805528095E-2"/>
        <n v="4.122722914669219E-2"/>
        <n v="5.7492931196983954E-2"/>
        <n v="6.629318394024275E-2"/>
        <n v="5.1233396584440261E-2"/>
        <n v="6.367041198501866E-2"/>
        <n v="0.10233393177737882"/>
        <n v="0.10952804986642917"/>
        <n v="0.10554561717352418"/>
        <n v="0.13644214162348878"/>
        <n v="0.14748508098891733"/>
        <n v="0.13494809688581311"/>
        <n v="0.11660777385159016"/>
        <n v="0.12049252418645562"/>
        <n v="0.13941480206540446"/>
        <n v="0.14383561643835618"/>
        <n v="0.16943521594684385"/>
        <n v="0.20886075949367089"/>
        <n v="0.24981245311327838"/>
        <n v="0.23195084485407058"/>
        <n v="0.20760697305863707"/>
        <n v="0.19419822723609992"/>
        <n v="0.16177703269069565"/>
        <n v="0.15966386554621848"/>
        <n v="0.15682967959527816"/>
        <n v="0.12891986062717764"/>
        <n v="0.11971830985915488"/>
        <n v="8.5086916742909358E-2"/>
        <n v="6.0150375939849621E-2"/>
        <n v="8.256880733944949E-2"/>
        <n v="8.3409715857011846E-2"/>
        <n v="6.9767441860465129E-2"/>
        <n v="7.2356215213357999E-2"/>
        <n v="4.4890162368672382E-2"/>
        <n v="4.3062200956937802E-2"/>
        <n v="4.0307101727447225E-2"/>
        <n v="8.4249084249084283E-2"/>
        <n v="9.9909990999099918E-2"/>
        <n v="0.10394265232974909"/>
        <n v="0.1142604074402126"/>
        <n v="0.1266375545851528"/>
        <n v="0.17491749174917492"/>
        <n v="0.14236706689536871"/>
        <n v="0.15038232795242146"/>
        <n v="0.13419913419913421"/>
        <n v="0.15254237288135597"/>
        <n v="0.1961414790996785"/>
        <n v="0.14310197086546705"/>
        <n v="0.13194444444444442"/>
        <n v="0.13793103448275867"/>
        <n v="0.23430321592649306"/>
        <n v="0.15469146238377007"/>
        <n v="0.13344887348353562"/>
        <n v="0.1228070175438597"/>
        <n v="9.2558983666061745E-2"/>
        <n v="7.7490774907749138E-2"/>
        <n v="0.10071942446043169"/>
        <n v="0.21568627450980393"/>
        <n v="0.26470588235294112"/>
        <n v="0.19093851132686079"/>
        <n v="0.20634920634920639"/>
        <n v="0.28005759539236863"/>
        <n v="0.2548435171385991"/>
        <n v="0.294353416035113"/>
        <n v="0.31356868774926039"/>
        <n v="0.32961942494754282"/>
        <n v="0.38905554096077133"/>
        <n v="0.44755959450874228"/>
        <n v="0.43966290120136275"/>
        <n v="0.42803214459347383"/>
        <n v="0.41683141179283523"/>
        <n v="0.37207622994568457"/>
        <n v="0.39496977874044814"/>
        <n v="0.45823536422836464"/>
        <n v="0.50830231540439685"/>
        <n v="0.46296037721663097"/>
        <n v="0.48067055817528415"/>
        <n v="0.49047441926821933"/>
        <n v="0.46995717253954117"/>
        <n v="0.4578594121027465"/>
        <n v="0.47000773788702677"/>
        <n v="0.50593129480585575"/>
        <n v="0.4697098252163584"/>
        <n v="0.83396946564885499" u="1"/>
        <n v="-2.3794600717387198" u="1"/>
        <n v="160.4" u="1"/>
        <n v="0.64919354838709675" u="1"/>
        <n v="0.88917197452229302" u="1"/>
        <n v="107.6564" u="1"/>
        <n v="36100" u="1"/>
        <n v="-2.3397543831827572" u="1"/>
        <n v="-2.0102814708187169" u="1"/>
        <n v="-0.71037350464139815" u="1"/>
        <n v="91.1" u="1"/>
        <n v="-0.74035457500533486" u="1"/>
        <n v="0.8390379278445883" u="1"/>
        <n v="-1.7423891462607544" u="1"/>
        <n v="107.42570000000001" u="1"/>
        <n v="307.89999999999998" u="1"/>
        <n v="111.7" u="1"/>
        <n v="94" u="1"/>
        <n v="-3.5138888888888884" u="1"/>
        <n v="-2.0256319245493497" u="1"/>
        <n v="76.3" u="1"/>
        <n v="-2.7727180282642991" u="1"/>
        <n v="0.73032528856243439" u="1"/>
        <n v="61.3" u="1"/>
        <n v="20000" u="1"/>
        <n v="9.8445595854922407E-2" u="1"/>
        <n v="123.88" u="1"/>
        <n v="197.8" u="1"/>
        <n v="79.2" u="1"/>
        <n v="-2.4306411970160839" u="1"/>
        <n v="121.8929" u="1"/>
        <n v="200.7" u="1"/>
        <n v="0.8363123236124177" u="1"/>
        <n v="0.88735481043173348" u="1"/>
        <n v="-0.48944012660365876" u="1"/>
        <n v="168.2" u="1"/>
        <n v="0.8462897526501767" u="1"/>
        <n v="0.67814652473387604" u="1"/>
        <n v="99.21" u="1"/>
        <n v="103.4843" u="1"/>
        <n v="135.69999999999999" u="1"/>
        <n v="233.3262" u="1"/>
        <n v="0.89765033851055354" u="1"/>
        <n v="163.72900000000001" u="1"/>
        <n v="115.6" u="1"/>
        <n v="0.71973827699018544" u="1"/>
        <n v="438.4" u="1"/>
        <n v="0.81856100104275287" u="1"/>
        <n v="102.3395" u="1"/>
        <n v="0.90088700347088313" u="1"/>
        <n v="0.91122448979591841" u="1"/>
        <n v="118.5" u="1"/>
        <n v="0.86157517899761338" u="1"/>
        <n v="105.788" u="1"/>
        <n v="108.8481" u="1"/>
        <n v="137.83099999999999" u="1"/>
        <n v="-0.50588840980758087" u="1"/>
        <n v="270.10000000000002" u="1"/>
        <n v="-2.189669611452234" u="1"/>
        <n v="275.89999999999998" u="1"/>
        <n v="278.96640000000002" u="1"/>
        <n v="0.68252007411982707" u="1"/>
        <n v="103.78830000000001" u="1"/>
        <n v="214.3" u="1"/>
        <n v="-0.18438446544900211" u="1"/>
        <n v="57.3" u="1"/>
        <n v="76.795699999999997" u="1"/>
        <n v="527.17999999999995" u="1"/>
        <n v="-2.2680400796334883" u="1"/>
        <n v="-2.0516015751521453" u="1"/>
        <n v="0.67365079365079361" u="1"/>
        <n v="19.3" u="1"/>
        <n v="-2.9618400944591561" u="1"/>
        <n v="-1.3285041043784585E-3" u="1"/>
        <n v="0.60643185298621738" u="1"/>
        <n v="0.90444810543657328" u="1"/>
        <n v="184.7" u="1"/>
        <n v="-2.1881869134909762" u="1"/>
        <n v="250.27500000000001" u="1"/>
        <n v="-0.2015053551256778" u="1"/>
        <n v="49.9" u="1"/>
        <n v="149.30000000000001" u="1"/>
        <n v="-1.3294080445972138" u="1"/>
        <n v="0.90113636363636362" u="1"/>
        <n v="187.6" u="1"/>
        <n v="17700" u="1"/>
        <n v="152.19999999999999" u="1"/>
        <n v="122.4" u="1"/>
        <n v="44800" u="1"/>
        <n v="-1.8447790890223086" u="1"/>
        <n v="-1.0010010010008674E-3" u="1"/>
        <n v="0.5503875968992249" u="1"/>
        <n v="0.81107491856677527" u="1"/>
        <n v="0.84992700729927007" u="1"/>
        <n v="0.91449631449631452" u="1"/>
        <n v="6.4088930502032918E-2" u="1"/>
        <n v="193.4" u="1"/>
        <n v="-2.3843158014141488" u="1"/>
        <n v="-3.0927835051546282E-2" u="1"/>
        <n v="82.465900000000005" u="1"/>
        <n v="-2.4115272687771214" u="1"/>
        <n v="0.91787184231393726" u="1"/>
        <n v="158" u="1"/>
        <n v="0.60093167701863359" u="1"/>
        <n v="0.83090379008746362" u="1"/>
        <n v="107.6" u="1"/>
        <n v="107.8181" u="1"/>
        <n v="160.9" u="1"/>
        <n v="0.81310418904403869" u="1"/>
        <n v="-0.31811571525873017" u="1"/>
        <n v="102.45820000000001" u="1"/>
        <n v="450.5" u="1"/>
        <n v="0.89492753623188404" u="1"/>
        <n v="110.5" u="1"/>
        <n v="456.3" u="1"/>
        <n v="0.47764227642276424" u="1"/>
        <n v="108.9605" u="1"/>
        <n v="-0.35280303645751654" u="1"/>
        <n v="302.53649999999999" u="1"/>
        <n v="0.89454545454545453" u="1"/>
        <n v="95.7" u="1"/>
        <n v="47700" u="1"/>
        <n v="-2.2520251354783389" u="1"/>
        <n v="-1.9798348031920736" u="1"/>
        <n v="-0.24378109452736307" u="1"/>
        <n v="21" u="1"/>
        <n v="78" u="1"/>
        <n v="-0.28589623037950496" u="1"/>
        <n v="105.20950000000001" u="1"/>
        <n v="0.842620943049602" u="1"/>
        <n v="165.8" u="1"/>
        <n v="63.6" u="1"/>
        <n v="102.5264" u="1"/>
        <n v="204.1" u="1"/>
        <n v="228.934" u="1"/>
        <n v="278.26249999999999" u="1"/>
        <n v="-2.4502963426974413" u="1"/>
        <n v="0.54713656387665199" u="1"/>
        <n v="127.73739999999999" u="1"/>
        <n v="133.30000000000001" u="1"/>
        <n v="-1.4986687306285473" u="1"/>
        <n v="0.92120141776126174" u="1"/>
        <n v="136.19999999999999" u="1"/>
        <n v="209.9" u="1"/>
        <n v="-1.9823045929090086" u="1"/>
        <n v="0.89527302363488181" u="1"/>
        <n v="114.4" u="1"/>
        <n v="0.91021671826625394" u="1"/>
        <n v="98.444999999999993" u="1"/>
        <n v="-3.6269430051813378E-2" u="1"/>
        <n v="299.36450000000002" u="1"/>
        <n v="38.5" u="1"/>
        <n v="100.75620000000001" u="1"/>
        <n v="-0.51625585345824643" u="1"/>
        <n v="111.239" u="1"/>
        <n v="120.2895" u="1"/>
        <n v="-0.53130881094952942" u="1"/>
        <n v="0.13858202547888537" u="1"/>
        <n v="117.3" u="1"/>
        <n v="368.6" u="1"/>
        <n v="0.88318181818181818" u="1"/>
        <n v="299.10860000000002" u="1"/>
        <n v="-0.15874855156431056" u="1"/>
        <n v="-2.4195169008299984" u="1"/>
        <n v="81.900000000000006" u="1"/>
        <n v="40200" u="1"/>
        <n v="-1.6167915542288793" u="1"/>
        <n v="0.81330472103004292" u="1"/>
        <n v="106.87520000000001" u="1"/>
        <n v="0.89535830618892509" u="1"/>
        <n v="-2.4919786513522371" u="1"/>
        <n v="85.112700000000004" u="1"/>
        <n v="245.154" u="1"/>
        <n v="121.04859999999999" u="1"/>
        <n v="0.60544217687074831" u="1"/>
        <n v="315.2" u="1"/>
        <n v="0.88554887552883543" u="1"/>
        <n v="0.91951896392229415" u="1"/>
        <n v="63900" u="1"/>
        <n v="0.74635568513119532" u="1"/>
        <n v="132.86269999999999" u="1"/>
        <n v="-1.9891719537823018" u="1"/>
        <n v="0.81931464174454827" u="1"/>
        <n v="19" u="1"/>
        <n v="-2.3690133953146977" u="1"/>
        <n v="53500" u="1"/>
        <n v="0.91815616180620885" u="1"/>
        <n v="185.2" u="1"/>
        <n v="14600" u="1"/>
        <n v="-1.8110315045637453" u="1"/>
        <n v="-2.0366644020183355" u="1"/>
        <n v="-9.0512540894220228E-2" u="1"/>
        <n v="0.72424722662440577" u="1"/>
        <n v="59.6" u="1"/>
        <n v="188.1" u="1"/>
        <n v="0.8929889298892989" u="1"/>
        <n v="-3.3849743407596113" u="1"/>
        <n v="0.84519572953736655" u="1"/>
        <n v="155.6" u="1"/>
        <n v="-0.28338036408685752" u="1"/>
        <n v="94.897099999999995" u="1"/>
        <n v="124.1" u="1"/>
        <n v="-0.94967080721664643" u="1"/>
        <n v="0.89493049877350772" u="1"/>
        <n v="434.1" u="1"/>
        <n v="-2.1761380673481083" u="1"/>
        <n v="0.3952941176470588" u="1"/>
        <n v="0.84790209790209792" u="1"/>
        <n v="106.4" u="1"/>
        <n v="-0.19662730383845228" u="1"/>
        <n v="112.2958" u="1"/>
        <n v="121.63500000000001" u="1"/>
        <n v="0.890381744508424" u="1"/>
        <n v="161.4" u="1"/>
        <n v="-0.53834254998259778" u="1"/>
        <n v="-0.27226463104325704" u="1"/>
        <n v="369.1" u="1"/>
        <n v="127" u="1"/>
        <n v="24.4" u="1"/>
        <n v="109.3" u="1"/>
        <n v="91.6" u="1"/>
        <n v="0.93080905685586812" u="1"/>
        <n v="73.900000000000006" u="1"/>
        <n v="214.68049999999999" u="1"/>
        <n v="457.3" u="1"/>
        <n v="89.058099999999996" u="1"/>
        <n v="112.2" u="1"/>
        <n v="0.54432624113475181" u="1"/>
        <n v="-1.9059593188422266" u="1"/>
        <n v="-0.20087101889890979" u="1"/>
        <n v="0.88514851485148516" u="1"/>
        <n v="20.7" u="1"/>
        <n v="94.5" u="1"/>
        <n v="76.8" u="1"/>
        <n v="-2.0146513977770288" u="1"/>
        <n v="0.65892501658925018" u="1"/>
        <n v="122.4055" u="1"/>
        <n v="-0.3550135501355014" u="1"/>
        <n v="0.88499669530733649" u="1"/>
        <n v="0.83333333333333337" u="1"/>
        <n v="52.7" u="1"/>
        <n v="198.8" u="1"/>
        <n v="0.58380566801619427" u="1"/>
        <n v="0.86579634464751964" u="1"/>
        <n v="266.33479999999997" u="1"/>
        <n v="126.23099999999999" u="1"/>
        <n v="287.9486" u="1"/>
        <n v="-0.4038293383941558" u="1"/>
        <n v="166.3" u="1"/>
        <n v="-2.1120402282614839" u="1"/>
        <n v="293.46620000000001" u="1"/>
        <n v="0.76769025367156218" u="1"/>
        <n v="55.6" u="1"/>
        <n v="-2.2103370665614546" u="1"/>
        <n v="-2.0376589272911616" u="1"/>
        <n v="-2.2832467478873304" u="1"/>
        <n v="0.12562814070351758" u="1"/>
        <n v="121.45359999999999" u="1"/>
        <n v="300.51830000000001" u="1"/>
        <n v="0.6117824773413898" u="1"/>
        <n v="116.1" u="1"/>
        <n v="117.3205" u="1"/>
        <n v="26.1" u="1"/>
        <n v="98.4" u="1"/>
        <n v="478.7" u="1"/>
        <n v="31600" u="1"/>
        <n v="446.2" u="1"/>
        <n v="1.6715830875122961E-2" u="1"/>
        <n v="484.5" u="1"/>
        <n v="-2.5607759670994721" u="1"/>
        <n v="0.22519660636113581" u="1"/>
        <n v="0.88590455049944505" u="1"/>
        <n v="119" u="1"/>
        <n v="0.84253393665158371" u="1"/>
        <n v="101.3" u="1"/>
        <n v="490.3" u="1"/>
        <n v="8.4824246302878752" u="1"/>
        <n v="-2.2319274933198527" u="1"/>
        <n v="233.59630000000001" u="1"/>
        <n v="300.41140000000001" u="1"/>
        <n v="104.2" u="1"/>
        <n v="116.2337" u="1"/>
        <n v="-3.5356420742182157" u="1"/>
        <n v="18.7" u="1"/>
        <n v="86.5" u="1"/>
        <n v="0.11268855368234254" u="1"/>
        <n v="0.66072607260726079" u="1"/>
        <n v="0.52972972972972976" u="1"/>
        <n v="0.887280701754386" u="1"/>
        <n v="110.343" u="1"/>
        <n v="9.3381686310063494E-2" u="1"/>
        <n v="0.74260355029585801" u="1"/>
        <n v="0.90640129101667566" u="1"/>
        <n v="71.7" u="1"/>
        <n v="150.30000000000001" u="1"/>
        <n v="41.3" u="1"/>
        <n v="5.4347826086956541E-2" u="1"/>
        <n v="0.87831439393939392" u="1"/>
        <n v="122.9" u="1"/>
        <n v="156.1" u="1"/>
        <n v="-5.4852320675105481E-2" u="1"/>
        <n v="33.9" u="1"/>
        <n v="0.82600000000000007" u="1"/>
        <n v="125.8" u="1"/>
        <n v="107.027" u="1"/>
        <n v="108.1" u="1"/>
        <n v="161.9" u="1"/>
        <n v="299.68450000000001" u="1"/>
        <n v="-2.1649155995986615" u="1"/>
        <n v="0.73708439897698208" u="1"/>
        <n v="24.1" u="1"/>
        <n v="408.4" u="1"/>
        <n v="90.4" u="1"/>
        <n v="-0.885114482715045" u="1"/>
        <n v="0.53059360730593608" u="1"/>
        <n v="112.9165" u="1"/>
        <n v="357.40429999999998" u="1"/>
        <n v="129.4" u="1"/>
        <n v="0.88480502017032725" u="1"/>
        <n v="452.5" u="1"/>
        <n v="490.8" u="1"/>
        <n v="-2.0801738222219543" u="1"/>
        <n v="0.89262586170879465" u="1"/>
        <n v="111" u="1"/>
        <n v="93.3" u="1"/>
        <n v="0.55109170305676858" u="1"/>
        <n v="12300" u="1"/>
        <n v="0.8382630585273757" u="1"/>
        <n v="153.69569999999999" u="1"/>
        <n v="0.87975120939875606" u="1"/>
        <n v="0.9031180400890868" u="1"/>
        <n v="294.70170000000002" u="1"/>
        <n v="96.2" u="1"/>
        <n v="114.82550000000001" u="1"/>
        <n v="0.83538315988647116" u="1"/>
        <n v="62.4" u="1"/>
        <n v="208.79179999999999" u="1"/>
        <n v="-2.6516258006609275" u="1"/>
        <n v="-2.2888747624196313" u="1"/>
        <n v="166.8" u="1"/>
        <n v="-0.64291456954371751" u="1"/>
        <n v="169.7" u="1"/>
        <n v="18900" u="1"/>
        <n v="0.83349282296650717" u="1"/>
        <n v="-2.6401533252671499" u="1"/>
        <n v="-2.2590914925167973" u="1"/>
        <n v="0.79649122807017547" u="1"/>
        <n v="0.92082415682277352" u="1"/>
        <n v="0.90981570119169608" u="1"/>
        <n v="47200" u="1"/>
        <n v="0.75423728813559321" u="1"/>
        <n v="137.19999999999999" u="1"/>
        <n v="114.9" u="1"/>
        <n v="0.63135593220338992" u="1"/>
        <n v="178.4" u="1"/>
        <n v="241.94130000000001" u="1"/>
        <n v="-3.2960200437737592" u="1"/>
        <n v="77.5595" u="1"/>
        <n v="0.82117163412127447" u="1"/>
        <n v="22.1" u="1"/>
        <n v="357.54500000000002" u="1"/>
        <n v="299.1909" u="1"/>
        <n v="0.84710017574692442" u="1"/>
        <n v="-1.4021644182526938E-3" u="1"/>
        <n v="120.7" u="1"/>
        <n v="0.62660944206008584" u="1"/>
        <n v="420.5" u="1"/>
        <n v="103" u="1"/>
        <n v="-0.29366106080207" u="1"/>
        <n v="18.399999999999999" u="1"/>
        <n v="85.3" u="1"/>
        <n v="67.599999999999994" u="1"/>
        <n v="0.89776733254994123" u="1"/>
        <n v="0.51691729323308278" u="1"/>
        <n v="0.77544779379641771" u="1"/>
        <n v="0.8974661166764879" u="1"/>
        <n v="218.7" u="1"/>
        <n v="70.5" u="1"/>
        <n v="299.084" u="1"/>
        <n v="0.86074234624762935" u="1"/>
        <n v="-1.6622447120586252" u="1"/>
        <n v="-0.34860308722450761" u="1"/>
        <n v="0.70828603859250849" u="1"/>
        <n v="-3.6619797723049601" u="1"/>
        <n v="186.2" u="1"/>
        <n v="-1.7016785679710988E-3" u="1"/>
        <n v="0.91113381001021454" u="1"/>
        <n v="40.700000000000003" u="1"/>
        <n v="150.80000000000001" u="1"/>
        <n v="27000" u="1"/>
        <n v="0.84281842818428188" u="1"/>
        <n v="9.6657633242999141E-2" u="1"/>
        <n v="0.91955617198335649" u="1"/>
        <n v="51" u="1"/>
        <n v="78.47" u="1"/>
        <n v="105.745" u="1"/>
        <n v="111.95350000000001" u="1"/>
        <n v="192" u="1"/>
        <n v="271.61500000000001" u="1"/>
        <n v="21800" u="1"/>
        <n v="124.6" u="1"/>
        <n v="194.9" u="1"/>
        <n v="-0.11111111111111116" u="1"/>
        <n v="99.766000000000005" u="1"/>
        <n v="100.839" u="1"/>
        <n v="474.4" u="1"/>
        <n v="3.1679326965017428E-2" u="1"/>
        <n v="106.9" u="1"/>
        <n v="0.84491978609625673" u="1"/>
        <n v="-6.0445387062566303E-2" u="1"/>
        <n v="480.2" u="1"/>
        <n v="127.5" u="1"/>
        <n v="0.25321888412017179" u="1"/>
        <n v="109.8" u="1"/>
        <n v="0.8632075471698113" u="1"/>
        <n v="0.87962529274004686" u="1"/>
        <n v="92.1" u="1"/>
        <n v="107.1938" u="1"/>
        <n v="9.8547264346742249" u="1"/>
        <n v="74.400000000000006" u="1"/>
        <n v="110.0295" u="1"/>
        <n v="117.91240000000001" u="1"/>
        <n v="0.58414239482200647" u="1"/>
        <n v="0.91872956562354036" u="1"/>
        <n v="-1.8554406265029106" u="1"/>
        <n v="112.7" u="1"/>
        <n v="-2.1186411149825783" u="1"/>
        <n v="0.69366197183098599" u="1"/>
        <n v="95" u="1"/>
        <n v="77.3" u="1"/>
        <n v="120.7595" u="1"/>
        <n v="128.8486" u="1"/>
        <n v="394.3" u="1"/>
        <n v="0.70927601809954754" u="1"/>
        <n v="218.41409999999999" u="1"/>
        <n v="0.83584905660377362" u="1"/>
        <n v="84.357100000000003" u="1"/>
        <n v="-0.35568498215934929" u="1"/>
        <n v="199.8" u="1"/>
        <n v="-0.20627261761158011" u="1"/>
        <n v="-2.1003710711703243" u="1"/>
        <n v="0.6875379939209727" u="1"/>
        <n v="167.3" u="1"/>
        <n v="241" u="1"/>
        <n v="110.776" u="1"/>
        <n v="86100" u="1"/>
        <n v="0.89112476170302901" u="1"/>
        <n v="170.2" u="1"/>
        <n v="357.50319999999999" u="1"/>
        <n v="0.48028311425682513" u="1"/>
        <n v="143.2843" u="1"/>
        <n v="-0.565945817802322" u="1"/>
        <n v="12600" u="1"/>
        <n v="-0.34252096353121786" u="1"/>
        <n v="0.69580419580419584" u="1"/>
        <n v="241.22829999999999" u="1"/>
        <n v="110.09139999999999" u="1"/>
        <n v="0.89434737923946561" u="1"/>
        <n v="176" u="1"/>
        <n v="-3.3377014858826604" u="1"/>
        <n v="140.6" u="1"/>
        <n v="240.37219999999999" u="1"/>
        <n v="474.9" u="1"/>
        <n v="-2.1410498240934892" u="1"/>
        <n v="0.84124087591240881" u="1"/>
        <n v="116.6" u="1"/>
        <n v="178.9" u="1"/>
        <n v="199.69550000000001" u="1"/>
        <n v="-0.35317997293640047" u="1"/>
        <n v="197.755" u="1"/>
        <n v="-1.8496223665348857" u="1"/>
        <n v="0.65572672471533822" u="1"/>
        <n v="0.68094351334574799" u="1"/>
        <n v="98.9" u="1"/>
        <n v="480.7" u="1"/>
        <n v="0.70993227990970653" u="1"/>
        <n v="304.37950000000001" u="1"/>
        <n v="0.88495971351835268" u="1"/>
        <n v="0.87860179499291446" u="1"/>
        <n v="188.70959999999999" u="1"/>
        <n v="486.5" u="1"/>
        <n v="-1.2880727131894911" u="1"/>
        <n v="0.73913043478260865" u="1"/>
        <n v="0.88557435440783616" u="1"/>
        <n v="241.13640000000001" u="1"/>
        <n v="-0.19134175855513624" u="1"/>
        <n v="84.1" u="1"/>
        <n v="-2.4504160506700949" u="1"/>
        <n v="0.86790028270367514" u="1"/>
        <n v="0.87767729652546411" u="1"/>
        <n v="18.100000000000001" u="1"/>
        <n v="-1.3241396457248285" u="1"/>
        <n v="0.81370061616527722" u="1"/>
        <n v="0.85279187817258884" u="1"/>
        <n v="104.7" u="1"/>
        <n v="149.16900000000001" u="1"/>
        <n v="111.1443" u="1"/>
        <n v="119.19240000000001" u="1"/>
        <n v="356.5" u="1"/>
        <n v="-1.6536747636286009" u="1"/>
        <n v="-0.5328449339950172" u="1"/>
        <n v="216.3" u="1"/>
        <n v="101.94" u="1"/>
        <n v="2.2813688212927841E-2" u="1"/>
        <n v="188.68199999999999" u="1"/>
        <n v="-2.1734016433402172" u="1"/>
        <n v="-1.4767986053220521" u="1"/>
        <n v="-0.50268011951935376" u="1"/>
        <n v="0.84505788067675869" u="1"/>
        <n v="100.1824" u="1"/>
        <n v="-0.25944584382871527" u="1"/>
        <n v="1.1363636363636576E-2" u="1"/>
        <n v="0.54066130473637175" u="1"/>
        <n v="0.91788579518640867" u="1"/>
        <n v="50.4" u="1"/>
        <n v="110.0638" u="1"/>
        <n v="151.30000000000001" u="1"/>
        <n v="237.8886" u="1"/>
        <n v="143.5343" u="1"/>
        <n v="-0.17126312690156031" u="1"/>
        <n v="-1.9371686127740007" u="1"/>
        <n v="0.88237986270022883" u="1"/>
        <n v="0.85512073272273104" u="1"/>
        <n v="123.4" u="1"/>
        <n v="0.89441747572815533" u="1"/>
        <n v="0.90141643059490084" u="1"/>
        <n v="143.291" u="1"/>
        <n v="195.4" u="1"/>
        <n v="-2.3291798400595125" u="1"/>
        <n v="0.87958477508650523" u="1"/>
        <n v="43" u="1"/>
        <n v="-3.4131514427610483" u="1"/>
        <n v="160" u="1"/>
        <n v="442.9" u="1"/>
        <n v="-0.46452628698284748" u="1"/>
        <n v="0.90745625327459023" u="1"/>
        <n v="108.6" u="1"/>
        <n v="481.2" u="1"/>
        <n v="40900" u="1"/>
        <n v="106.59520000000001" u="1"/>
        <n v="0.65915119363395225" u="1"/>
        <n v="91.972999999999999" u="1"/>
        <n v="0.85582047685834506" u="1"/>
        <n v="0.89536981358989776" u="1"/>
        <n v="113.965" u="1"/>
        <n v="-0.18063754427390788" u="1"/>
        <n v="112.196" u="1"/>
        <n v="113.1215" u="1"/>
        <n v="454.5" u="1"/>
        <n v="27600" u="1"/>
        <n v="111.5" u="1"/>
        <n v="0.89185829707893105" u="1"/>
        <n v="0.90760912548622041" u="1"/>
        <n v="93.8" u="1"/>
        <n v="76.099999999999994" u="1"/>
        <n v="64600" u="1"/>
        <n v="-2.5056934961268169" u="1"/>
        <n v="-0.45858660261194628" u="1"/>
        <n v="427.8" u="1"/>
        <n v="0.10309278350515461" u="1"/>
        <n v="-1.731705083892233" u="1"/>
        <n v="96.7" u="1"/>
        <n v="0.88627450980392153" u="1"/>
        <n v="54200" u="1"/>
        <n v="-2.2765700803630016" u="1"/>
        <n v="97.855000000000004" u="1"/>
        <n v="-1.0447559508783391" u="1"/>
        <n v="0.91058581706063724" u="1"/>
        <n v="-1.9569368506252167" u="1"/>
        <n v="167.8" u="1"/>
        <n v="-0.47782824219673903" u="1"/>
        <n v="0.53475935828877008" u="1"/>
        <n v="206.1" u="1"/>
        <n v="0.72804232804232805" u="1"/>
        <n v="0.88508830762351887" u="1"/>
        <n v="7.5539568345323826E-2" u="1"/>
        <n v="7.7199281867145531E-2" u="1"/>
        <n v="211.9" u="1"/>
        <n v="251.84549999999999" u="1"/>
        <n v="-2.3205927390670023" u="1"/>
        <n v="118.69589999999999" u="1"/>
        <n v="470.1" u="1"/>
        <n v="115.4" u="1"/>
        <n v="176.5" u="1"/>
        <n v="-3.341430821709336" u="1"/>
        <n v="141.1" u="1"/>
        <n v="0.87414299706170417" u="1"/>
        <n v="-2.3255864501998027" u="1"/>
        <n v="-2.2499704977260553" u="1"/>
        <n v="-0.29032258064516125" u="1"/>
        <n v="144" u="1"/>
        <n v="110.871" u="1"/>
        <n v="118.3" u="1"/>
        <n v="210.08199999999999" u="1"/>
        <n v="0.66050198150594452" u="1"/>
        <n v="0.8318840579710145" u="1"/>
        <n v="221.40199999999999" u="1"/>
        <n v="449.2" u="1"/>
        <n v="0.89012398460880715" u="1"/>
        <n v="82.9" u="1"/>
        <n v="-5.9164963123592873E-2" u="1"/>
        <n v="105.965" u="1"/>
        <n v="245.45679999999999" u="1"/>
        <n v="307.60000000000002" u="1"/>
        <n v="455" u="1"/>
        <n v="0.86352941176470588" u="1"/>
        <n v="10.215999456893478" u="1"/>
        <n v="121.2" u="1"/>
        <n v="-0.46308212499581125" u="1"/>
        <n v="103.5" u="1"/>
        <n v="222.61500000000001" u="1"/>
        <n v="85.8" u="1"/>
        <n v="-2.0581833867916064" u="1"/>
        <n v="-1.948734421174354" u="1"/>
        <n v="-0.23008777800835856" u="1"/>
        <n v="0.88484447385837195" u="1"/>
        <n v="165.28100000000001" u="1"/>
        <n v="192.55600000000001" u="1"/>
        <n v="252.2" u="1"/>
        <n v="-1.9038733722387371" u="1"/>
        <n v="-1.8926000436289598" u="1"/>
        <n v="-4.4932079414838011E-2" u="1"/>
        <n v="57.2" u="1"/>
        <n v="-1.3171225937183451E-2" u="1"/>
        <n v="0.27800829875518684" u="1"/>
        <n v="0.83073929961089499" u="1"/>
        <n v="88.7" u="1"/>
        <n v="25300" u="1"/>
        <n v="0.70845150311968241" u="1"/>
        <n v="0.88660930950805206" u="1"/>
        <n v="0.88680907289143363" u="1"/>
        <n v="301.16090000000003" u="1"/>
        <n v="-0.21485556411788576" u="1"/>
        <n v="-2.1910228528646298" u="1"/>
        <n v="60000" u="1"/>
        <n v="0.88219363574813814" u="1"/>
        <n v="0.11111111111111116" u="1"/>
        <n v="-2.5364086516664148" u="1"/>
        <n v="0.19182389937106925" u="1"/>
        <n v="151.80000000000001" u="1"/>
        <n v="-3.3043097198627986" u="1"/>
        <n v="-0.18948066122127583" u="1"/>
        <n v="0.20547945205479456" u="1"/>
        <n v="0.77749360613810747" u="1"/>
        <n v="0.84095063985374774" u="1"/>
        <n v="0.84908933217692972" u="1"/>
        <n v="-3.9090768378694504E-2" u="1"/>
        <n v="-2.2446099888529401" u="1"/>
        <n v="0.81229773462783172" u="1"/>
        <n v="99.965900000000005" u="1"/>
        <n v="153.60300000000001" u="1"/>
        <n v="113.8329" u="1"/>
        <n v="157.6" u="1"/>
        <n v="195.9" u="1"/>
        <n v="476.4" u="1"/>
        <n v="107.4" u="1"/>
        <n v="160.5" u="1"/>
        <n v="-2.2255071105845681" u="1"/>
        <n v="0.89384551838083437" u="1"/>
        <n v="111.0729" u="1"/>
        <n v="-3.406269845567639" u="1"/>
        <n v="-2.0544002661786722" u="1"/>
        <n v="128" u="1"/>
        <n v="0.83692596063730085" u="1"/>
        <n v="76.963999999999999" u="1"/>
        <n v="110.3" u="1"/>
        <n v="92.6" u="1"/>
        <n v="-2.6087087995161777" u="1"/>
        <n v="-2.2417602318000722" u="1"/>
        <n v="0.88685890380805632" u="1"/>
        <n v="74.900000000000006" u="1"/>
        <n v="-1.9763196288952898" u="1"/>
        <n v="461.3" u="1"/>
        <n v="107.54" u="1"/>
        <n v="113.2" u="1"/>
        <n v="119.3379" u="1"/>
        <n v="-1.782239733292923" u="1"/>
        <n v="0.8839467148340483" u="1"/>
        <n v="0.89208482049128701" u="1"/>
        <n v="428.8" u="1"/>
        <n v="-3.0964792841859552" u="1"/>
        <n v="95.5" u="1"/>
        <n v="301.78820000000002" u="1"/>
        <n v="358" u="1"/>
        <n v="110.44" u="1"/>
        <n v="112.209" u="1"/>
        <n v="0.86256684491978608" u="1"/>
        <n v="123.3109" u="1"/>
        <n v="2.1526418786692814E-2" u="1"/>
        <n v="6.1913696060037493E-2" u="1"/>
        <n v="83.689499999999995" u="1"/>
        <n v="0.85216652506372137" u="1"/>
        <n v="-0.53264413862719562" u="1"/>
        <n v="0.85607940446650121" u="1"/>
        <n v="80.7" u="1"/>
        <n v="122.77379999999999" u="1"/>
        <n v="103.765" u="1"/>
        <n v="125.8516" u="1"/>
        <n v="-0.18417762465915444" u="1"/>
        <n v="115.04349999999999" u="1"/>
        <n v="0.83306268268918482" u="1"/>
        <n v="0.86315228966986157" u="1"/>
        <n v="209.5" u="1"/>
        <n v="-0.43875582703745364" u="1"/>
        <n v="171.95400000000001" u="1"/>
        <n v="0.65200000000000002" u="1"/>
        <n v="79.242500000000007" u="1"/>
        <n v="471.1" u="1"/>
        <n v="-1.9647356936721332" u="1"/>
        <n v="38.4" u="1"/>
        <n v="0.16150081566068519" u="1"/>
        <n v="0.89035916824196604" u="1"/>
        <n v="141.6" u="1"/>
        <n v="217.91759999999999" u="1"/>
        <n v="247.964" u="1"/>
        <n v="-1.9576550245108164" u="1"/>
        <n v="117.1" u="1"/>
        <n v="-0.22951073014433909" u="1"/>
        <n v="0.8200620475698035" u="1"/>
        <n v="0.91850117096018735" u="1"/>
        <n v="-1.7445524061404014" u="1"/>
        <n v="99.4" u="1"/>
        <n v="144.5" u="1"/>
        <n v="295.1653" u="1"/>
        <n v="91.275000000000006" u="1"/>
        <n v="0.91364764267990073" u="1"/>
        <n v="120" u="1"/>
        <n v="102.3" u="1"/>
        <n v="456" u="1"/>
        <n v="84.6" u="1"/>
        <n v="-0.30890052356020936" u="1"/>
        <n v="6.4516129032258229E-2" u="1"/>
        <n v="0.53099730458221028" u="1"/>
        <n v="105.2" u="1"/>
        <n v="-1.4278978359687211" u="1"/>
        <n v="106.1255" u="1"/>
        <n v="117.322" u="1"/>
        <n v="-2.0224390902797711" u="1"/>
        <n v="-2.0132990161875814" u="1"/>
        <n v="-2.3125340024648318" u="1"/>
        <n v="0.6274089935760172" u="1"/>
        <n v="320.0727" u="1"/>
        <n v="0.17142857142857149" u="1"/>
        <n v="0.24170616113744081" u="1"/>
        <n v="112.9405" u="1"/>
        <n v="184.8" u="1"/>
        <n v="187.7" u="1"/>
        <n v="47900" u="1"/>
        <n v="0.91198786039453716" u="1"/>
        <n v="91.101100000000002" u="1"/>
        <n v="108.96" u="1"/>
        <n v="127.1139" u="1"/>
        <n v="152.30000000000001" u="1"/>
        <n v="5.1660516605166129E-2" u="1"/>
        <n v="190.6" u="1"/>
        <n v="106.18859999999999" u="1"/>
        <n v="155.19999999999999" u="1"/>
        <n v="228.9" u="1"/>
        <n v="0.89357798165137614" u="1"/>
        <n v="0.65130260521042094" u="1"/>
        <n v="0.74274274274274277" u="1"/>
        <n v="0.70707070707070707" u="1"/>
        <n v="110.09099999999999" u="1"/>
        <n v="302.33640000000003" u="1"/>
        <n v="439.1" u="1"/>
        <n v="161" u="1"/>
        <n v="266.77" u="1"/>
        <n v="0.91638635271504087" u="1"/>
        <n v="109.1" u="1"/>
        <n v="145.69319999999999" u="1"/>
        <n v="0.67597765363128492" u="1"/>
        <n v="108.8579" u="1"/>
        <n v="113.2268" u="1"/>
        <n v="128.5" u="1"/>
        <n v="133.88900000000001" u="1"/>
        <n v="221.857" u="1"/>
        <n v="-2.9299196167774042" u="1"/>
        <n v="131.4" u="1"/>
        <n v="-2.0516405913714992" u="1"/>
        <n v="112" u="1"/>
        <n v="118.66240000000001" u="1"/>
        <n v="120.04810000000001" u="1"/>
        <n v="94.3" u="1"/>
        <n v="424" u="1"/>
        <n v="-0.28662683617088169" u="1"/>
        <n v="76.599999999999994" u="1"/>
        <n v="-2.2792380868638125" u="1"/>
        <n v="-0.26522246174506114" u="1"/>
        <n v="233.8" u="1"/>
        <n v="397.3" u="1"/>
        <n v="597.36500000000001" u="1"/>
        <n v="0.86057692307692313" u="1"/>
        <n v="-2.0358816072314387" u="1"/>
        <n v="0.74440576827449023" u="1"/>
        <n v="84.635499999999993" u="1"/>
        <n v="-0.21997013625419193" u="1"/>
        <n v="-2.0002388324862461" u="1"/>
        <n v="-0.34205495370543915" u="1"/>
        <n v="0.931584141675874" u="1"/>
        <n v="158.60589999999999" u="1"/>
        <n v="257.9205" u="1"/>
        <n v="652.29600000000005" u="1"/>
        <n v="0.75834508697696279" u="1"/>
        <n v="0.8815941027413039" u="1"/>
        <n v="0.89430392761669752" u="1"/>
        <n v="230.4777" u="1"/>
        <n v="0.60853008377760864" u="1"/>
        <n v="151.453" u="1"/>
        <n v="242.34620000000001" u="1"/>
        <n v="0.87877358490566038" u="1"/>
        <n v="123.7186" u="1"/>
        <n v="136.30000000000001" u="1"/>
        <n v="235.3056" u="1"/>
        <n v="37.799999999999997" u="1"/>
        <n v="472.1" u="1"/>
        <n v="115.9" u="1"/>
        <n v="0.61758241758241761" u="1"/>
        <n v="0.8152866242038217" u="1"/>
        <n v="0.67733835530445696" u="1"/>
        <n v="180.4" u="1"/>
        <n v="0.84843205574912894" u="1"/>
        <n v="127.6853" u="1"/>
        <n v="240.03139999999999" u="1"/>
        <n v="0.23283582089552246" u="1"/>
        <n v="147.9" u="1"/>
        <n v="0.56390977443609025" u="1"/>
        <n v="0.80977054034048856" u="1"/>
        <n v="0.84696569920844333" u="1"/>
        <n v="489.5" u="1"/>
        <n v="-2.3279976798273254" u="1"/>
        <n v="0.83507109004739344" u="1"/>
        <n v="76.643000000000001" u="1"/>
        <n v="-1.7636195217970236" u="1"/>
        <n v="-1.7426958734691937" u="1"/>
        <n v="9.5840867992766698E-2" u="1"/>
        <n v="0.89105553200508691" u="1"/>
        <n v="126.8355" u="1"/>
        <n v="261.90140000000002" u="1"/>
        <n v="-1.1984729449417681" u="1"/>
        <n v="121.7" u="1"/>
        <n v="-0.1893917498031632" u="1"/>
        <n v="0.86823891309920531" u="1"/>
        <n v="86.3" u="1"/>
        <n v="23600" u="1"/>
        <n v="68.599999999999994" u="1"/>
        <n v="119.3233" u="1"/>
        <n v="0.68153655514250311" u="1"/>
        <n v="0.91149542217700918" u="1"/>
        <n v="-1.8643158187805415" u="1"/>
        <n v="0.48289738430583506" u="1"/>
        <n v="-2.5151866234002127" u="1"/>
        <n v="-0.59701668967639909" u="1"/>
        <n v="0.84224841341795109" u="1"/>
        <n v="23.8" u="1"/>
        <n v="0.72688629117959613" u="1"/>
        <n v="0.89194870716838348" u="1"/>
        <n v="18400" u="1"/>
        <n v="0.90803382663847776" u="1"/>
        <n v="113.33799999999999" u="1"/>
        <n v="-1.611136678075773" u="1"/>
        <n v="-0.75436619221389134" u="1"/>
        <n v="-2.8926641514357474" u="1"/>
        <n v="122.68859999999999" u="1"/>
        <n v="188.2" u="1"/>
        <n v="41.2" u="1"/>
        <n v="0.73556231003039518" u="1"/>
        <n v="66700" u="1"/>
        <n v="191.1" u="1"/>
        <n v="-0.34989819772264519" u="1"/>
        <n v="121.76819999999999" u="1"/>
        <n v="115.8661" u="1"/>
        <n v="-0.5344183379320453" u="1"/>
        <n v="115.4765" u="1"/>
        <n v="-2.3586878208399624" u="1"/>
        <n v="-2.1057554761906823" u="1"/>
        <n v="107.9" u="1"/>
        <n v="44.1" u="1"/>
        <n v="264.49810000000002" u="1"/>
        <n v="112.09739999999999" u="1"/>
        <n v="484.2" u="1"/>
        <n v="-2.7777777777777777" u="1"/>
        <n v="-2.1938296517135991" u="1"/>
        <n v="0.73921867072552006" u="1"/>
        <n v="100.9186" u="1"/>
        <n v="16100" u="1"/>
        <n v="-0.14441104990250411" u="1"/>
        <n v="0.90124858115777529" u="1"/>
        <n v="129" u="1"/>
        <n v="451.7" u="1"/>
        <n v="0.54188948306595375" u="1"/>
        <n v="0.7278983589200636" u="1"/>
        <n v="93.1" u="1"/>
        <n v="121.44799999999999" u="1"/>
        <n v="174.83500000000001" u="1"/>
        <n v="134.29949999999999" u="1"/>
        <n v="0.87656099903938522" u="1"/>
        <n v="113.7" u="1"/>
        <n v="72500" u="1"/>
        <n v="0.10873440285204994" u="1"/>
        <n v="0.38297872340425532" u="1"/>
        <n v="0.55030621172353456" u="1"/>
        <n v="228.62860000000001" u="1"/>
        <n v="96" u="1"/>
        <n v="-0.63917988811161908" u="1"/>
        <n v="0.66094986807387857" u="1"/>
        <n v="0.87234042553191493" u="1"/>
        <n v="122.5967" u="1"/>
        <n v="-0.46665312068324183" u="1"/>
        <n v="102.1253" u="1"/>
        <n v="-0.48942587504082158" u="1"/>
        <n v="0.8603531300160514" u="1"/>
        <n v="26500" u="1"/>
        <n v="21.8" u="1"/>
        <n v="201.8" u="1"/>
        <n v="133.0463" u="1"/>
        <n v="79.666799999999995" u="1"/>
        <n v="204.7" u="1"/>
        <n v="0.38923464993983969" u="1"/>
        <n v="-3.1991744066047323E-2" u="1"/>
        <n v="0.81168831168831168" u="1"/>
        <n v="0.88620765995129513" u="1"/>
        <n v="54.9" u="1"/>
        <n v="169.3" u="1"/>
        <n v="0.66473988439306364" u="1"/>
        <n v="102.5843" u="1"/>
        <n v="162.8494" u="1"/>
        <n v="-2.6820075075847174" u="1"/>
        <n v="52000" u="1"/>
        <n v="0.85742024965325936" u="1"/>
        <n v="0.36496350364963503" u="1"/>
        <n v="0.80338983050847457" u="1"/>
        <n v="0.87642045454545459" u="1"/>
        <n v="123.202" u="1"/>
        <n v="0.54229741763134465" u="1"/>
        <n v="0.68190127970749548" u="1"/>
        <n v="-2.0165030571982969" u="1"/>
        <n v="0.68705035971223027" u="1"/>
        <n v="47.5" u="1"/>
        <n v="80.425899999999999" u="1"/>
        <n v="30.9" u="1"/>
        <n v="142.6" u="1"/>
        <n v="0.61925601750547044" u="1"/>
        <n v="0.74364089775561104" u="1"/>
        <n v="0.88052068805206885" u="1"/>
        <n v="117.6" u="1"/>
        <n v="0.34102564102564104" u="1"/>
        <n v="0.53942652329749108" u="1"/>
        <n v="109.5519" u="1"/>
        <n v="99.9" u="1"/>
        <n v="145.5" u="1"/>
        <n v="-1.4455814661238353E-3" u="1"/>
        <n v="0.54912280701754379" u="1"/>
        <n v="0.89901334881021477" u="1"/>
        <n v="375.6" u="1"/>
        <n v="-1.4985518978861196" u="1"/>
        <n v="0.89249111064630826" u="1"/>
        <n v="120.5" u="1"/>
        <n v="102.8" u="1"/>
        <n v="129.63210000000001" u="1"/>
        <n v="115.3759" u="1"/>
        <n v="316.39999999999998" u="1"/>
        <n v="-0.31406044678055189" u="1"/>
        <n v="431.3" u="1"/>
        <n v="54900" u="1"/>
        <n v="0.7474600870827286" u="1"/>
        <n v="105.7" u="1"/>
        <n v="-1.4346572459308473" u="1"/>
        <n v="0.53187613843351556" u="1"/>
        <n v="23.5" u="1"/>
        <n v="360.5" u="1"/>
        <n v="88" u="1"/>
        <n v="0.52845528455284563" u="1"/>
        <n v="0.8925925925925926" u="1"/>
        <n v="98.352999999999994" u="1"/>
        <n v="-2.4590163934426368E-2" u="1"/>
        <n v="0.51737089201877939" u="1"/>
        <n v="0.65847176079734226" u="1"/>
        <n v="140.42400000000001" u="1"/>
        <n v="-2.068605208280657" u="1"/>
        <n v="-1.5304413465153952" u="1"/>
        <n v="-0.51365063259029076" u="1"/>
        <n v="-1.402181971893357" u="1"/>
        <n v="0.90838802128819984" u="1"/>
        <n v="24200" u="1"/>
        <n v="0.92473584330998293" u="1"/>
        <n v="124.4" u="1"/>
        <n v="57800" u="1"/>
        <n v="686.55600000000004" u="1"/>
        <n v="0.88703296703296708" u="1"/>
        <n v="162" u="1"/>
        <n v="-4.3841336116910323E-2" u="1"/>
        <n v="127.3" u="1"/>
        <n v="-1.0035390147839487" u="1"/>
        <n v="0.62536443148688048" u="1"/>
        <n v="109.6" u="1"/>
        <n v="112.819" u="1"/>
        <n v="129.5" u="1"/>
        <n v="-3.6160689535131088" u="1"/>
        <n v="82.536799999999999" u="1"/>
        <n v="-2.3453560082227622" u="1"/>
        <n v="-2.28579295154185" u="1"/>
        <n v="-1.5512629114839611" u="1"/>
        <n v="132.4" u="1"/>
        <n v="251.7295" u="1"/>
        <n v="420.2" u="1"/>
        <n v="0.89001264222503162" u="1"/>
        <n v="0.92160702547466644" u="1"/>
        <n v="112.5" u="1"/>
        <n v="94.8" u="1"/>
        <n v="105.37739999999999" u="1"/>
        <n v="0.66982922201138528" u="1"/>
        <n v="0.67854909318323953" u="1"/>
        <n v="109.4336" u="1"/>
        <n v="202.36670000000001" u="1"/>
        <n v="-0.63513424021885823" u="1"/>
        <n v="0.33333333333333337" u="1"/>
        <n v="61.7" u="1"/>
        <n v="-0.18709100699482484" u="1"/>
        <n v="97.7" u="1"/>
        <n v="21.5" u="1"/>
        <n v="0.89391124871001026" u="1"/>
        <n v="60700" u="1"/>
        <n v="72000" u="1"/>
        <n v="304.63569999999999" u="1"/>
        <n v="-1.5495641770637496" u="1"/>
        <n v="17.8" u="1"/>
        <n v="-1.9116288677568125" u="1"/>
        <n v="0.87764817900499881" u="1"/>
        <n v="208.1" u="1"/>
        <n v="294.64100000000002" u="1"/>
        <n v="-3.2727994223688848" u="1"/>
        <n v="89.267399999999995" u="1"/>
        <n v="-2.3760566089688702" u="1"/>
        <n v="0.70029154518950443" u="1"/>
        <n v="-0.15740740740740744" u="1"/>
        <n v="0.91330343796711511" u="1"/>
        <n v="0.88275547445255476" u="1"/>
        <n v="474.1" u="1"/>
        <n v="-2.2911241134914757" u="1"/>
        <n v="116.4" u="1"/>
        <n v="0.77574171029668415" u="1"/>
        <n v="109.49550000000001" u="1"/>
        <n v="447.4" u="1"/>
        <n v="-1.6764628706376281" u="1"/>
        <n v="202.40100000000001" u="1"/>
        <n v="119.3" u="1"/>
        <n v="-2.4361893061780764" u="1"/>
        <n v="101.6" u="1"/>
        <n v="148.9" u="1"/>
        <n v="0.86080000000000001" u="1"/>
        <n v="83.9" u="1"/>
        <n v="0.87996263428304533" u="1"/>
        <n v="122.2" u="1"/>
        <n v="-1.3821326081763794" u="1"/>
        <n v="0.88938334392879848" u="1"/>
        <n v="246.75450000000001" u="1"/>
        <n v="-1.9160944761830292" u="1"/>
        <n v="0.82547642928786358" u="1"/>
        <n v="104.5" u="1"/>
        <n v="0.179245283018868" u="1"/>
        <n v="118.22580000000001" u="1"/>
        <n v="0.45110410094637232" u="1"/>
        <n v="0.79743888242142025" u="1"/>
        <n v="101.74" u="1"/>
        <n v="120.89" u="1"/>
        <n v="329" u="1"/>
        <n v="-0.59258023620471056" u="1"/>
        <n v="-3.4515510550705679" u="1"/>
        <n v="0.89197141656158052" u="1"/>
        <n v="19.5" u="1"/>
        <n v="72" u="1"/>
        <n v="-2.3771361787103267" u="1"/>
        <n v="94.77" u="1"/>
        <n v="189.2" u="1"/>
        <n v="0.91194331983805665" u="1"/>
        <n v="-2.4065543010578758" u="1"/>
        <n v="0.51827553889409561" u="1"/>
        <n v="0.86779835390946503" u="1"/>
        <n v="0.22208628049667259" u="1"/>
        <n v="0.32545931758530189" u="1"/>
        <n v="312.72000000000003" u="1"/>
        <n v="-0.1820330969267141" u="1"/>
        <n v="0.91499755740107469" u="1"/>
        <n v="159.6" u="1"/>
        <n v="197.9" u="1"/>
        <n v="-0.52329489852359257" u="1"/>
        <n v="106.7079" u="1"/>
        <n v="-1.9261714248351054" u="1"/>
        <n v="108.4" u="1"/>
        <n v="8.6757990867579959E-2" u="1"/>
        <n v="0.65476190476190477" u="1"/>
        <n v="165.4" u="1"/>
        <n v="0.89066156136992136" u="1"/>
        <n v="137.83000000000001" u="1"/>
        <n v="0.90579317812669191" u="1"/>
        <n v="24.9" u="1"/>
        <n v="0.8580750407830342" u="1"/>
        <n v="107.6914" u="1"/>
        <n v="-1.9346021909925861" u="1"/>
        <n v="427" u="1"/>
        <n v="114.2" u="1"/>
        <n v="117.2778" u="1"/>
        <n v="0.90246636771300448" u="1"/>
        <n v="682.928" u="1"/>
        <n v="-2.2528406251646769" u="1"/>
        <n v="21.2" u="1"/>
        <n v="96.5" u="1"/>
        <n v="78.8" u="1"/>
        <n v="59000" u="1"/>
        <n v="0.65960264900662247" u="1"/>
        <n v="81.252399999999994" u="1"/>
        <n v="243.63050000000001" u="1"/>
        <n v="53.7" u="1"/>
        <n v="137.11269999999999" u="1"/>
        <n v="0.88294238214529719" u="1"/>
        <n v="0.89499489274770172" u="1"/>
        <n v="0.91126976032636409" u="1"/>
        <n v="81.7" u="1"/>
        <n v="0.16422764227642284" u="1"/>
        <n v="0.86406249999999996" u="1"/>
        <n v="17.5" u="1"/>
        <n v="0.54351687388987568" u="1"/>
        <n v="143.32" u="1"/>
        <n v="140.3305" u="1"/>
        <n v="0.71851040525739318" u="1"/>
        <n v="0.87916666666666665" u="1"/>
        <n v="232.88550000000001" u="1"/>
        <n v="150.29390000000001" u="1"/>
        <n v="0.60882800608828003" u="1"/>
        <n v="0.79456906729634003" u="1"/>
        <n v="0.88671875" u="1"/>
        <n v="0.73627501282709085" u="1"/>
        <n v="176.1" u="1"/>
        <n v="1.5748031496062964E-2" u="1"/>
        <n v="0.73546062789500777" u="1"/>
        <n v="103.76139999999999" u="1"/>
        <n v="108.443" u="1"/>
        <n v="-3.2301398349392398" u="1"/>
        <n v="-2.3051915380745105" u="1"/>
        <n v="-0.26103404791929385" u="1"/>
        <n v="143.6" u="1"/>
        <n v="118.1" u="1"/>
        <n v="-1.8039249623879958" u="1"/>
        <n v="100.4" u="1"/>
        <n v="486.7" u="1"/>
        <n v="121.1652" u="1"/>
        <n v="265.4914" u="1"/>
        <n v="345.1" u="1"/>
        <n v="-2.1849082922194722" u="1"/>
        <n v="0.88959390862944165" u="1"/>
        <n v="22.9" u="1"/>
        <n v="103.3" u="1"/>
        <n v="14100" u="1"/>
        <n v="85.6" u="1"/>
        <n v="0.90604751619870405" u="1"/>
        <n v="0.17891373801916932" u="1"/>
        <n v="0.90759426447158786" u="1"/>
        <n v="106.2" u="1"/>
        <n v="0.84974093264248707" u="1"/>
        <n v="88.5" u="1"/>
        <n v="-1.8894088099448214" u="1"/>
        <n v="70.8" u="1"/>
        <n v="225.2664" u="1"/>
        <n v="0.67754077791718947" u="1"/>
        <n v="0.88018648018648016" u="1"/>
        <n v="222.2" u="1"/>
        <n v="-2.0004198677039602" u="1"/>
        <n v="-1.8938251806923132" u="1"/>
        <n v="49.7" u="1"/>
        <n v="186.8" u="1"/>
        <n v="0.68054692355500312" u="1"/>
        <n v="0.85105766444508846" u="1"/>
        <n v="-0.26883296569947768" u="1"/>
        <n v="0.51187084520417847" u="1"/>
        <n v="224.80500000000001" u="1"/>
        <n v="596.49" u="1"/>
        <n v="107.5782" u="1"/>
        <n v="154.30000000000001" u="1"/>
        <n v="0.43689320388349517" u="1"/>
        <n v="-1.7735793365937851" u="1"/>
        <n v="157.19999999999999" u="1"/>
        <n v="-3.1936122437266246" u="1"/>
        <n v="0.28688524590163933" u="1"/>
        <n v="0.20183486238532122" u="1"/>
        <n v="195.5" u="1"/>
        <n v="52.6" u="1"/>
        <n v="160.1" u="1"/>
        <n v="198.4" u="1"/>
        <n v="300.07499999999999" u="1"/>
        <n v="0.68980084490042248" u="1"/>
        <n v="107.4118" u="1"/>
        <n v="154.04409999999999" u="1"/>
        <n v="127.8" u="1"/>
        <n v="266.67739999999998" u="1"/>
        <n v="487.2" u="1"/>
        <n v="416.4" u="1"/>
        <n v="92.4" u="1"/>
        <n v="-2.0184206111201508" u="1"/>
        <n v="2.0952380952380945E-2" u="1"/>
        <n v="0.65269461077844315" u="1"/>
        <n v="254.327" u="1"/>
        <n v="-1.6983049110174377" u="1"/>
        <n v="113" u="1"/>
        <n v="154.73140000000001" u="1"/>
        <n v="633.42399999999998" u="1"/>
        <n v="-2.1030743855519218" u="1"/>
        <n v="0.56281407035175879" u="1"/>
        <n v="0.87158671586715863" u="1"/>
        <n v="95.3" u="1"/>
        <n v="-2.5504120429595689" u="1"/>
        <n v="0.83646616541353391" u="1"/>
        <n v="0.89056844794549717" u="1"/>
        <n v="120.5047" u="1"/>
        <n v="-2.0527516716718766" u="1"/>
        <n v="0.83844011142061281" u="1"/>
        <n v="80.5" u="1"/>
        <n v="-2.494303042606643" u="1"/>
        <n v="-0.44383862173541311" u="1"/>
        <n v="94.367000000000004" u="1"/>
        <n v="244.98419999999999" u="1"/>
        <n v="3.3333333333333437E-2" u="1"/>
        <n v="10.820248982550481" u="1"/>
        <n v="45.7" u="1"/>
        <n v="-0.21065375302663436" u="1"/>
        <n v="170.8" u="1"/>
        <n v="0.41844912011351876" u="1"/>
        <n v="0.13758389261744974" u="1"/>
        <n v="92.915800000000004" u="1"/>
        <n v="-1.7377357437316618" u="1"/>
        <n v="87.397000000000006" u="1"/>
        <n v="122.64319999999999" u="1"/>
        <n v="176.6" u="1"/>
        <n v="214.9" u="1"/>
        <n v="-0.19465638029327503" u="1"/>
        <n v="0.83888888888888891" u="1"/>
        <n v="179.5" u="1"/>
        <n v="104.4061" u="1"/>
        <n v="20200" u="1"/>
        <n v="182.4" u="1"/>
        <n v="0.81025081788440567" u="1"/>
        <n v="0.87584541062801935" u="1"/>
        <n v="487.7" u="1"/>
        <n v="49800" u="1"/>
        <n v="-2.0504029629856833" u="1"/>
        <n v="151.4332" u="1"/>
        <n v="0.86046511627906974" u="1"/>
        <n v="-0.58931824719532067" u="1"/>
        <n v="22.6" u="1"/>
        <n v="0.8493506493506493" u="1"/>
        <n v="0.87349249323160227" u="1"/>
        <n v="-2.21262725286361" u="1"/>
        <n v="-0.30208333333333348" u="1"/>
        <n v="-0.67215926287117056" u="1"/>
        <n v="0.8876011371091187" u="1"/>
        <n v="0.90395898263787677" u="1"/>
        <n v="-2.5476116394797392" u="1"/>
        <n v="0.81350482315112538" u="1"/>
        <n v="0.91844196020530133" u="1"/>
        <n v="105" u="1"/>
        <n v="0.88795878943979401" u="1"/>
        <n v="87.3" u="1"/>
        <n v="286.89999999999998" u="1"/>
        <n v="0.70256410256410251" u="1"/>
        <n v="0.84816753926701571" u="1"/>
        <n v="0.84642541924095327" u="1"/>
        <n v="0.8564245810055866" u="1"/>
        <n v="0.17628205128205132" u="1"/>
        <n v="0.48672566371681414" u="1"/>
        <n v="0.68271604938271602" u="1"/>
        <n v="0.83753501400560226" u="1"/>
        <n v="0.89104571070757665" u="1"/>
        <n v="59.4" u="1"/>
        <n v="-2.7939110070257609" u="1"/>
        <n v="-0.1560693641618498" u="1"/>
        <n v="0.34897104874253759" u="1"/>
        <n v="-0.27783280241989439" u="1"/>
        <n v="41.7" u="1"/>
        <n v="108.2115" u="1"/>
        <n v="220.6285" u="1"/>
        <n v="2.7932960893854775E-2" u="1"/>
        <n v="0.79265832997176289" u="1"/>
        <n v="241.08099999999999" u="1"/>
        <n v="-0.60455920335845059" u="1"/>
        <n v="196" u="1"/>
        <n v="34.299999999999997" u="1"/>
        <n v="100.5455" u="1"/>
        <n v="-2.0581468153059386" u="1"/>
        <n v="0.91216557294295808" u="1"/>
        <n v="108.9" u="1"/>
        <n v="163.5" u="1"/>
        <n v="556.33199999999999" u="1"/>
        <n v="128.1" u="1"/>
        <n v="488.2" u="1"/>
        <n v="0.79672897196261683" u="1"/>
        <n v="-2.4604678136477864" u="1"/>
        <n v="111.8" u="1"/>
        <n v="118.4624" u="1"/>
        <n v="-1.6464424708112961" u="1"/>
        <n v="0.87985039738195425" u="1"/>
        <n v="94.1" u="1"/>
        <n v="20.6" u="1"/>
        <n v="-0.15074798619102414" u="1"/>
        <n v="-8.6956521739130377E-2" u="1"/>
        <n v="76.400000000000006" u="1"/>
        <n v="129.0823" u="1"/>
        <n v="429" u="1"/>
        <n v="0.64989939637826966" u="1"/>
        <n v="114.7" u="1"/>
        <n v="0.17101336822820723" u="1"/>
        <n v="282.16480000000001" u="1"/>
        <n v="97" u="1"/>
        <n v="-1.8227113071655805" u="1"/>
        <n v="0.67874999999999996" u="1"/>
        <n v="0.91842475386779188" u="1"/>
        <n v="79.3" u="1"/>
        <n v="102.6777" u="1"/>
        <n v="-1.3221347398543624" u="1"/>
        <n v="133.96190000000001" u="1"/>
        <n v="0.53968253968253976" u="1"/>
        <n v="-0.18879974126787369" u="1"/>
        <n v="0.71192052980132448" u="1"/>
        <n v="-0.11855837751860743" u="1"/>
        <n v="0.50097087378640781" u="1"/>
        <n v="0.90685224839400425" u="1"/>
        <n v="64.5" u="1"/>
        <n v="0.56951423785594635" u="1"/>
        <n v="0.79359430604982206" u="1"/>
        <n v="55.4" u="1"/>
        <n v="120.44710000000001" u="1"/>
        <n v="0.20917947677812546" u="1"/>
        <n v="-2.3975026903301848" u="1"/>
        <n v="0.54833040421792623" u="1"/>
        <n v="122.351" u="1"/>
        <n v="247.9" u="1"/>
        <n v="0.86416861826697899" u="1"/>
        <n v="-2.2478300627032048" u="1"/>
        <n v="0.85584092792046396" u="1"/>
        <n v="147.46090000000001" u="1"/>
        <n v="0.15660211861547801" u="1"/>
        <n v="117.3681" u="1"/>
        <n v="195.95500000000001" u="1"/>
        <n v="244.70259999999999" u="1"/>
        <n v="-2.2538546480716533" u="1"/>
        <n v="0.49855907780979836" u="1"/>
        <n v="0.88610680257035235" u="1"/>
        <n v="0.89084065244667499" u="1"/>
        <n v="231.51900000000001" u="1"/>
        <n v="48100" u="1"/>
        <n v="103.34099999999999" u="1"/>
        <n v="118.6" u="1"/>
        <n v="0.89219330855018586" u="1"/>
        <n v="0.54210526315789476" u="1"/>
        <n v="-2.5078368339523958" u="1"/>
        <n v="105.09739999999999" u="1"/>
        <n v="292.1968" u="1"/>
        <n v="-0.62272779808592271" u="1"/>
        <n v="0.75500476644423264" u="1"/>
        <n v="121.5" u="1"/>
        <n v="-2.3108063120047939" u="1"/>
        <n v="-2.0864298639374264" u="1"/>
        <n v="-0.43050644291279583" u="1"/>
        <n v="-1.6983153942358165E-3" u="1"/>
        <n v="18.600000000000001" u="1"/>
        <n v="217.92570000000001" u="1"/>
        <n v="467.8" u="1"/>
        <n v="-0.4651933701657458" u="1"/>
        <n v="68.400000000000006" u="1"/>
        <n v="112.9148" u="1"/>
        <n v="0.77816141562365126" u="1"/>
        <n v="105.627" u="1"/>
        <n v="-4.9317943336831149E-2" u="1"/>
        <n v="0.90250009484426574" u="1"/>
        <n v="106.7" u="1"/>
        <n v="364.5" u="1"/>
        <n v="-2.3510705510705505" u="1"/>
        <n v="119.895" u="1"/>
        <n v="0.89049850873455472" u="1"/>
        <n v="-0.82705212931540384" u="1"/>
        <n v="0.79601406799531071" u="1"/>
        <n v="106.782" u="1"/>
        <n v="0.80249716231555057" u="1"/>
        <n v="-2.7790418447449445" u="1"/>
        <n v="0.90413223140495869" u="1"/>
        <n v="187.8" u="1"/>
        <n v="0.65882352941176481" u="1"/>
        <n v="0.89508062869973459" u="1"/>
        <n v="8.7052369468193422" u="1"/>
        <n v="-1.4865798171840847" u="1"/>
        <n v="51.4" u="1"/>
        <n v="155.30000000000001" u="1"/>
        <n v="0.89497343686146302" u="1"/>
        <n v="158.19999999999999" u="1"/>
        <n v="97.812299999999993" u="1"/>
        <n v="161.1" u="1"/>
        <n v="-2.4291099849529862" u="1"/>
        <n v="-0.76916459081459543" u="1"/>
        <n v="0.86299212598425201" u="1"/>
        <n v="0.89388934764657302" u="1"/>
        <n v="483.4" u="1"/>
        <n v="-2.348635180030529" u="1"/>
        <n v="0.68074534161490685" u="1"/>
        <n v="-0.61374218528151014" u="1"/>
        <n v="-5.0420168067226934E-2" u="1"/>
        <n v="110.6" u="1"/>
        <n v="166.9" u="1"/>
        <n v="489.2" u="1"/>
        <n v="-0.37447413944681651" u="1"/>
        <n v="3.9385206532180583E-2" u="1"/>
        <n v="92.9" u="1"/>
        <n v="223.91380000000001" u="1"/>
        <n v="36.6" u="1"/>
        <n v="123.771" u="1"/>
        <n v="-2.2515555281075823" u="1"/>
        <n v="0.83661971830985915" u="1"/>
        <n v="113.5" u="1"/>
        <n v="95.8" u="1"/>
        <n v="-0.6535956768740474" u="1"/>
        <n v="-0.29050536683269268" u="1"/>
        <n v="0.67895065584009995" u="1"/>
        <n v="0.88973384030418257" u="1"/>
        <n v="435.8" u="1"/>
        <n v="0.72630457933972314" u="1"/>
        <n v="119.242" u="1"/>
        <n v="-3.2064227782692827" u="1"/>
        <n v="0.89593301435406703" u="1"/>
        <n v="98.7" u="1"/>
        <n v="81" u="1"/>
        <n v="0.784919653893696" u="1"/>
        <n v="0.84022038567493118" u="1"/>
        <n v="0.89501633986928109" u="1"/>
        <n v="54.8" u="1"/>
        <n v="107.6673" u="1"/>
        <n v="108.2864" u="1"/>
        <n v="231.85740000000001" u="1"/>
        <n v="171.8" u="1"/>
        <n v="234.4624" u="1"/>
        <n v="-2.0532150776053211" u="1"/>
        <n v="0.87706290361157624" u="1"/>
        <n v="0.51555136663524981" u="1"/>
        <n v="0.7931034482758621" u="1"/>
        <n v="162.0523" u="1"/>
        <n v="10.407837549127276" u="1"/>
        <n v="478.1" u="1"/>
        <n v="0.85525204167840041" u="1"/>
        <n v="117.4" u="1"/>
        <n v="183.4" u="1"/>
        <n v="40" u="1"/>
        <n v="130.44749999999999" u="1"/>
        <n v="6.3752276867030999E-2" u="1"/>
        <n v="0.81684210526315792" u="1"/>
        <n v="97.234999999999999" u="1"/>
        <n v="148" u="1"/>
        <n v="120.3" u="1"/>
        <n v="0.57766990291262144" u="1"/>
        <n v="150.9" u="1"/>
        <n v="-3.2779560159876686" u="1"/>
        <n v="0.56514382402707275" u="1"/>
        <n v="0.89516622476035079" u="1"/>
        <n v="-2.0363218796326761" u="1"/>
        <n v="5.1047162683072337E-3" u="1"/>
        <n v="315.60000000000002" u="1"/>
        <n v="102.0629" u="1"/>
        <n v="-2.312898763284398" u="1"/>
        <n v="0.79720279720279719" u="1"/>
        <n v="59700" u="1"/>
        <n v="0.88853299167200517" u="1"/>
        <n v="0.9178470254957507" u="1"/>
        <n v="105.5" u="1"/>
        <n v="-1.8536266931502436" u="1"/>
        <n v="0.86102236421725242" u="1"/>
        <n v="87.8" u="1"/>
        <n v="-1.5133911334199164" u="1"/>
        <n v="0.90009718172983477" u="1"/>
        <n v="0.13861386138613863" u="1"/>
        <n v="0.91717519825591909" u="1"/>
        <n v="58.2" u="1"/>
        <n v="196.261" u="1"/>
        <n v="294.7" u="1"/>
        <n v="0.81270182992465023" u="1"/>
        <n v="106.34229999999999" u="1"/>
        <n v="-0.48854961832061061" u="1"/>
        <n v="8.4210526315789513E-2" u="1"/>
        <n v="0.84615384615384615" u="1"/>
        <n v="188.3" u="1"/>
        <n v="145.07" u="1"/>
        <n v="0.66536458333333326" u="1"/>
        <n v="0.88640883977900553" u="1"/>
        <n v="-1.8757065368869084" u="1"/>
        <n v="0.81874999999999998" u="1"/>
        <n v="0.84829991281604189" u="1"/>
        <n v="116.29940000000001" u="1"/>
        <n v="-3.5180300974855658" u="1"/>
        <n v="-1.9498957706790145" u="1"/>
        <n v="158.69999999999999" u="1"/>
        <n v="-2.1848827930751349" u="1"/>
        <n v="-0.19189511323003572" u="1"/>
        <n v="0.89124999999999999" u="1"/>
        <n v="197" u="1"/>
        <n v="107.54900000000001" u="1"/>
        <n v="161.6" u="1"/>
        <n v="-0.2080002942227408" u="1"/>
        <n v="0.91694510739856805" u="1"/>
        <n v="199.9" u="1"/>
        <n v="484.4" u="1"/>
        <n v="109.4" u="1"/>
        <n v="164.5" u="1"/>
        <n v="0.33972915690016048" u="1"/>
        <n v="0.87606837606837606" u="1"/>
        <n v="142.20670000000001" u="1"/>
        <n v="36" u="1"/>
        <n v="0.91369047619047616" u="1"/>
        <n v="-1.6188473326554944" u="1"/>
        <n v="-0.30718954248366015" u="1"/>
        <n v="0.78672199170124479" u="1"/>
        <n v="105.2543" u="1"/>
        <n v="112.3" u="1"/>
        <n v="94.6" u="1"/>
        <n v="106.8518" u="1"/>
        <n v="134.9" u="1"/>
        <n v="41800" u="1"/>
        <n v="-2.4868330708615405" u="1"/>
        <n v="0.872899926953981" u="1"/>
        <n v="109.8527" u="1"/>
        <n v="121.4148" u="1"/>
        <n v="469.3" u="1"/>
        <n v="115.2" u="1"/>
        <n v="360.2" u="1"/>
        <n v="436.8" u="1"/>
        <n v="-1.691444616095894" u="1"/>
        <n v="79.8" u="1"/>
        <n v="0.58747993579454261" u="1"/>
        <n v="65500" u="1"/>
        <n v="-2.3191212422090763" u="1"/>
        <n v="209.3227" u="1"/>
        <n v="54.2" u="1"/>
        <n v="112.91160000000001" u="1"/>
        <n v="181.01499999999999" u="1"/>
        <n v="0.84051329055912005" u="1"/>
        <n v="0.15599343185550085" u="1"/>
        <n v="0.58072289156626511" u="1"/>
        <n v="172.3" u="1"/>
        <n v="555.41300000000001" u="1"/>
        <n v="0.59591194968553463" u="1"/>
        <n v="175.2" u="1"/>
        <n v="0.69258373205741619" u="1"/>
        <n v="0.8959952181709504" u="1"/>
        <n v="213.5" u="1"/>
        <n v="-1.9643993866188856" u="1"/>
        <n v="0.92565055762081783" u="1"/>
        <n v="178.1" u="1"/>
        <n v="0.65982792852415617" u="1"/>
        <n v="0.897887323943662" u="1"/>
        <n v="111.4415" u="1"/>
        <n v="255.50200000000001" u="1"/>
        <n v="34300" u="1"/>
        <n v="145.6" u="1"/>
        <n v="0.80983606557377052" u="1"/>
        <n v="3.1945788964181987E-2" u="1"/>
        <n v="0.85178875638841567" u="1"/>
        <n v="-2.4487874047301617" u="1"/>
        <n v="9.6660808435852341E-2" u="1"/>
        <n v="129.5909" u="1"/>
        <n v="151.4" u="1"/>
        <n v="301.11900000000003" u="1"/>
        <n v="-2.3593307235856882" u="1"/>
        <n v="0.89630512514898686" u="1"/>
        <n v="122" u="1"/>
        <n v="104.3" u="1"/>
        <n v="316.60000000000002" u="1"/>
        <n v="0.89568345323741005" u="1"/>
        <n v="106.6818" u="1"/>
        <n v="130.5504" u="1"/>
        <n v="19100" u="1"/>
        <n v="120.7732" u="1"/>
        <n v="284.10000000000002" u="1"/>
        <n v="-0.17940245848850567" u="1"/>
        <n v="68.900000000000006" u="1"/>
        <n v="-1.7596445344747447" u="1"/>
        <n v="0.84408602150537637" u="1"/>
        <n v="109.9714" u="1"/>
        <n v="127.5945" u="1"/>
        <n v="107.2" u="1"/>
        <n v="-1.8690465601011641" u="1"/>
        <n v="-0.19310172456885777" u="1"/>
        <n v="-1.9433962264150941" u="1"/>
        <n v="-0.29198966408268734" u="1"/>
        <n v="0.91710338256312529" u="1"/>
        <n v="302.5453" u="1"/>
        <n v="6.8840579710145011E-2" u="1"/>
        <n v="263.2" u="1"/>
        <n v="118.9324" u="1"/>
        <n v="0.59812353401094609" u="1"/>
        <n v="0.83813953488372095" u="1"/>
        <n v="50.2" u="1"/>
        <n v="-0.22849187027438789" u="1"/>
        <n v="-1.672550926793364" u="1"/>
        <n v="0.12286689419795227" u="1"/>
        <n v="0.92183815106798739" u="1"/>
        <n v="236.5275" u="1"/>
        <n v="-0.19593338555506734" u="1"/>
        <n v="156.30000000000001" u="1"/>
        <n v="194.6" u="1"/>
        <n v="159.19999999999999" u="1"/>
        <n v="254.74449999999999" u="1"/>
        <n v="98.92" u="1"/>
        <n v="-0.86330457863304555" u="1"/>
        <n v="124.8976" u="1"/>
        <n v="125.9" u="1"/>
        <n v="53.1" u="1"/>
        <n v="162.1" u="1"/>
        <n v="479.6" u="1"/>
        <n v="-2.3906941063936582" u="1"/>
        <n v="0.10474485228290065" u="1"/>
        <n v="-0.17311681034906456" u="1"/>
        <n v="109.2667" u="1"/>
        <n v="118.152" u="1"/>
        <n v="165" u="1"/>
        <n v="129.6" u="1"/>
        <n v="-1.3352958289250019" u="1"/>
        <n v="0.53442028985507251" u="1"/>
        <n v="0.9318987718295747" u="1"/>
        <n v="111.1" u="1"/>
        <n v="167.9" u="1"/>
        <n v="491.2" u="1"/>
        <n v="-1.8059203178820402" u="1"/>
        <n v="302.41449999999998" u="1"/>
        <n v="112.2436" u="1"/>
        <n v="248.84" u="1"/>
        <n v="514.5" u="1"/>
        <n v="-2.2567701558250173" u="1"/>
        <n v="-1.6778141281958074" u="1"/>
        <n v="5.4328809872807304E-2" u="1"/>
        <n v="129.21549999999999" u="1"/>
        <n v="387.9" u="1"/>
        <n v="-3.4183363054652256" u="1"/>
        <n v="0.27447381213224886" u="1"/>
        <n v="114" u="1"/>
        <n v="-0.4252519031822346" u="1"/>
        <n v="96.3" u="1"/>
        <n v="-0.46952044181660324" u="1"/>
        <n v="0.45780590717299574" u="1"/>
        <n v="78.599999999999994" u="1"/>
        <n v="0.91706387035271686" u="1"/>
        <n v="63800" u="1"/>
        <n v="107.03" u="1"/>
        <n v="555.524" u="1"/>
        <n v="-0.54102358710450527" u="1"/>
        <n v="0.83828996282527879" u="1"/>
        <n v="-1.6740060796630041" u="1"/>
        <n v="10.982321954131869" u="1"/>
        <n v="290.6259" u="1"/>
        <n v="0.50386100386100385" u="1"/>
        <n v="-3.0200722898871639" u="1"/>
        <n v="66.7" u="1"/>
        <n v="-2.3399319736775821" u="1"/>
        <n v="0.83106796116504855" u="1"/>
        <n v="178.6" u="1"/>
        <n v="188.57599999999999" u="1"/>
        <n v="-2.6192883137889202" u="1"/>
        <n v="-1.5975477036929546" u="1"/>
        <n v="0.90068493150684936" u="1"/>
        <n v="-1.2092867549550359" u="1"/>
        <n v="117.9" u="1"/>
        <n v="181.5" u="1"/>
        <n v="-2.3735530103509523" u="1"/>
        <n v="121.119" u="1"/>
        <n v="229.48099999999999" u="1"/>
        <n v="0.54107142857142865" u="1"/>
        <n v="0.79236276849642007" u="1"/>
        <n v="-1.8036263429050678" u="1"/>
        <n v="31.7" u="1"/>
        <n v="149" u="1"/>
        <n v="0.76358695652173914" u="1"/>
        <n v="103.1" u="1"/>
        <n v="134.89599999999999" u="1"/>
        <n v="-2.0162794165594597" u="1"/>
        <n v="0.54270462633451966" u="1"/>
        <n v="-0.66768756361197212" u="1"/>
        <n v="83.177099999999996" u="1"/>
        <n v="426.7" u="1"/>
        <n v="123.7" u="1"/>
        <n v="-2.5533297206524259" u="1"/>
        <n v="183.631" u="1"/>
        <n v="-0.89720077833878076" u="1"/>
        <n v="-0.34851825708855344" u="1"/>
        <n v="106" u="1"/>
        <n v="132.6833" u="1"/>
        <n v="0.59534883720930232" u="1"/>
        <n v="0.79930795847750868" u="1"/>
        <n v="0.91278195488721803" u="1"/>
        <n v="0.31225296442687756" u="1"/>
        <n v="0.91395545437044357" u="1"/>
        <n v="272.86090000000002" u="1"/>
        <n v="686.822" u="1"/>
        <n v="-2.6618594660938939" u="1"/>
        <n v="0.51047619047619053" u="1"/>
        <n v="0.82299084435401837" u="1"/>
        <n v="0.51509433962264151" u="1"/>
        <n v="-0.24533001245330022" u="1"/>
        <n v="-1.4745645562620955" u="1"/>
        <n v="-0.7855717899407102" u="1"/>
        <n v="195.1" u="1"/>
        <n v="159.69999999999999" u="1"/>
        <n v="52.5" u="1"/>
        <n v="48800" u="1"/>
        <n v="254.18289999999999" u="1"/>
        <n v="0.72454448017148976" u="1"/>
        <n v="162.6" u="1"/>
        <n v="-0.21294745689957462" u="1"/>
        <n v="300.98849999999999" u="1"/>
        <n v="0.89089365315219704" u="1"/>
        <n v="130.1" u="1"/>
        <n v="214.10640000000001" u="1"/>
        <n v="0.8886756238003839" u="1"/>
        <n v="186.20599999999999" u="1"/>
        <n v="238.315" u="1"/>
        <n v="-2.1234023991275897" u="1"/>
        <n v="-2.1707991030151019" u="1"/>
        <n v="29.7" u="1"/>
        <n v="133" u="1"/>
        <n v="0.6527027027027027" u="1"/>
        <n v="112.8" u="1"/>
        <n v="178.69380000000001" u="1"/>
        <n v="95.1" u="1"/>
        <n v="427.2" u="1"/>
        <n v="-0.70901901105835829" u="1"/>
        <n v="77.400000000000006" u="1"/>
        <n v="-2.636751485601097" u="1"/>
        <n v="0.91072344792201132" u="1"/>
        <n v="115.7" u="1"/>
        <n v="10.645518860156692" u="1"/>
        <n v="-2.5120659211300764" u="1"/>
        <n v="80.3" u="1"/>
        <n v="406.3" u="1"/>
        <n v="51700" u="1"/>
        <n v="-2.3715483582983485" u="1"/>
        <n v="0.92140992402959321" u="1"/>
        <n v="-1.9615352800066175" u="1"/>
        <n v="0.92680402830244235" u="1"/>
        <n v="154.8295" u="1"/>
        <n v="-2.022224773430219" u="1"/>
        <n v="0.51962616822429908" u="1"/>
        <n v="22.3" u="1"/>
        <n v="0.55917667238421953" u="1"/>
        <n v="41300" u="1"/>
        <n v="0.87968164794007486" u="1"/>
        <n v="130.7723" u="1"/>
        <n v="328.75200000000001" u="1"/>
        <n v="357.51870000000002" u="1"/>
        <n v="105.3509" u="1"/>
        <n v="173.3" u="1"/>
        <n v="0.67713567839195976" u="1"/>
        <n v="211.6" u="1"/>
        <n v="176.2" u="1"/>
        <n v="-2.3911501608338352" u="1"/>
        <n v="38.200000000000003" u="1"/>
        <n v="563.44299999999998" u="1"/>
        <n v="-0.35329751453201563" u="1"/>
        <n v="1.6949152542372947E-2" u="1"/>
        <n v="3.2015065913370999E-2" u="1"/>
        <n v="111.6414" u="1"/>
        <n v="118.6871" u="1"/>
        <n v="140.80000000000001" u="1"/>
        <n v="189.9195" u="1"/>
        <n v="-2.4983559622628602" u="1"/>
        <n v="0.81799163179916312" u="1"/>
        <n v="90.716099999999997" u="1"/>
        <n v="140.78739999999999" u="1"/>
        <n v="0.68601099572388513" u="1"/>
        <n v="486.9" u="1"/>
        <n v="-2.1702347525097023" u="1"/>
        <n v="0.88181191078408827" u="1"/>
        <n v="357.41180000000003" u="1"/>
        <n v="-2.4211670496949309" u="1"/>
        <n v="0.25957446808510642" u="1"/>
        <n v="454.4" u="1"/>
        <n v="-4.058272632674309E-2" u="1"/>
        <n v="0.88693356797184342" u="1"/>
        <n v="101.9" u="1"/>
        <n v="421.9" u="1"/>
        <n v="-2.2699742709415083" u="1"/>
        <n v="115.767" u="1"/>
        <n v="152.4" u="1"/>
        <n v="280.17750000000001" u="1"/>
        <n v="0.90655209452201935" u="1"/>
        <n v="259.0455" u="1"/>
        <n v="0.5844785772029103" u="1"/>
        <n v="0.91360476663356505" u="1"/>
        <n v="-2.3854870952063041" u="1"/>
        <n v="104.8" u="1"/>
        <n v="143.685" u="1"/>
        <n v="-0.25611312245611817" u="1"/>
        <n v="87.1" u="1"/>
        <n v="117.06950000000001" u="1"/>
        <n v="471.8" u="1"/>
        <n v="251.1977" u="1"/>
        <n v="-1.9440521545064096" u="1"/>
        <n v="-2.3506220765583734" u="1"/>
        <n v="0.68232385661310269" u="1"/>
        <n v="0.89165261382799321" u="1"/>
        <n v="107.7" u="1"/>
        <n v="83.337599999999995" u="1"/>
        <n v="90" u="1"/>
        <n v="-2.4596552327261234" u="1"/>
        <n v="305.18700000000001" u="1"/>
        <n v="0.82872375874708437" u="1"/>
        <n v="0.82084349947716972" u="1"/>
        <n v="0.84310189359783594" u="1"/>
        <n v="118.8133" u="1"/>
        <n v="225.2" u="1"/>
        <n v="0.45377258235919238" u="1"/>
        <n v="0.91903210795718937" u="1"/>
        <n v="200.50720000000001" u="1"/>
        <n v="244.35" u="1"/>
        <n v="-2.1906531561639437" u="1"/>
        <n v="-1.7707202309320476" u="1"/>
        <n v="189.8" u="1"/>
        <n v="-0.55333655842366825" u="1"/>
        <n v="-2.0000527912758641" u="1"/>
        <n v="51.9" u="1"/>
        <n v="103.79519999999999" u="1"/>
        <n v="139.7475" u="1"/>
        <n v="157.30000000000001" u="1"/>
        <n v="0.88134810710987999" u="1"/>
        <n v="0.91044776119402981" u="1"/>
        <n v="0.52459016393442637" u="1"/>
        <n v="358.02" u="1"/>
        <n v="126.4" u="1"/>
        <n v="0.88194763435920986" u="1"/>
        <n v="201.4" u="1"/>
        <n v="0.86134340437011059" u="1"/>
        <n v="449.1" u="1"/>
        <n v="166" u="1"/>
        <n v="120.798" u="1"/>
        <n v="130.6" u="1"/>
        <n v="-0.18848561199440317" u="1"/>
        <n v="0.83600377002827519" u="1"/>
        <n v="111.6" u="1"/>
        <n v="237.71799999999999" u="1"/>
        <n v="0.61842105263157898" u="1"/>
        <n v="0.65480188045668242" u="1"/>
        <n v="110.21429999999999" u="1"/>
        <n v="117.26" u="1"/>
        <n v="422.4" u="1"/>
        <n v="-2.2639791700474619" u="1"/>
        <n v="-1.7618159391076742" u="1"/>
        <n v="133.5" u="1"/>
        <n v="-0.17233294255568588" u="1"/>
        <n v="37.1" u="1"/>
        <n v="-2.3085208134070778" u="1"/>
        <n v="0.20679012345679015" u="1"/>
        <n v="428.2" u="1"/>
        <n v="109.913" u="1"/>
        <n v="214.9759" u="1"/>
        <n v="114.5" u="1"/>
        <n v="0.85254237288135593" u="1"/>
        <n v="96.8" u="1"/>
        <n v="561.06200000000001" u="1"/>
        <n v="78.934799999999996" u="1"/>
        <n v="90.367099999999994" u="1"/>
        <n v="241.02289999999999" u="1"/>
        <n v="-1.1434293192776925" u="1"/>
        <n v="-2.7045046536533377" u="1"/>
        <n v="0.47112462006079026" u="1"/>
        <n v="8.1072810116066734" u="1"/>
        <n v="99.7" u="1"/>
        <n v="22" u="1"/>
        <n v="82" u="1"/>
        <n v="301.59440000000001" u="1"/>
        <n v="569.94399999999996" u="1"/>
        <n v="101.2383" u="1"/>
        <n v="-2.0669859123559213" u="1"/>
        <n v="209.2" u="1"/>
        <n v="309.8" u="1"/>
        <n v="108.44289999999999" u="1"/>
        <n v="114.8695" u="1"/>
        <n v="121.078" u="1"/>
        <n v="-0.35358250210492992" u="1"/>
        <n v="-2.1326753915844234" u="1"/>
        <n v="0.7583333333333333" u="1"/>
        <n v="103.46" u="1"/>
        <n v="0.87883008356545966" u="1"/>
        <n v="128.0395" u="1"/>
        <n v="179.6" u="1"/>
        <n v="-1.6658327097271397" u="1"/>
        <n v="0.85536159600997508" u="1"/>
        <n v="118.4" u="1"/>
        <n v="119.473" u="1"/>
        <n v="-2.445564564636816" u="1"/>
        <n v="-2.3230707542485125" u="1"/>
        <n v="129.54750000000001" u="1"/>
        <n v="-1.605929103763319" u="1"/>
        <n v="-0.18931470399178818" u="1"/>
        <n v="4.7619047619047672E-2" u="1"/>
        <n v="136.81639999999999" u="1"/>
        <n v="42500" u="1"/>
        <n v="0.8342857142857143" u="1"/>
        <n v="27.4" u="1"/>
        <n v="121.3" u="1"/>
        <n v="103.6" u="1"/>
        <n v="0.26890756302521013" u="1"/>
        <n v="85.9" u="1"/>
        <n v="107.6562" u="1"/>
        <n v="0.88453881884538821" u="1"/>
        <n v="0.9029017857142857" u="1"/>
        <n v="114.625" u="1"/>
        <n v="106.5" u="1"/>
        <n v="115.99809999999999" u="1"/>
        <n v="0.88567674113009198" u="1"/>
        <n v="112.93170000000001" u="1"/>
        <n v="55800" u="1"/>
        <n v="0.89824561403508774" u="1"/>
        <n v="91.7" u="1"/>
        <n v="118.9927" u="1"/>
        <n v="-0.30548302872062671" u="1"/>
        <n v="0.82190378710337775" u="1"/>
        <n v="20" u="1"/>
        <n v="-0.22249388753056243" u="1"/>
        <n v="0.77606177606177607" u="1"/>
        <n v="0.81567796610169496" u="1"/>
        <n v="45400" u="1"/>
        <n v="0.80752212389380529" u="1"/>
        <n v="0.536936936936937" u="1"/>
        <n v="0.91229838709677424" u="1"/>
        <n v="157.80000000000001" u="1"/>
        <n v="61.6" u="1"/>
        <n v="109.4871" u="1"/>
        <n v="196.1" u="1"/>
        <n v="0.16051040967092012" u="1"/>
        <n v="0.54753521126760563" u="1"/>
        <n v="160.69999999999999" u="1"/>
        <n v="35000" u="1"/>
        <n v="0.67955112219451375" u="1"/>
        <n v="0.89439079515101705" u="1"/>
        <n v="156.47229999999999" u="1"/>
        <n v="0.67611846250787644" u="1"/>
        <n v="199" u="1"/>
        <n v="163.6" u="1"/>
        <n v="0.68034825870646776" u="1"/>
        <n v="0.81209503239740821" u="1"/>
        <n v="201.9" u="1"/>
        <n v="-2.1847496375103406" u="1"/>
        <n v="-1.7173451048016903" u="1"/>
        <n v="-0.51086559744433191" u="1"/>
        <n v="110.4" u="1"/>
        <n v="214.41669999999999" u="1"/>
        <n v="-2.4029246408356655" u="1"/>
        <n v="-1.8964238444885262" u="1"/>
        <n v="-0.47292358175256588" u="1"/>
        <n v="423.4" u="1"/>
        <n v="15900" u="1"/>
        <n v="0.15533980582524287" u="1"/>
        <n v="0.87177597641857041" u="1"/>
        <n v="113.3" u="1"/>
        <n v="95.6" u="1"/>
        <n v="136.9" u="1"/>
        <n v="-2.2598541342292879" u="1"/>
        <n v="358.4" u="1"/>
        <n v="110.2336" u="1"/>
        <n v="0.81987577639751552" u="1"/>
        <n v="232.3261" u="1"/>
        <n v="-3.3806016261157366" u="1"/>
        <n v="116.2" u="1"/>
        <n v="0.863849765258216" u="1"/>
        <n v="70900" u="1"/>
        <n v="98.5" u="1"/>
        <n v="31300" u="1"/>
        <n v="0.92516256031402611" u="1"/>
        <n v="80.8" u="1"/>
        <n v="0.85655399835119539" u="1"/>
        <n v="54.7" u="1"/>
        <n v="-2.2212178222364978" u="1"/>
        <n v="-0.23915737298636919" u="1"/>
        <n v="-3.6517852502468688" u="1"/>
        <n v="112.449" u="1"/>
        <n v="275.20710000000003" u="1"/>
        <n v="0.66427171783148276" u="1"/>
        <n v="18" u="1"/>
        <n v="5.7142857142857828E-3" u="1"/>
        <n v="61600" u="1"/>
        <n v="0.83682539682539681" u="1"/>
        <n v="96.965599999999995" u="1"/>
        <n v="0.83858998144712427" u="1"/>
        <n v="47.3" u="1"/>
        <n v="212.6" u="1"/>
        <n v="-1.6654734748089601" u="1"/>
        <n v="0.30913978494623662" u="1"/>
        <n v="177.2" u="1"/>
        <n v="0.84656084656084651" u="1"/>
        <n v="113.98099999999999" u="1"/>
        <n v="-2.3551405284894558" u="1"/>
        <n v="118.568" u="1"/>
        <n v="141.80000000000001" u="1"/>
        <n v="57.6" u="1"/>
        <n v="0.74529236868186333" u="1"/>
        <n v="144.69999999999999" u="1"/>
        <n v="77.796700000000001" u="1"/>
        <n v="0.717116125481563" u="1"/>
        <n v="39.9" u="1"/>
        <n v="0.82080329557157572" u="1"/>
        <n v="0.87668320340184269" u="1"/>
        <n v="112.1994" u="1"/>
        <n v="147.0515" u="1"/>
        <n v="116.73350000000001" u="1"/>
        <n v="120.1" u="1"/>
        <n v="185.9" u="1"/>
        <n v="243.0676" u="1"/>
        <n v="299.90899999999999" u="1"/>
        <n v="418.1" u="1"/>
        <n v="0.65801729873586168" u="1"/>
        <n v="0.89210747271200674" u="1"/>
        <n v="102.4" u="1"/>
        <n v="150.5" u="1"/>
        <n v="287.36099999999999" u="1"/>
        <n v="-2.972681021521185" u="1"/>
        <n v="0.83783783783783783" u="1"/>
        <n v="0.89014746740756567" u="1"/>
        <n v="0.89282735613010844" u="1"/>
        <n v="158.45859999999999" u="1"/>
        <n v="-1.4980463298911526" u="1"/>
        <n v="-2.2483988012444844" u="1"/>
        <n v="0.83765003158559703" u="1"/>
        <n v="123" u="1"/>
        <n v="23.4" u="1"/>
        <n v="105.3" u="1"/>
        <n v="106.9152" u="1"/>
        <n v="69.900000000000006" u="1"/>
        <n v="138.2218" u="1"/>
        <n v="403" u="1"/>
        <n v="108.2" u="1"/>
        <n v="332.2" u="1"/>
        <n v="54100" u="1"/>
        <n v="213.10589999999999" u="1"/>
        <n v="0.34854245880861856" u="1"/>
        <n v="-1.8087600174164771" u="1"/>
        <n v="-0.61900076152094341" u="1"/>
        <n v="-2.018489322058191" u="1"/>
        <n v="-2.4900077302277248" u="1"/>
        <n v="111.73050000000001" u="1"/>
        <n v="33300" u="1"/>
        <n v="-0.24588931692192051" u="1"/>
        <n v="107.73860000000001" u="1"/>
        <n v="119.7723" u="1"/>
        <n v="196.6" u="1"/>
        <n v="209.48859999999999" u="1"/>
        <n v="-2.7056549482738093" u="1"/>
        <n v="104.3595" u="1"/>
        <n v="126.9" u="1"/>
        <n v="199.5" u="1"/>
        <n v="-1.6810044967968278" u="1"/>
        <n v="0.89307260245475351" u="1"/>
        <n v="451.1" u="1"/>
        <n v="489.4" u="1"/>
        <n v="-0.44084842718849826" u="1"/>
        <n v="-0.48415422236943173" u="1"/>
        <n v="0.14046822742474918" u="1"/>
        <n v="-0.58978685612788628" u="1"/>
        <n v="112.1" u="1"/>
        <n v="140.47900000000001" u="1"/>
        <n v="-0.21951219512195119" u="1"/>
        <n v="0.24675324675324684" u="1"/>
        <n v="0.84987057808455568" u="1"/>
        <n v="94.4" u="1"/>
        <n v="134.5" u="1"/>
        <n v="0.68291178285009257" u="1"/>
        <n v="106.2685" u="1"/>
        <n v="-3.333071104387292" u="1"/>
        <n v="430.2" u="1"/>
        <n v="0.88967589611504616" u="1"/>
        <n v="-0.18632869012108477" u="1"/>
        <n v="0.83977900552486184" u="1"/>
        <n v="97.3" u="1"/>
        <n v="124.49809999999999" u="1"/>
        <n v="-2.38947428214377" u="1"/>
        <n v="4.9429657794676785E-2" u="1"/>
        <n v="0.88365776369397919" u="1"/>
        <n v="441.8" u="1"/>
        <n v="5.0025649307468778E-2" u="1"/>
        <n v="-2.367980199640455" u="1"/>
        <n v="0.67030147530468254" u="1"/>
        <n v="-2.1909261546853189" u="1"/>
        <n v="-0.35981559195960866" u="1"/>
        <n v="17.7" u="1"/>
        <n v="114.6155" u="1"/>
        <n v="0.74503968253968256" u="1"/>
        <n v="64.8" u="1"/>
        <n v="115.9243" u="1"/>
        <n v="306" u="1"/>
        <n v="0.51140684410646386" u="1"/>
        <n v="0.88668430335097004" u="1"/>
        <n v="81.125699999999995" u="1"/>
        <n v="0.91003102378490175" u="1"/>
        <n v="46.7" u="1"/>
        <n v="265.47469999999998" u="1"/>
        <n v="0.83692893401015223" u="1"/>
        <n v="177.7" u="1"/>
        <n v="-2.0171309530230297" u="1"/>
        <n v="13600" u="1"/>
        <n v="-2.5885973177234725" u="1"/>
        <n v="-2.3666753493200732" u="1"/>
        <n v="144.9819" u="1"/>
        <n v="39100" u="1"/>
        <n v="-2.3159210891914421" u="1"/>
        <n v="118.9" u="1"/>
        <n v="49.6" u="1"/>
        <n v="451.6" u="1"/>
        <n v="489.9" u="1"/>
        <n v="-0.30091120468912291" u="1"/>
        <n v="0.83723105706267542" u="1"/>
        <n v="26700" u="1"/>
        <n v="151" u="1"/>
        <n v="121.8" u="1"/>
        <n v="104.1" u="1"/>
        <n v="23.1" u="1"/>
        <n v="86.4" u="1"/>
        <n v="184.58199999999999" u="1"/>
        <n v="264.65050000000002" u="1"/>
        <n v="0.25641025641025639" u="1"/>
        <n v="102.9438" u="1"/>
        <n v="124.7" u="1"/>
        <n v="302.28359999999998" u="1"/>
        <n v="52400" u="1"/>
        <n v="-2.2232884889113365" u="1"/>
        <n v="0.88205598898577331" u="1"/>
        <n v="107" u="1"/>
        <n v="19.399999999999999" u="1"/>
        <n v="-2.9551655111158244" u="1"/>
        <n v="-0.50499015085212151" u="1"/>
        <n v="109.68819999999999" u="1"/>
        <n v="-2.1707092427210601" u="1"/>
        <n v="135.2835" u="1"/>
        <n v="0.21621621621621623" u="1"/>
        <n v="0.58273381294964033" u="1"/>
        <n v="0.85777531820697284" u="1"/>
        <n v="0.91985260248733303" u="1"/>
        <n v="82.625" u="1"/>
        <n v="92.2" u="1"/>
        <n v="74.5" u="1"/>
        <n v="60.4" u="1"/>
        <n v="536.46500000000003" u="1"/>
        <n v="104.699" u="1"/>
        <n v="278.42059999999998" u="1"/>
        <n v="0.82024793388429751" u="1"/>
        <n v="0.54513274336283191" u="1"/>
        <n v="0.88708630759247242" u="1"/>
        <n v="0.74144869215291753" u="1"/>
        <n v="101.77379999999999" u="1"/>
        <n v="197.1" u="1"/>
        <n v="161.69999999999999" u="1"/>
        <n v="-7.8748651564185534E-2" u="1"/>
        <n v="0.73023255813953492" u="1"/>
        <n v="277.77409999999998" u="1"/>
        <n v="0.50568181818181834" u="1"/>
        <n v="0.92513356521536483" u="1"/>
        <n v="109.827" u="1"/>
        <n v="118.32899999999999" u="1"/>
        <n v="224.99799999999999" u="1"/>
        <n v="-0.49155485490648299" u="1"/>
        <n v="110.9" u="1"/>
        <n v="45.6" u="1"/>
        <n v="101.84950000000001" u="1"/>
        <n v="106.83750000000001" u="1"/>
        <n v="0.84394618834080715" u="1"/>
        <n v="0.846830985915493" u="1"/>
        <n v="170.4" u="1"/>
        <n v="355.78" u="1"/>
        <n v="-2.2555737218949652" u="1"/>
        <n v="7.0191261657477133E-2" u="1"/>
        <n v="-2.9426953534957532" u="1"/>
        <n v="113.8" u="1"/>
        <n v="-0.47978042607855698" u="1"/>
        <n v="-9.2896174863388081E-2" u="1"/>
        <n v="0.8857269897732325" u="1"/>
        <n v="96.1" u="1"/>
        <n v="128.24180000000001" u="1"/>
        <n v="0.19069767441860475" u="1"/>
        <n v="437" u="1"/>
        <n v="-1.4694116989775963" u="1"/>
        <n v="116.7" u="1"/>
        <n v="99" u="1"/>
        <n v="-1.7917574457002314" u="1"/>
        <n v="0.89505428226779249" u="1"/>
        <n v="0.90460526315789469" u="1"/>
        <n v="17.399999999999999" u="1"/>
        <n v="218.5967" u="1"/>
        <n v="237.7467" u="1"/>
        <n v="-2.6444591029023745" u="1"/>
        <n v="-5.1524710830704645E-2" u="1"/>
        <n v="0.57248157248157261" u="1"/>
        <n v="298.1336" u="1"/>
        <n v="-2.1179485393052935" u="1"/>
        <n v="-0.22527009193803615" u="1"/>
        <n v="0.8360446570972887" u="1"/>
        <n v="19200" u="1"/>
        <n v="-2.3559613729802082" u="1"/>
        <n v="-0.47730808240442801" u="1"/>
        <n v="0.88291571753986331" u="1"/>
        <n v="118.60899999999999" u="1"/>
        <n v="-0.22399020807833536" u="1"/>
        <n v="312.8" u="1"/>
        <n v="66.5" u="1"/>
        <n v="56.4" u="1"/>
        <n v="-2.0686972650692046" u="1"/>
        <n v="285.02210000000002" u="1"/>
        <n v="69900" u="1"/>
        <n v="0.19080716348250129" u="1"/>
        <n v="38.700000000000003" u="1"/>
        <n v="107.1995" u="1"/>
        <n v="-2.9866117404737436E-2" u="1"/>
        <n v="0.90625" u="1"/>
        <n v="181.1" u="1"/>
        <n v="0.91207680646791311" u="1"/>
        <n v="0.92399556203971445" u="1"/>
        <n v="0.51279620853080576" u="1"/>
        <n v="-0.19737528594935161" u="1"/>
        <n v="-0.17523980282022089" u="1"/>
        <n v="118.45399999999999" u="1"/>
        <n v="148.6" u="1"/>
        <n v="-2.1602083149439486" u="1"/>
        <n v="-2.003715001963212" u="1"/>
        <n v="0.91282565130260518" u="1"/>
        <n v="420.1" u="1"/>
        <n v="102.9" u="1"/>
        <n v="151.5" u="1"/>
        <n v="0.8370786516853933" u="1"/>
        <n v="41.6" u="1"/>
        <n v="-2.1414908085815818" u="1"/>
        <n v="97.758200000000002" u="1"/>
        <n v="355.1" u="1"/>
        <n v="123.5" u="1"/>
        <n v="0.89447752001642378" u="1"/>
        <n v="105.8" u="1"/>
        <n v="0.8178010471204189" u="1"/>
        <n v="0.91466405100539483" u="1"/>
        <n v="88.1" u="1"/>
        <n v="-2.3397388059701489" u="1"/>
        <n v="475.8" u="1"/>
        <n v="0.89097744360902253" u="1"/>
        <n v="0.81127982646420826" u="1"/>
        <n v="108.7" u="1"/>
        <n v="410.8" u="1"/>
        <n v="91" u="1"/>
        <n v="220.00800000000001" u="1"/>
        <n v="59.8" u="1"/>
        <n v="105.94" u="1"/>
        <n v="133.76609999999999" u="1"/>
        <n v="230.4845" u="1"/>
        <n v="0.85737704918032787" u="1"/>
        <n v="142.89859999999999" u="1"/>
        <n v="129.16650000000001" u="1"/>
        <n v="76.2" u="1"/>
        <n v="0.15942028985507251" u="1"/>
        <n v="0.87624466571834991" u="1"/>
        <n v="109.38849999999999" u="1"/>
        <n v="134.91480000000001" u="1"/>
        <n v="194.7" u="1"/>
        <n v="22100" u="1"/>
        <n v="0.89959607616849391" u="1"/>
        <n v="127.46550000000001" u="1"/>
        <n v="159.30000000000001" u="1"/>
        <n v="197.6" u="1"/>
        <n v="-1.8027813310745326" u="1"/>
        <n v="0.90147225368063422" u="1"/>
        <n v="34.700000000000003" u="1"/>
        <n v="81.647000000000006" u="1"/>
        <n v="200.5" u="1"/>
        <n v="-2.2815464569527317" u="1"/>
        <n v="0.82512562814070356" u="1"/>
        <n v="-1.8665082435531186" u="1"/>
        <n v="-0.19695655691611669" u="1"/>
        <n v="0.67051282051282057" u="1"/>
        <n v="112.6" u="1"/>
        <n v="130.77180000000001" u="1"/>
        <n v="0.13000000000000012" u="1"/>
        <n v="135.5" u="1"/>
        <n v="-2.4001291597021726" u="1"/>
        <n v="248.4786" u="1"/>
        <n v="361.4" u="1"/>
        <n v="0.81912681912681917" u="1"/>
        <n v="115.5" u="1"/>
        <n v="224.18049999999999" u="1"/>
        <n v="97.8" u="1"/>
        <n v="476.3" u="1"/>
        <n v="0.63213530655391126" u="1"/>
        <n v="0.83408650742414459" u="1"/>
        <n v="132.03649999999999" u="1"/>
        <n v="5.4820415879016982E-2" u="1"/>
        <n v="655.67100000000005" u="1"/>
        <n v="0.83963133640553" u="1"/>
        <n v="100.7" u="1"/>
        <n v="0.91381872213967308" u="1"/>
        <n v="46100" u="1"/>
        <n v="0.1613693161805404" u="1"/>
        <n v="55.8" u="1"/>
        <n v="-1.9477924079648523" u="1"/>
        <n v="0.9155749636098981" u="1"/>
        <n v="0.88082541154648741" u="1"/>
        <n v="0.17475089384574544" u="1"/>
        <n v="30200" u="1"/>
        <n v="68.2" u="1"/>
        <n v="214.1" u="1"/>
        <n v="-0.45091578876980964" u="1"/>
        <n v="79.013199999999998" u="1"/>
        <n v="0.66966580976863754" u="1"/>
        <n v="-1.2572930767392636" u="1"/>
        <n v="-0.81042198680185074" u="1"/>
        <n v="25000" u="1"/>
        <n v="0.65433759246805645" u="1"/>
        <n v="-2.1979348568825445" u="1"/>
        <n v="0.83798882681564246" u="1"/>
        <n v="-2.2291582108937416" u="1"/>
        <n v="119.4" u="1"/>
        <n v="453.6" u="1"/>
        <n v="-0.18896515995337371" u="1"/>
        <n v="117.8605" u="1"/>
        <n v="-2.0899460670549881" u="1"/>
        <n v="-0.58290837417863584" u="1"/>
        <n v="-6.2960256338187026E-3" u="1"/>
        <n v="0.8833144154370034" u="1"/>
        <n v="105.29600000000001" u="1"/>
        <n v="426.9" u="1"/>
        <n v="104.6" u="1"/>
        <n v="112.4123" u="1"/>
        <n v="-0.23304562268803952" u="1"/>
        <n v="0.68388683886838875" u="1"/>
        <n v="86.9" u="1"/>
        <n v="0.64624913971094289" u="1"/>
        <n v="0.81185944363103957" u="1"/>
        <n v="125.2" u="1"/>
        <n v="205.7167" u="1"/>
        <n v="0.77918781725888331" u="1"/>
        <n v="-2.398357299273191" u="1"/>
        <n v="-2.204317531918321" u="1"/>
        <n v="107.5" u="1"/>
        <n v="-2.4492924528301887" u="1"/>
        <n v="-2.2184755346596066" u="1"/>
        <n v="89.8" u="1"/>
        <n v="-0.34228187919463093" u="1"/>
        <n v="0.89530685920577613" u="1"/>
        <n v="121.367" u="1"/>
        <n v="-2.2520369512494209" u="1"/>
        <n v="0.8150903294367694" u="1"/>
        <n v="141.714" u="1"/>
        <n v="264.55380000000002" u="1"/>
        <n v="-0.63781063483574996" u="1"/>
        <n v="236.96350000000001" u="1"/>
        <n v="0.87954066088586824" u="1"/>
        <n v="92.7" u="1"/>
        <n v="270.2" u="1"/>
        <n v="0.5492227979274612" u="1"/>
        <n v="109.1909" u="1"/>
        <n v="0.7161789066813915" u="1"/>
        <n v="-1.7226989154859318E-3" u="1"/>
        <n v="0.84856396866840733" u="1"/>
        <n v="97.77" u="1"/>
        <n v="0.88229906114037093" u="1"/>
        <n v="0.58481421647819065" u="1"/>
        <n v="0.73694984646878203" u="1"/>
        <n v="0.84882710686359686" u="1"/>
        <n v="198.1" u="1"/>
        <n v="0.89015151515151514" u="1"/>
        <n v="162.69999999999999" u="1"/>
        <n v="-5.0251256281406143E-3" u="1"/>
        <n v="0.68193069306930698" u="1"/>
        <n v="0.89296126613910864" u="1"/>
        <n v="0.84376899696048635" u="1"/>
        <n v="0.89480048367593712" u="1"/>
        <n v="165.6" u="1"/>
        <n v="0.68961352657004826" u="1"/>
        <n v="130.19999999999999" u="1"/>
        <n v="203.9" u="1"/>
        <n v="0.81703470031545744" u="1"/>
        <n v="105.5748" u="1"/>
        <n v="454.1" u="1"/>
        <n v="111.4" u="1"/>
        <n v="122.96210000000001" u="1"/>
        <n v="175.09180000000001" u="1"/>
        <n v="232.73099999999999" u="1"/>
        <n v="0.88483083127940843" u="1"/>
        <n v="99.672700000000006" u="1"/>
        <n v="2.2482893450635366E-2" u="1"/>
        <n v="0.65246788370520625" u="1"/>
        <n v="137.86359999999999" u="1"/>
        <n v="37" u="1"/>
        <n v="389.1" u="1"/>
        <n v="-2.2697234132909569" u="1"/>
        <n v="-0.6653959815960766" u="1"/>
        <n v="136" u="1"/>
        <n v="114.3" u="1"/>
        <n v="22700" u="1"/>
        <n v="96.6" u="1"/>
        <n v="138.9" u="1"/>
        <n v="221.232" u="1"/>
        <n v="433.2" u="1"/>
        <n v="0.7260127931769722" u="1"/>
        <n v="0.86066684738411492" u="1"/>
        <n v="125.6377" u="1"/>
        <n v="0.9003103180760279" u="1"/>
        <n v="78.900000000000006" u="1"/>
        <n v="135.3974" u="1"/>
        <n v="439" u="1"/>
        <n v="477.3" u="1"/>
        <n v="-2.5174383475644082" u="1"/>
        <n v="0.58177379983726607" u="1"/>
        <n v="117.2" u="1"/>
        <n v="368.2" u="1"/>
        <n v="99.5" u="1"/>
        <n v="535.18799999999999" u="1"/>
        <n v="0.81449893390191896" u="1"/>
        <n v="81.8" u="1"/>
        <n v="374" u="1"/>
        <n v="0.88534463528886909" u="1"/>
        <n v="55.2" u="1"/>
        <n v="206.3236" u="1"/>
        <n v="-3.3386897404202713" u="1"/>
        <n v="109.0095" u="1"/>
        <n v="0.57937806873977094" u="1"/>
        <n v="84.7" u="1"/>
        <n v="34000" u="1"/>
        <n v="-0.65531437194962927" u="1"/>
        <n v="-0.21802679658952506" u="1"/>
        <n v="211.7" u="1"/>
        <n v="67" u="1"/>
        <n v="176.3" u="1"/>
        <n v="47.8" u="1"/>
        <n v="0.92902420519347029" u="1"/>
        <n v="179.2" u="1"/>
        <n v="-3.0090270812437314E-3" u="1"/>
        <n v="0.83301343570057584" u="1"/>
        <n v="-0.52698257801677362" u="1"/>
        <n v="0.71890145395799676" u="1"/>
        <n v="182.1" u="1"/>
        <n v="66000" u="1"/>
        <n v="487.1" u="1"/>
        <n v="0.58173076923076927" u="1"/>
        <n v="454.6" u="1"/>
        <n v="-1.890054891830804" u="1"/>
        <n v="187.9" u="1"/>
        <n v="47300" u="1"/>
        <n v="-0.54413876805312222" u="1"/>
        <n v="0.49409448818897639" u="1"/>
        <n v="234.03" u="1"/>
        <n v="-1.9248685720821368" u="1"/>
        <n v="0.83927454659161982" u="1"/>
        <n v="0.83567774936061379" u="1"/>
        <n v="108.7473" u="1"/>
        <n v="255.03100000000001" u="1"/>
        <n v="90.139499999999998" u="1"/>
        <n v="0.84922010398613523" u="1"/>
        <n v="36900" u="1"/>
        <n v="-0.23039384150113396" u="1"/>
        <n v="124" u="1"/>
        <n v="0.91203235591506571" u="1"/>
        <n v="106.3" u="1"/>
        <n v="136.709" u="1"/>
        <n v="472" u="1"/>
        <n v="-3.2441003780357551" u="1"/>
        <n v="5.6880733944954187E-2" u="1"/>
        <n v="0.9111791730474732" u="1"/>
        <n v="133.64259999999999" u="1"/>
        <n v="-1.9724252389638268" u="1"/>
        <n v="125.4614" u="1"/>
        <n v="109.2" u="1"/>
        <n v="0.74816266536011766" u="1"/>
        <n v="60600" u="1"/>
        <n v="91.5" u="1"/>
        <n v="-2.236880291845416" u="1"/>
        <n v="73.8" u="1"/>
        <n v="251.47800000000001" u="1"/>
        <n v="20400" u="1"/>
        <n v="0.76867686768676868" u="1"/>
        <n v="0.88522427440633245" u="1"/>
        <n v="117.01739999999999" u="1"/>
        <n v="0.89871944121071012" u="1"/>
        <n v="0.90832455216016861" u="1"/>
        <n v="126.37430000000001" u="1"/>
        <n v="-0.4222409371964746" u="1"/>
        <n v="0.88931297709923662" u="1"/>
        <n v="0.89158405399704699" u="1"/>
        <n v="0.9178082191780822" u="1"/>
        <n v="0.88788659793814428" u="1"/>
        <n v="0.88582677165354329" u="1"/>
        <n v="-2.6586786571968726" u="1"/>
        <n v="4.9907578558225585E-2" u="1"/>
        <n v="61.5" u="1"/>
        <n v="0.8926588525601481" u="1"/>
        <n v="198.6" u="1"/>
        <n v="0.87776456599286568" u="1"/>
        <n v="127.9" u="1"/>
        <n v="201.5" u="1"/>
        <n v="0.75335892514395397" u="1"/>
        <n v="54.1" u="1"/>
        <n v="105.589" u="1"/>
        <n v="-1.2593914120155043" u="1"/>
        <n v="0.77946768060836502" u="1"/>
        <n v="0.83403293509848242" u="1"/>
        <n v="0.87245657568238211" u="1"/>
        <n v="138.44049999999999" u="1"/>
        <n v="0.87062673043040528" u="1"/>
        <n v="113.1" u="1"/>
        <n v="118.76" u="1"/>
        <n v="390.1" u="1"/>
        <n v="95.4" u="1"/>
        <n v="301.2405" u="1"/>
        <n v="395.9" u="1"/>
        <n v="-2.3244994493525013" u="1"/>
        <n v="0.80045871559633031" u="1"/>
        <n v="-1.7377462113391413" u="1"/>
        <n v="14500" u="1"/>
        <n v="0.80182232346241455" u="1"/>
        <n v="116" u="1"/>
        <n v="98.3" u="1"/>
        <n v="440" u="1"/>
        <n v="-0.48471985150313257" u="1"/>
        <n v="42700" u="1"/>
        <n v="0.57869249394673128" u="1"/>
        <n v="0.69639692852923807" u="1"/>
        <n v="0.7267410951621478" u="1"/>
        <n v="-2.6602758548771472" u="1"/>
        <n v="-2.2715728989999415" u="1"/>
        <n v="0.88688380281690138" u="1"/>
        <n v="342.5" u="1"/>
        <n v="-2.0282730165496869" u="1"/>
        <n v="0.78465346534653468" u="1"/>
        <n v="65.8" u="1"/>
        <n v="-1.8165291128664922" u="1"/>
        <n v="0.81645569620253167" u="1"/>
        <n v="104.6485" u="1"/>
        <n v="121.505" u="1"/>
        <n v="315.8" u="1"/>
        <n v="-0.54639576017519076" u="1"/>
        <n v="47.2" u="1"/>
        <n v="110.161" u="1"/>
        <n v="-1.995745108129479" u="1"/>
        <n v="0.11738746690202995" u="1"/>
        <n v="0.54633715798764348" u="1"/>
        <n v="0.65338645418326702" u="1"/>
        <n v="176.8" u="1"/>
        <n v="0.80970011106997408" u="1"/>
        <n v="108.0264" u="1"/>
        <n v="133.0215" u="1"/>
        <n v="133.6986" u="1"/>
        <n v="39.799999999999997" u="1"/>
        <n v="182.6" u="1"/>
        <n v="4.3956043956044022E-2" u="1"/>
        <n v="0.68212739641311071" u="1"/>
        <n v="0.89110169491525426" u="1"/>
        <n v="50.1" u="1"/>
        <n v="188.4" u="1"/>
        <n v="124.7871" u="1"/>
        <n v="32.4" u="1"/>
        <n v="116.66840000000001" u="1"/>
        <n v="153" u="1"/>
        <n v="0.88690869086908686" u="1"/>
        <n v="0.90295593976575572" u="1"/>
        <n v="105.1" u="1"/>
        <n v="155.9" u="1"/>
        <n v="130.77099999999999" u="1"/>
        <n v="165.876" u="1"/>
        <n v="-3.5625079648273221" u="1"/>
        <n v="125.7" u="1"/>
        <n v="-2.9224408051291264" u="1"/>
        <n v="440.5" u="1"/>
        <n v="108" u="1"/>
        <n v="118.5774" u="1"/>
        <n v="-1.973723882735507" u="1"/>
        <n v="106.0129" u="1"/>
        <n v="446.3" u="1"/>
        <n v="0.63368421052631585" u="1"/>
        <n v="0.65340525960890083" u="1"/>
        <n v="0.65612648221343872" u="1"/>
        <n v="93.2" u="1"/>
        <n v="0.48599999999999999" u="1"/>
        <n v="0.81004366812227069" u="1"/>
        <n v="-2.8496111894849121" u="1"/>
        <n v="0.86040195545898968" u="1"/>
        <n v="60.9" u="1"/>
        <n v="94.738299999999995" u="1"/>
        <n v="-1.4299840566656914" u="1"/>
        <n v="160.80000000000001" u="1"/>
        <n v="-0.52507479051626871" u="1"/>
        <n v="-8.5776330076004381E-2" u="1"/>
        <n v="0.74053508329126705" u="1"/>
        <n v="0.91220988900100908" u="1"/>
        <n v="163.69999999999999" u="1"/>
        <n v="0.83768656716417911" u="1"/>
        <n v="0.8328998699609883" u="1"/>
        <n v="0.23308558879418301" u="1"/>
        <n v="0.66228646517739809" u="1"/>
        <n v="0.92090082144951513" u="1"/>
        <n v="131.19999999999999" u="1"/>
        <n v="111.9" u="1"/>
        <n v="0.82494969818913488" u="1"/>
        <n v="121.9995" u="1"/>
        <n v="0.88987341772151896" u="1"/>
        <n v="240.37450000000001" u="1"/>
        <n v="-4.6025104602510414E-2" u="1"/>
        <n v="114.8" u="1"/>
        <n v="203.37700000000001" u="1"/>
        <n v="0.89679715302491103" u="1"/>
        <n v="91.274799999999999" u="1"/>
        <n v="97.1" u="1"/>
        <n v="85.372699999999995" u="1"/>
        <n v="79.400000000000006" u="1"/>
        <n v="-1.9465454096539236" u="1"/>
        <n v="0.10296684118673649" u="1"/>
        <n v="117.7" u="1"/>
        <n v="120.39449999999999" u="1"/>
        <n v="446.8" u="1"/>
        <n v="0.48804780876494025" u="1"/>
        <n v="0.84109589041095889" u="1"/>
        <n v="100" u="1"/>
        <n v="112.417" u="1"/>
        <n v="117.9295" u="1"/>
        <n v="167.03139999999999" u="1"/>
        <n v="-1.9106417850505428" u="1"/>
        <n v="-2.3450434457628702" u="1"/>
        <n v="0.9020821609454136" u="1"/>
        <n v="0.86563706563706566" u="1"/>
        <n v="209.8" u="1"/>
        <n v="226.17859999999999" u="1"/>
        <n v="212.7" u="1"/>
        <n v="0.5431111111111111" u="1"/>
        <n v="56.9" u="1"/>
        <n v="107.97" u="1"/>
        <n v="-0.4054081638661482" u="1"/>
        <n v="0.89176668772373135" u="1"/>
        <n v="103.9075" u="1"/>
        <n v="14800" u="1"/>
        <n v="0.83491461100569264" u="1"/>
        <n v="39.200000000000003" u="1"/>
        <n v="6.2043795620437936E-2" u="1"/>
        <n v="0.56500000000000006" u="1"/>
        <n v="118.6117" u="1"/>
        <n v="-2.5736816047529305" u="1"/>
        <n v="0.90354767184035478" u="1"/>
        <n v="0.90877515560580213" u="1"/>
        <n v="-2.3062323615892666" u="1"/>
        <n v="109.101" u="1"/>
        <n v="147.69999999999999" u="1"/>
        <n v="-0.79282958304017859" u="1"/>
        <n v="-0.23189295929922271" u="1"/>
        <n v="0.54392191659272404" u="1"/>
        <n v="0.21266968325791868" u="1"/>
        <n v="-1.5619062952825629" u="1"/>
        <n v="0.51463644948064213" u="1"/>
        <n v="10.220569517532436" u="1"/>
        <n v="29100" u="1"/>
        <n v="0.9209119668375696" u="1"/>
        <n v="188.9" u="1"/>
        <n v="0.39714003231329431" u="1"/>
        <n v="235.03" u="1"/>
        <n v="0.90402647545504689" u="1"/>
        <n v="103.9" u="1"/>
        <n v="85800" u="1"/>
        <n v="0.84527393136664664" u="1"/>
        <n v="154.1771" u="1"/>
        <n v="23900" u="1"/>
        <n v="0.59206349206349207" u="1"/>
        <n v="0.88511399195350915" u="1"/>
        <n v="-2.2788446656268975" u="1"/>
        <n v="28.2" u="1"/>
        <n v="124.5" u="1"/>
        <n v="357.41300000000001" u="1"/>
        <n v="0.6189770200148258" u="1"/>
        <n v="106.8" u="1"/>
        <n v="326.60000000000002" u="1"/>
        <n v="0.89655172413793105" u="1"/>
        <n v="370.7" u="1"/>
        <n v="447.3" u="1"/>
        <n v="-9.8901098901098994E-2" u="1"/>
        <n v="0.90842105263157891" u="1"/>
        <n v="-3.4939673741131818" u="1"/>
        <n v="-2.9801714046218546" u="1"/>
        <n v="92" u="1"/>
        <n v="260.4778" u="1"/>
        <n v="-3.5497001559265424" u="1"/>
        <n v="0.84547069271758435" u="1"/>
        <n v="273.2" u="1"/>
        <n v="338.02100000000002" u="1"/>
        <n v="-0.19376210783937786" u="1"/>
        <n v="229.2" u="1"/>
        <n v="0.74782608695652175" u="1"/>
        <n v="193.8" u="1"/>
        <n v="-1.7115229500933453" u="1"/>
        <n v="-0.19176569198106308" u="1"/>
        <n v="4.6711153479504386E-2" u="1"/>
        <n v="-2.1838433423151828" u="1"/>
        <n v="142.44499999999999" u="1"/>
        <n v="0.41414141414141414" u="1"/>
        <n v="127.69889999999999" u="1"/>
        <n v="-2.3331533406944116" u="1"/>
        <n v="0.3012048192771084" u="1"/>
        <n v="52.9" u="1"/>
        <n v="161.30000000000001" u="1"/>
        <n v="-3.010646663843688" u="1"/>
        <n v="0.92134953352137128" u="1"/>
        <n v="199.6" u="1"/>
        <n v="0.85368630799886136" u="1"/>
        <n v="119.12" u="1"/>
        <n v="305.67" u="1"/>
        <n v="0.8143009605122733" u="1"/>
        <n v="0.8823260073260073" u="1"/>
        <n v="35.200000000000003" u="1"/>
        <n v="0.83444338725023792" u="1"/>
        <n v="128.80000000000001" u="1"/>
        <n v="489.6" u="1"/>
        <n v="-2.0595449907449663" u="1"/>
        <n v="0.46458333333333335" u="1"/>
        <n v="0.87487828627069131" u="1"/>
        <n v="0.72645023948908993" u="1"/>
        <n v="45.5" u="1"/>
        <n v="49700" u="1"/>
        <n v="0.15363260884284646" u="1"/>
        <n v="0.86055344546934354" u="1"/>
        <n v="-2.5775633358214991" u="1"/>
        <n v="0.20801232665639457" u="1"/>
        <n v="0.70812038614423622" u="1"/>
        <n v="0.89364303178484106" u="1"/>
        <n v="113.6" u="1"/>
        <n v="0.21973094170403595" u="1"/>
        <n v="0.5824532900081234" u="1"/>
        <n v="95.9" u="1"/>
        <n v="140.4" u="1"/>
        <n v="-2.2573035036801832" u="1"/>
        <n v="0.7215601300108343" u="1"/>
        <n v="159.255" u="1"/>
        <n v="-1.5054129291679557" u="1"/>
        <n v="116.5" u="1"/>
        <n v="98.8" u="1"/>
        <n v="236.12110000000001" u="1"/>
        <n v="81.099999999999994" u="1"/>
        <n v="-1.8863060490531751" u="1"/>
        <n v="101.7" u="1"/>
        <n v="0.75107296137339064" u="1"/>
        <n v="129.065" u="1"/>
        <n v="-2.3141898646997401" u="1"/>
        <n v="317.8" u="1"/>
        <n v="16400" u="1"/>
        <n v="0.84560780834072757" u="1"/>
        <n v="128.68049999999999" u="1"/>
        <n v="-0.14810562571756614" u="1"/>
        <n v="0.82558534102477099" u="1"/>
        <n v="0.92698739063844071" u="1"/>
        <n v="678.94299999999998" u="1"/>
        <n v="0.8565848214285714" u="1"/>
        <n v="69.2" u="1"/>
        <n v="0.60155038759689927" u="1"/>
        <n v="684.56399999999996" u="1"/>
        <n v="108.13679999999999" u="1"/>
        <n v="145.30000000000001" u="1"/>
        <n v="-2.8531659846872111" u="1"/>
        <n v="0.61148904006046867" u="1"/>
        <n v="134.48050000000001" u="1"/>
        <n v="123.60760000000001" u="1"/>
        <n v="490.1" u="1"/>
        <n v="0.85166240409207161" u="1"/>
        <n v="120.4" u="1"/>
        <n v="-1.9861128487426498" u="1"/>
        <n v="-0.34424791653212439" u="1"/>
        <n v="-0.23456790123456783" u="1"/>
        <n v="0.73935091277890463" u="1"/>
        <n v="109.36239999999999" u="1"/>
        <n v="151.1" u="1"/>
        <n v="123.90770000000001" u="1"/>
        <n v="41.5" u="1"/>
        <n v="0.15460526315789469" u="1"/>
        <n v="121.6079" u="1"/>
        <n v="127.3625" u="1"/>
        <n v="0.88888888888888884" u="1"/>
        <n v="105.6" u="1"/>
        <n v="0.86749162155194637" u="1"/>
        <n v="87.9" u="1"/>
        <n v="436.7" u="1"/>
        <n v="126.2" u="1"/>
        <n v="45100" u="1"/>
        <n v="0.58346839546191254" u="1"/>
        <n v="108.5" u="1"/>
        <n v="0.72615876398508261" u="1"/>
        <n v="448.3" u="1"/>
        <n v="12500" u="1"/>
        <n v="0.27092198581560289" u="1"/>
        <n v="0.48341708542713568" u="1"/>
        <n v="-0.2433469028847508" u="1"/>
        <n v="93.7" u="1"/>
        <n v="100.0737" u="1"/>
        <n v="20.5" u="1"/>
        <n v="3.8674033149171394E-2" u="1"/>
        <n v="0.63598326359832635" u="1"/>
        <n v="76" u="1"/>
        <n v="-0.56012916101986643" u="1"/>
        <n v="0.68014934660858739" u="1"/>
        <n v="194.3" u="1"/>
        <n v="-1.3337948513364464" u="1"/>
        <n v="0.8930547019053473" u="1"/>
        <n v="145.68100000000001" u="1"/>
        <n v="-0.17622901673732949" u="1"/>
        <n v="197.2" u="1"/>
        <n v="291.18900000000002" u="1"/>
        <n v="0.15121951219512197" u="1"/>
        <n v="0.79261025029797383" u="1"/>
        <n v="161.80000000000001" u="1"/>
        <n v="62.6" u="1"/>
        <n v="131.75360000000001" u="1"/>
        <n v="19300" u="1"/>
        <n v="0.55612244897959195" u="1"/>
        <n v="0.88605630680558634" u="1"/>
        <n v="299.00400000000002" u="1"/>
        <n v="-0.55338238797072337" u="1"/>
        <n v="0.10769230769230775" u="1"/>
        <n v="132.19999999999999" u="1"/>
        <n v="0.85898491083676265" u="1"/>
        <n v="105.26600000000001" u="1"/>
        <n v="106.5748" u="1"/>
        <n v="107.8659" u="1"/>
        <n v="-0.48541902035034834" u="1"/>
        <n v="0.65410497981157467" u="1"/>
        <n v="112.4" u="1"/>
        <n v="170.5" u="1"/>
        <n v="-1.1368982923077748" u="1"/>
        <n v="135.1" u="1"/>
        <n v="502.2" u="1"/>
        <n v="-2.2936795244854831" u="1"/>
        <n v="0.8176100628930818" u="1"/>
        <n v="93.001599999999996" u="1"/>
        <n v="469.7" u="1"/>
        <n v="115.3" u="1"/>
        <n v="290.98" u="1"/>
        <n v="97.6" u="1"/>
        <n v="0.86694279057727153" u="1"/>
        <n v="0.90306406685236773" u="1"/>
        <n v="211.864" u="1"/>
        <n v="515.6" u="1"/>
        <n v="-0.50770084674992799" u="1"/>
        <n v="79.900000000000006" u="1"/>
        <n v="118.2" u="1"/>
        <n v="22.2" u="1"/>
        <n v="0.81548250265111344" u="1"/>
        <n v="-2.2992460998731059" u="1"/>
        <n v="-0.48506103757658203" u="1"/>
        <n v="0.91180942726811964" u="1"/>
        <n v="-0.12739571589627952" u="1"/>
        <n v="55.7" u="1"/>
        <n v="240.51599999999999" u="1"/>
        <n v="-3.3057851239669533E-2" u="1"/>
        <n v="116.67189999999999" u="1"/>
        <n v="351.3" u="1"/>
        <n v="-2.0192937271351874" u="1"/>
        <n v="107.02" u="1"/>
        <n v="-2.3255802720507091" u="1"/>
        <n v="141.48519999999999" u="1"/>
        <n v="-2.6922372470236868" u="1"/>
        <n v="6.9518716577540163E-2" u="1"/>
        <n v="0.83615819209039555" u="1"/>
        <n v="-2.2729217422306731" u="1"/>
        <n v="108.0804" u="1"/>
        <n v="-1.8362288185944817" u="1"/>
        <n v="-9.7694840834248176E-2" u="1"/>
        <n v="58.6" u="1"/>
        <n v="148.69999999999999" u="1"/>
        <n v="-2.1451364236525645" u="1"/>
        <n v="-0.36700300189307855" u="1"/>
        <n v="-0.93679686840687348" u="1"/>
        <n v="151.6" u="1"/>
        <n v="122.1" u="1"/>
        <n v="189.9" u="1"/>
        <n v="-1.5901847610145432" u="1"/>
        <n v="0.83202614379084971" u="1"/>
        <n v="-0.6800097979455284" u="1"/>
        <n v="104.4" u="1"/>
        <n v="154.5" u="1"/>
        <n v="184.85159999999999" u="1"/>
        <n v="0.80471124620060785" u="1"/>
        <n v="125" u="1"/>
        <n v="248.316" u="1"/>
        <n v="-1.4943166894602893" u="1"/>
        <n v="0.90956340956340953" u="1"/>
        <n v="107.3" u="1"/>
        <n v="0.89179104477611948" u="1"/>
        <n v="0.81837160751565763" u="1"/>
        <n v="-2.4014762342251097" u="1"/>
        <n v="0.91063174114021572" u="1"/>
        <n v="110.2" u="1"/>
        <n v="264.08789999999999" u="1"/>
        <n v="0.88618246235606735" u="1"/>
        <n v="9.0019245698184776" u="1"/>
        <n v="20.2" u="1"/>
        <n v="-1.3642107543127926" u="1"/>
        <n v="0.92429408654334755" u="1"/>
        <n v="96.644499999999994" u="1"/>
        <n v="99.940399999999997" u="1"/>
        <n v="0.17660233186219609" u="1"/>
        <n v="0.81489361702127661" u="1"/>
        <n v="0.90230207748455926" u="1"/>
        <n v="313.5" u="1"/>
        <n v="0.29492455418381347" u="1"/>
        <n v="77.7" u="1"/>
        <n v="0.82924435721295386" u="1"/>
        <n v="0.84736842105263155" u="1"/>
        <n v="197.7" u="1"/>
        <n v="-2.332722058129479" u="1"/>
        <n v="-2.0276532769556024" u="1"/>
        <n v="79.315200000000004" u="1"/>
        <n v="112.7218" u="1"/>
        <n v="143.98089999999999" u="1"/>
        <n v="2.8355387523629538E-2" u="1"/>
        <n v="149.0395" u="1"/>
        <n v="0.55187445510026156" u="1"/>
        <n v="-1.2145748987854255E-2" u="1"/>
        <n v="12800" u="1"/>
        <n v="7.2202166064981976E-2" u="1"/>
        <n v="0.89449917898193765" u="1"/>
        <n v="0.90273896031302403" u="1"/>
        <n v="203.5" u="1"/>
        <n v="54.6" u="1"/>
        <n v="103.7533" u="1"/>
        <n v="106.0468" u="1"/>
        <n v="6.5656329711194394E-2" u="1"/>
        <n v="0.87959709533848673" u="1"/>
        <n v="-1.6909429273869319" u="1"/>
        <n v="0.88857576414480821" u="1"/>
        <n v="291.0872" u="1"/>
        <n v="0.73229166666666667" u="1"/>
        <n v="36.9" u="1"/>
        <n v="171" u="1"/>
        <n v="135.6" u="1"/>
        <n v="426.6" u="1"/>
        <n v="-2.1167542297999034" u="1"/>
        <n v="-1.6789362074667808" u="1"/>
        <n v="0.89574595566207316" u="1"/>
        <n v="109.11199999999999" u="1"/>
        <n v="114.1" u="1"/>
        <n v="296.3741" u="1"/>
        <n v="-2.6623014744543165" u="1"/>
        <n v="107.7377" u="1"/>
        <n v="0.51417769376181477" u="1"/>
        <n v="0.37997587454764781" u="1"/>
        <n v="117" u="1"/>
        <n v="21.9" u="1"/>
        <n v="-2.1699877369057159" u="1"/>
        <n v="81.599999999999994" u="1"/>
        <n v="123.29049999999999" u="1"/>
        <n v="449.8" u="1"/>
        <n v="-1.5485659778329852" u="1"/>
        <n v="0.89636688505062534" u="1"/>
        <n v="102.2" u="1"/>
        <n v="-0.28888906489121924" u="1"/>
        <n v="-1.9966603332970627" u="1"/>
        <n v="18.2" u="1"/>
        <n v="38800" u="1"/>
        <n v="291.05239999999998" u="1"/>
        <n v="314" u="1"/>
        <n v="0.20909090909090911" u="1"/>
        <n v="0.83754740834386854" u="1"/>
        <n v="319.8" u="1"/>
        <n v="-3.6516825027252402" u="1"/>
        <n v="-3.582051902277203" u="1"/>
        <n v="0.87798036465638152" u="1"/>
        <n v="217.1" u="1"/>
        <n v="10.313448056202981" u="1"/>
        <n v="107.87649999999999" u="1"/>
        <n v="181.7" u="1"/>
        <n v="-1.5860929424554233" u="1"/>
        <n v="184.6" u="1"/>
        <n v="0.24633431085043989" u="1"/>
        <n v="104.191" u="1"/>
        <n v="117.8991" u="1"/>
        <n v="233.56569999999999" u="1"/>
        <n v="120.9" u="1"/>
        <n v="50.6" u="1"/>
        <n v="265.22000000000003" u="1"/>
        <n v="117.2145" u="1"/>
        <n v="32.9" u="1"/>
        <n v="123.8" u="1"/>
        <n v="106.1" u="1"/>
        <n v="0.53859964093357271" u="1"/>
        <n v="0.59875097580015613" u="1"/>
        <n v="362.1" u="1"/>
        <n v="-2.3498884680449716" u="1"/>
        <n v="518.6" u="1"/>
        <n v="-0.28205128205128216" u="1"/>
        <n v="-0.26742712294043081" u="1"/>
        <n v="0.72186147186147187" u="1"/>
        <n v="109" u="1"/>
        <n v="-1.9637907912382655" u="1"/>
        <n v="19.899999999999999" u="1"/>
        <n v="81400" u="1"/>
        <n v="0.5402504472271914" u="1"/>
        <n v="73.599999999999994" u="1"/>
        <n v="0.84803493449781664" u="1"/>
        <n v="-2.946598233389663" u="1"/>
        <n v="0.87034277198211618" u="1"/>
        <n v="0.51600753295668556" u="1"/>
        <n v="0.8356940509915014" u="1"/>
        <n v="-2.1236612849047467" u="1"/>
        <n v="0.76497485139460442" u="1"/>
        <n v="94.2" u="1"/>
        <n v="0.90837282780410744" u="1"/>
        <n v="76.5" u="1"/>
        <n v="-0.16009280742459397" u="1"/>
        <n v="-4.2752867570385655E-2" u="1"/>
        <n v="-3.6019946861499266" u="1"/>
        <n v="-2.2812156316445487" u="1"/>
        <n v="0.73103087388801669" u="1"/>
        <n v="198.2" u="1"/>
        <n v="242.26089999999999" u="1"/>
        <n v="44600" u="1"/>
        <n v="7.0631970260223054E-2" u="1"/>
        <n v="0.79619349722442512" u="1"/>
        <n v="0.8371356147021547" u="1"/>
        <n v="-2.3677806060537647" u="1"/>
        <n v="-0.25313283208020065" u="1"/>
        <n v="110.9141" u="1"/>
        <n v="201.1" u="1"/>
        <n v="223.78800000000001" u="1"/>
        <n v="0.75732217573221761" u="1"/>
        <n v="90.519599999999997" u="1"/>
        <n v="165.7" u="1"/>
        <n v="-1.7961683699170958" u="1"/>
        <n v="0.88049450549450547" u="1"/>
        <n v="168.6" u="1"/>
        <n v="133.19999999999999" u="1"/>
        <n v="-2.2279033955105794" u="1"/>
        <n v="112.9" u="1"/>
        <n v="171.5" u="1"/>
        <n v="301.03050000000002" u="1"/>
        <n v="46.6" u="1"/>
        <n v="465.9" u="1"/>
        <n v="0.83553875236294894" u="1"/>
        <n v="0.85967741935483866" u="1"/>
        <n v="0.89460734057822433" u="1"/>
        <n v="115.8" u="1"/>
        <n v="280.22649999999999" u="1"/>
        <n v="0.81148429035752978" u="1"/>
        <n v="8.8652482269503508E-2" u="1"/>
        <n v="80.400000000000006" u="1"/>
        <n v="-1.7626939854573118" u="1"/>
        <n v="-0.18339440034508225" u="1"/>
        <n v="0.89252625077208159" u="1"/>
        <n v="90.805899999999994" u="1"/>
        <n v="13100" u="1"/>
        <n v="0.90257558790593506" u="1"/>
        <n v="101" u="1"/>
        <n v="9.4202898550724723E-2" u="1"/>
        <n v="0.81045751633986929" u="1"/>
        <n v="17.899999999999999" u="1"/>
        <n v="83.3" u="1"/>
        <n v="-2.2068748690002091" u="1"/>
        <n v="153.4068" u="1"/>
        <n v="-2.2737028448534415" u="1"/>
        <n v="129.73410000000001" u="1"/>
        <n v="-0.13765642775881681" u="1"/>
        <n v="0.68923821039903266" u="1"/>
        <n v="211.8" u="1"/>
        <n v="315" u="1"/>
        <n v="0.23008849557522137" u="1"/>
        <n v="86.2" u="1"/>
        <n v="263.28570000000002" u="1"/>
        <n v="25700" u="1"/>
        <n v="-3.5311416320311038" u="1"/>
        <n v="0.85714285714285721" u="1"/>
        <n v="114.8721" u="1"/>
        <n v="-2.3252435976382801" u="1"/>
        <n v="179.3" u="1"/>
        <n v="0.82208588957055218" u="1"/>
        <n v="-0.7352353293564089" u="1"/>
        <n v="0.11683848797250862" u="1"/>
        <n v="0.54872695346795441" u="1"/>
        <n v="0.80068728522336774" u="1"/>
        <n v="110.1073" u="1"/>
        <n v="146.80000000000001" u="1"/>
        <n v="-8.1270452009223337E-2" u="1"/>
        <n v="0.82043343653250778" u="1"/>
        <n v="133.5395" u="1"/>
        <n v="50" u="1"/>
        <n v="120.1476" u="1"/>
        <n v="188" u="1"/>
        <n v="0.54148082069580727" u="1"/>
        <n v="297.97620000000001" u="1"/>
        <n v="0.66731391585760513" u="1"/>
        <n v="122.6" u="1"/>
        <n v="-1.4679120424622596" u="1"/>
        <n v="0.42182227221597302" u="1"/>
        <n v="104.9" u="1"/>
        <n v="0.34698995017533318" u="1"/>
        <n v="0.89471528062269567" u="1"/>
        <n v="158.4" u="1"/>
        <n v="-1.9033929685048117" u="1"/>
        <n v="0.89794721407624634" u="1"/>
        <n v="121.0605" u="1"/>
        <n v="-5.7082452431289621E-2" u="1"/>
        <n v="125.5" u="1"/>
        <n v="439.7" u="1"/>
        <n v="0.10763888888888895" u="1"/>
        <n v="107.8" u="1"/>
        <n v="144.54949999999999" u="1"/>
        <n v="368.9" u="1"/>
        <n v="-1.6442162109464435" u="1"/>
        <n v="0.91885372199348303" u="1"/>
        <n v="451.3" u="1"/>
        <n v="0.8602409638554217" u="1"/>
        <n v="110.7" u="1"/>
        <n v="108.7835" u="1"/>
        <n v="134.3176" u="1"/>
        <n v="309.7" u="1"/>
        <n v="386.3" u="1"/>
        <n v="60.8" u="1"/>
        <n v="-4.8218029350104663E-2" u="1"/>
        <n v="0.22706766917293231" u="1"/>
        <n v="195.8" u="1"/>
        <n v="-0.18335997948075877" u="1"/>
        <n v="0.76014932337844143" u="1"/>
        <n v="78.2" u="1"/>
        <n v="104.9442" u="1"/>
        <n v="-2.5814212646512456" u="1"/>
        <n v="-1.6540445973194164" u="1"/>
        <n v="6.7150635208711451E-2" u="1"/>
        <n v="93.452699999999993" u="1"/>
        <n v="223.1267" u="1"/>
        <n v="-1.4573555938094573" u="1"/>
        <n v="201.6" u="1"/>
        <n v="-2.591956473537889" u="1"/>
        <n v="-2.3014579087631288" u="1"/>
        <n v="-1.7377629596776045" u="1"/>
        <n v="166.2" u="1"/>
        <n v="-2.116683685594674" u="1"/>
        <n v="-0.5215107502753864" u="1"/>
        <n v="108.6991" u="1"/>
        <n v="23400" u="1"/>
        <n v="0.8418181818181818" u="1"/>
        <n v="109.931" u="1"/>
        <n v="0.49271137026239065" u="1"/>
        <n v="282.97000000000003" u="1"/>
        <n v="2.2471910112359716E-2" u="1"/>
        <n v="0.73908629441624374" u="1"/>
        <n v="136.6" u="1"/>
        <n v="114.6" u="1"/>
        <n v="-0.25156445556946183" u="1"/>
        <n v="76.965699999999998" u="1"/>
        <n v="96.9" u="1"/>
        <n v="38.6" u="1"/>
        <n v="-0.79108061663760898" u="1"/>
        <n v="478.5" u="1"/>
        <n v="117.5" u="1"/>
        <n v="-0.22994071879491784" u="1"/>
        <n v="110.9965" u="1"/>
        <n v="82.1" u="1"/>
        <n v="113.29" u="1"/>
        <n v="-0.2422360248447204" u="1"/>
        <n v="0.16558441558441561" u="1"/>
        <n v="17.600000000000001" u="1"/>
        <n v="111.521" u="1"/>
        <n v="-1.5969146315633713" u="1"/>
        <n v="-1.9191997599540782" u="1"/>
        <n v="0.90747474456549138" u="1"/>
        <n v="192.14250000000001" u="1"/>
        <n v="125.3817" u="1"/>
        <n v="85" u="1"/>
        <n v="-1.5176028977537621" u="1"/>
        <n v="56.8" u="1"/>
        <n v="163.68100000000001" u="1"/>
        <n v="0.83522727272727271" u="1"/>
        <n v="0.84776902887139105" u="1"/>
        <n v="106.3074" u="1"/>
        <n v="48700" u="1"/>
        <n v="106.30110000000001" u="1"/>
        <n v="-1.9710044504488207" u="1"/>
        <n v="0.24017467248908297" u="1"/>
        <n v="185.6" u="1"/>
        <n v="-2.9224322103533273" u="1"/>
        <n v="-0.53732198870260262" u="1"/>
        <n v="123.0038" u="1"/>
        <n v="0.82335025380710658" u="1"/>
        <n v="153.1" u="1"/>
        <n v="0.8206185567010309" u="1"/>
        <n v="105.7514" u="1"/>
        <n v="144.68" u="1"/>
        <n v="188.66399999999999" u="1"/>
        <n v="0.83365200764818359" u="1"/>
        <n v="156" u="1"/>
        <n v="434.9" u="1"/>
        <n v="6.3512577026090478E-2" u="1"/>
        <n v="106.6" u="1"/>
        <n v="158.9" u="1"/>
        <n v="-0.64285350465778013" u="1"/>
        <n v="-2.4506854239816951" u="1"/>
        <n v="-0.1448580199539522" u="1"/>
        <n v="0.8795124238162213" u="1"/>
        <n v="88.9" u="1"/>
        <n v="90.120500000000007" u="1"/>
        <n v="1.9607843137254943E-2" u="1"/>
        <n v="21100" u="1"/>
        <n v="0.51094196003805892" u="1"/>
        <n v="127.2" u="1"/>
        <n v="109.5" u="1"/>
        <n v="-2.2843009095537541" u="1"/>
        <n v="91.8" u="1"/>
        <n v="221.13640000000001" u="1"/>
        <n v="244.10679999999999" u="1"/>
        <n v="414" u="1"/>
        <n v="0.85842148087876324" u="1"/>
        <n v="41200" u="1"/>
        <n v="-2.301460953183657" u="1"/>
        <n v="237.46090000000001" u="1"/>
        <n v="0.68817204301075274" u="1"/>
        <n v="147.33430000000001" u="1"/>
        <n v="231.7" u="1"/>
        <n v="112.4114" u="1"/>
        <n v="222.41370000000001" u="1"/>
        <n v="130.53579999999999" u="1"/>
        <n v="-2.4644526373849684" u="1"/>
        <n v="-6.2699256110520851E-2" u="1"/>
        <n v="0.8936698386429458" u="1"/>
        <n v="0.90502183406113534" u="1"/>
        <n v="87.500500000000002" u="1"/>
        <n v="-1.9573642930600812" u="1"/>
        <n v="-0.27760936242646572" u="1"/>
        <n v="0.82720953326713009" u="1"/>
        <n v="98.236800000000002" u="1"/>
        <n v="-2.3187951036602041" u="1"/>
        <n v="0.89318370739817121" u="1"/>
        <n v="-2.0784337666402402" u="1"/>
        <n v="63.1" u="1"/>
        <n v="-2.5178012415769087" u="1"/>
        <n v="0.1743657064539833" u="1"/>
        <n v="78.690899999999999" u="1"/>
        <n v="291.43049999999999" u="1"/>
        <n v="-1.9655952188660955" u="1"/>
        <n v="131.30000000000001" u="1"/>
        <n v="205" u="1"/>
        <n v="-0.22753235549956918" u="1"/>
        <n v="0.84750219106047331" u="1"/>
        <n v="244.46129999999999" u="1"/>
        <n v="277.42619999999999" u="1"/>
        <n v="-1.7786099344501993" u="1"/>
        <n v="134.19999999999999" u="1"/>
        <n v="-3.0916337620927878" u="1"/>
        <n v="-2.5823350717027349" u="1"/>
        <n v="-0.27877237851662406" u="1"/>
        <n v="113.4" u="1"/>
        <n v="137.1" u="1"/>
        <n v="467.9" u="1"/>
        <n v="-1.833012724897388" u="1"/>
        <n v="-1.0101010101010166E-2" u="1"/>
        <n v="38" u="1"/>
        <n v="435.4" u="1"/>
        <n v="0.92373536468294537" u="1"/>
        <n v="116.3" u="1"/>
        <n v="131.875" u="1"/>
        <n v="-1.8329970326409493" u="1"/>
        <n v="0.85730149916712939" u="1"/>
        <n v="-1.6946614813638443" u="1"/>
        <n v="-0.46140036786045791" u="1"/>
        <n v="80.900000000000006" u="1"/>
        <n v="0.90418759844537855" u="1"/>
        <n v="178.464" u="1"/>
        <n v="119.2" u="1"/>
        <n v="-2.6246270537984069" u="1"/>
        <n v="24000" u="1"/>
        <n v="-0.60970299941055783" u="1"/>
        <n v="83.8" u="1"/>
        <n v="0.6813391196528209" u="1"/>
        <n v="-1.9548088064889919" u="1"/>
        <n v="98.043999999999997" u="1"/>
        <n v="0.8496110630942092" u="1"/>
        <n v="86.7" u="1"/>
        <n v="-1.7717713184146038" u="1"/>
        <n v="69" u="1"/>
        <n v="303.56049999999999" u="1"/>
        <n v="673.96900000000005" u="1"/>
        <n v="47000" u="1"/>
        <n v="-1.9181195318880482" u="1"/>
        <n v="-0.35171665977002453" u="1"/>
        <n v="0.88310211507846259" u="1"/>
        <n v="-1.5429832499215128" u="1"/>
        <n v="183.2" u="1"/>
        <n v="0.51646284101599249" u="1"/>
        <n v="-1.3138160709461686" u="1"/>
        <n v="-2.0883947541628456" u="1"/>
        <n v="0.89231091556672948" u="1"/>
        <n v="81.728499999999997" u="1"/>
        <n v="150.69999999999999" u="1"/>
        <n v="-0.66973934399699275" u="1"/>
        <n v="120.72450000000001" u="1"/>
        <n v="0.91382923435430607" u="1"/>
        <n v="115.27630000000001" u="1"/>
        <n v="189" u="1"/>
        <n v="0.89518072289156625" u="1"/>
        <n v="153.6" u="1"/>
        <n v="462.6" u="1"/>
        <n v="123.1" u="1"/>
        <n v="219.977" u="1"/>
        <n v="-2.8310289590348914" u="1"/>
        <n v="-0.76548821158638014" u="1"/>
        <n v="105.4" u="1"/>
        <n v="-0.38207380556697568" u="1"/>
        <n v="216.2852" u="1"/>
        <n v="0.86964240426071515" u="1"/>
        <n v="159.4" u="1"/>
        <n v="204.0737" u="1"/>
        <n v="126" u="1"/>
        <n v="0.66139657444005273" u="1"/>
        <n v="218.9545" u="1"/>
        <n v="234.75569999999999" u="1"/>
        <n v="-0.40851331855919493" u="1"/>
        <n v="300.10000000000002" u="1"/>
        <n v="0.85560165975103741" u="1"/>
        <n v="72.900000000000006" u="1"/>
        <n v="0.81587301587301586" u="1"/>
        <n v="0.90734824281150162" u="1"/>
        <n v="453.3" u="1"/>
        <n v="111.2" u="1"/>
        <n v="131.06100000000001" u="1"/>
        <n v="-0.19705500795763053" u="1"/>
        <n v="137.38669999999999" u="1"/>
        <n v="213.345" u="1"/>
        <n v="-0.26262626262626254" u="1"/>
        <n v="0.92992799497414591" u="1"/>
        <n v="-2.2857778736331054" u="1"/>
        <n v="-2.008755999317605" u="1"/>
        <n v="-1.9203069903186627" u="1"/>
        <n v="0.89258098223615467" u="1"/>
        <n v="-2.9718436423543508" u="1"/>
        <n v="-8.9027595269382198E-2" u="1"/>
        <n v="0.91682600382409174" u="1"/>
        <n v="-0.18387180508871115" u="1"/>
        <n v="21700" u="1"/>
        <n v="108.5157" u="1"/>
        <n v="0.92224784170733021" u="1"/>
        <n v="-2.1588699288852813" u="1"/>
        <n v="0.85805026235846449" u="1"/>
        <n v="167.2" u="1"/>
        <n v="0.81907778951073573" u="1"/>
        <n v="0.83475783475783483" u="1"/>
        <n v="0.8701692346552159" u="1"/>
        <n v="0.91295647823911952" u="1"/>
        <n v="-0.31578947368421062" u="1"/>
        <n v="55.1" u="1"/>
        <n v="208.4" u="1"/>
        <n v="0.54673721340388015" u="1"/>
        <n v="0.80227272727272725" u="1"/>
        <n v="-3.6712680871051493" u="1"/>
        <n v="-1.4917005950516753" u="1"/>
        <n v="0.91512195121951223" u="1"/>
        <n v="37.4" u="1"/>
        <n v="98.774299999999997" u="1"/>
        <n v="468.9" u="1"/>
        <n v="0.8372387587080431" u="1"/>
        <n v="115.1" u="1"/>
        <n v="0.55226480836236935" u="1"/>
        <n v="199.8905" u="1"/>
        <n v="82.518000000000001" u="1"/>
        <n v="171.477" u="1"/>
        <n v="216.51" u="1"/>
        <n v="0.16693679092382507" u="1"/>
        <n v="0.89049716803020773" u="1"/>
        <n v="118" u="1"/>
        <n v="0.67975077881619939" u="1"/>
        <n v="486.3" u="1"/>
        <n v="82.6" u="1"/>
        <n v="-1.3123500366532217" u="1"/>
        <n v="0.84723441615452155" u="1"/>
        <n v="64.900000000000006" u="1"/>
        <n v="96.614500000000007" u="1"/>
        <n v="301.01100000000002" u="1"/>
        <n v="383" u="1"/>
        <n v="-5.9322033898304927E-2" u="1"/>
        <n v="167.5419" u="1"/>
        <n v="202.78809999999999" u="1"/>
        <n v="125.8817" u="1"/>
        <n v="388.8" u="1"/>
        <n v="85.5" u="1"/>
        <n v="-2.3230429948040903" u="1"/>
        <n v="0.92491571277484641" u="1"/>
        <n v="213.3" u="1"/>
        <n v="-2.4778199367033276" u="1"/>
        <n v="78.135300000000001" u="1"/>
        <n v="216.2" u="1"/>
        <n v="89.950900000000004" u="1"/>
        <n v="109.1778" u="1"/>
        <n v="0.59622937941869592" u="1"/>
        <n v="58.5" u="1"/>
        <n v="124.04089999999999" u="1"/>
        <n v="148.30000000000001" u="1"/>
        <n v="-0.42158585323144537" u="1"/>
        <n v="0.52274837511606309" u="1"/>
        <n v="184.45400000000001" u="1"/>
        <n v="186.6" u="1"/>
        <n v="0.83873957367933272" u="1"/>
        <n v="0.89047517579373536" u="1"/>
        <n v="7.3574271682409211" u="1"/>
        <n v="-2.2891708720685062" u="1"/>
        <n v="0.51666666666666672" u="1"/>
        <n v="0.87729196050775737" u="1"/>
        <n v="117.07089999999999" u="1"/>
        <n v="154.1" u="1"/>
        <n v="67800" u="1"/>
        <n v="0.74855491329479773" u="1"/>
        <n v="192.4" u="1"/>
        <n v="0.727176220806794" u="1"/>
        <n v="469.4" u="1"/>
        <n v="103.8104" u="1"/>
        <n v="157" u="1"/>
        <n v="124.8" u="1"/>
        <n v="107.1" u="1"/>
        <n v="108.3205" u="1"/>
        <n v="153.3082" u="1"/>
        <n v="159.9" u="1"/>
        <n v="0.546875" u="1"/>
        <n v="127.7" u="1"/>
        <n v="0.77195281782437752" u="1"/>
        <n v="-2.2922196689021246" u="1"/>
        <n v="110" u="1"/>
        <n v="92.3" u="1"/>
        <n v="454.3" u="1"/>
        <n v="-4.7120418848167533E-2" u="1"/>
        <n v="0.89812646370023419" u="1"/>
        <n v="0.92266597925314886" u="1"/>
        <n v="110.6065" u="1"/>
        <n v="114.28570000000001" u="1"/>
        <n v="25.3" u="1"/>
        <n v="119.5095" u="1"/>
        <n v="95.2" u="1"/>
        <n v="-0.59891886967216834" u="1"/>
        <n v="-0.22100122100122088" u="1"/>
        <n v="77.5" u="1"/>
        <n v="0.88013059701492535" u="1"/>
        <n v="61.9" u="1"/>
        <n v="197.3" u="1"/>
        <n v="-2.1706615065114487" u="1"/>
        <n v="83.790499999999994" u="1"/>
        <n v="0.91238670694864044" u="1"/>
        <n v="164.8" u="1"/>
        <n v="5.0332383665717018E-2" u="1"/>
        <n v="0.91081496668375195" u="1"/>
        <n v="0.54805194805194812" u="1"/>
        <n v="0.80623608017817372" u="1"/>
        <n v="153.137" u="1"/>
        <n v="-2.3786627660076438" u="1"/>
        <n v="54.5" u="1"/>
        <n v="81.030500000000004" u="1"/>
        <n v="101.7843" u="1"/>
        <n v="0.80204778156996592" u="1"/>
        <n v="132.30000000000001" u="1"/>
        <n v="0.89512344419506218" u="1"/>
        <n v="0.91776937618147447" u="1"/>
        <n v="119.3305" u="1"/>
        <n v="264.86320000000001" u="1"/>
        <n v="-1.9401764992830639" u="1"/>
        <n v="0.84533333333333338" u="1"/>
        <n v="113.9" u="1"/>
        <n v="0.46296296296296302" u="1"/>
        <n v="0.60000000000000009" u="1"/>
        <n v="0.85499999999999998" u="1"/>
        <n v="108.0685" u="1"/>
        <n v="-2.0925911529192258" u="1"/>
        <n v="0.89443417539535841" u="1"/>
        <n v="475.7" u="1"/>
        <n v="-2.1619722539186834" u="1"/>
        <n v="0.2485380116959065" u="1"/>
        <n v="0.87262079062957543" u="1"/>
        <n v="116.8" u="1"/>
        <n v="238.2543" u="1"/>
        <n v="-0.71472251304888412" u="1"/>
        <n v="0.51782363977485923" u="1"/>
        <n v="0.87817018250770329" u="1"/>
        <n v="126.375" u="1"/>
        <n v="331.1105" u="1"/>
        <n v="118.25" u="1"/>
        <n v="-0.31209711614965707" u="1"/>
        <n v="0.54450261780104725" u="1"/>
        <n v="0.72659574468085109" u="1"/>
        <n v="17100" u="1"/>
        <n v="102" u="1"/>
        <n v="84.3" u="1"/>
        <n v="0.65503355704697985" u="1"/>
        <n v="0.46900826446280997" u="1"/>
        <n v="0.66250820748522654" u="1"/>
        <n v="23.3" u="1"/>
        <n v="-0.38810214775483143" u="1"/>
        <n v="5.8608058608058622E-2" u="1"/>
        <n v="87.2" u="1"/>
        <n v="0.51371807000946079" u="1"/>
        <n v="0.82772277227722779" u="1"/>
        <n v="0.83677298311444659" u="1"/>
        <n v="33200" u="1"/>
        <n v="109.0445" u="1"/>
        <n v="124.9932" u="1"/>
        <n v="291.6583" u="1"/>
        <n v="181.3" u="1"/>
        <n v="-3.4126163391933861E-2" u="1"/>
        <n v="0.5949566587864461" u="1"/>
        <n v="-2.4495217669043616" u="1"/>
        <n v="-0.21510584066711669" u="1"/>
        <n v="0.38295318127250899" u="1"/>
        <n v="148.80000000000001" u="1"/>
        <n v="-0.22549019607843146" u="1"/>
        <n v="0.71139809096013473" u="1"/>
        <n v="219.76400000000001" u="1"/>
        <n v="-1.8440988642511185" u="1"/>
        <n v="0.17480626144988909" u="1"/>
        <n v="151.69999999999999" u="1"/>
        <n v="-2.5189699233339886" u="1"/>
        <n v="0.83460076045627374" u="1"/>
        <n v="190" u="1"/>
        <n v="123.6" u="1"/>
        <n v="0.83630573248407647" u="1"/>
        <n v="0.7417085427135679" u="1"/>
        <n v="105.9" u="1"/>
        <n v="157.5" u="1"/>
      </sharedItems>
    </cacheField>
    <cacheField name="PPI - Electricity" numFmtId="0">
      <sharedItems containsMixedTypes="1" containsNumber="1" minValue="17.399999999999999" maxValue="255.50200000000001"/>
    </cacheField>
    <cacheField name="PPI - Electricity (%)" numFmtId="10">
      <sharedItems containsMixedTypes="1" containsNumber="1" minValue="0" maxValue="0.9318987718295747"/>
    </cacheField>
    <cacheField name="PPI - Inorganic Acids" numFmtId="0">
      <sharedItems containsMixedTypes="1" containsNumber="1" minValue="73.8" maxValue="171.95400000000001"/>
    </cacheField>
    <cacheField name="PPI - Inorganic Acids (%)" numFmtId="10">
      <sharedItems containsMixedTypes="1" containsNumber="1" minValue="-0.3550135501355014" maxValue="0.41844912011351876"/>
    </cacheField>
    <cacheField name="PPI - Natural Gas" numFmtId="0">
      <sharedItems containsMixedTypes="1" containsNumber="1" minValue="100" maxValue="203.37700000000001"/>
    </cacheField>
    <cacheField name="PPI - Natural Gas (%)" numFmtId="10">
      <sharedItems containsMixedTypes="1" containsNumber="1" minValue="0" maxValue="0.50830231540439685"/>
    </cacheField>
    <cacheField name="PPI - Petroleum" numFmtId="0">
      <sharedItems containsMixedTypes="1" containsNumber="1" minValue="51.4" maxValue="686.822"/>
    </cacheField>
    <cacheField name="PPI - Petroleum (%)" numFmtId="10">
      <sharedItems containsMixedTypes="1" containsNumber="1" minValue="0" maxValue="0.92516256031402611"/>
    </cacheField>
    <cacheField name="Exchange Rate" numFmtId="0">
      <sharedItems containsMixedTypes="1" containsNumber="1" minValue="76.643000000000001" maxValue="358.02"/>
    </cacheField>
    <cacheField name="Exchange Rate (%)" numFmtId="10">
      <sharedItems containsMixedTypes="1" containsNumber="1" minValue="-3.6712680871051493" maxValue="0"/>
    </cacheField>
    <cacheField name="LME Zinc" numFmtId="0">
      <sharedItems containsMixedTypes="1" containsNumber="1" minValue="7.3481652808650217" maxValue="11.03293679131675"/>
    </cacheField>
    <cacheField name="LME Zinc (%)" numFmtId="10">
      <sharedItems containsMixedTypes="1" containsNumber="1" minValue="-1.6295811869867977E-2" maxValue="0.32354436658929975"/>
    </cacheField>
    <cacheField name="Naphtha (JPY)" numFmtId="2">
      <sharedItems containsMixedTypes="1" containsNumber="1" containsInteger="1" minValue="0" maxValue="86100"/>
    </cacheField>
    <cacheField name="Naphtha (%)" numFmtId="10">
      <sharedItems containsNonDate="0" containsString="0" containsBlank="1"/>
    </cacheField>
    <cacheField name="Quarters" numFmtId="0" databaseField="0">
      <fieldGroup base="0">
        <rangePr groupBy="quarters" startDate="1958-01-01T00:00:00" endDate="2032-12-02T00:00:00"/>
        <groupItems count="6">
          <s v="&lt;1/1/1958"/>
          <s v="Qtr1"/>
          <s v="Qtr2"/>
          <s v="Qtr3"/>
          <s v="Qtr4"/>
          <s v="&gt;12/2/2032"/>
        </groupItems>
      </fieldGroup>
    </cacheField>
    <cacheField name="Years" numFmtId="0" databaseField="0">
      <fieldGroup base="0">
        <rangePr groupBy="years" startDate="1958-01-01T00:00:00" endDate="2032-12-02T00:00:00"/>
        <groupItems count="77">
          <s v="&lt;1/1/1958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&gt;12/2/2032"/>
        </groupItems>
      </fieldGroup>
    </cacheField>
    <cacheField name="Field1" numFmtId="0" formula="IF(Selected=0,&quot;&quot;,Selected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">
  <r>
    <x v="0"/>
    <x v="0"/>
    <n v="17.399999999999999"/>
    <n v="0"/>
    <s v=""/>
    <s v=""/>
    <s v=""/>
    <s v=""/>
    <s v=""/>
    <s v=""/>
    <s v=""/>
    <s v=""/>
    <s v=""/>
    <s v=""/>
    <s v=""/>
    <m/>
  </r>
  <r>
    <x v="1"/>
    <x v="0"/>
    <n v="17.399999999999999"/>
    <n v="0"/>
    <s v=""/>
    <s v=""/>
    <s v=""/>
    <s v=""/>
    <s v=""/>
    <s v=""/>
    <s v=""/>
    <s v=""/>
    <s v=""/>
    <s v=""/>
    <s v=""/>
    <m/>
  </r>
  <r>
    <x v="2"/>
    <x v="0"/>
    <n v="17.399999999999999"/>
    <n v="0"/>
    <s v=""/>
    <s v=""/>
    <s v=""/>
    <s v=""/>
    <s v=""/>
    <s v=""/>
    <s v=""/>
    <s v=""/>
    <s v=""/>
    <s v=""/>
    <s v=""/>
    <m/>
  </r>
  <r>
    <x v="3"/>
    <x v="0"/>
    <n v="17.399999999999999"/>
    <n v="0"/>
    <s v=""/>
    <s v=""/>
    <s v=""/>
    <s v=""/>
    <s v=""/>
    <s v=""/>
    <s v=""/>
    <s v=""/>
    <s v=""/>
    <s v=""/>
    <s v=""/>
    <m/>
  </r>
  <r>
    <x v="4"/>
    <x v="0"/>
    <n v="17.399999999999999"/>
    <n v="0"/>
    <s v=""/>
    <s v=""/>
    <s v=""/>
    <s v=""/>
    <s v=""/>
    <s v=""/>
    <s v=""/>
    <s v=""/>
    <s v=""/>
    <s v=""/>
    <s v=""/>
    <m/>
  </r>
  <r>
    <x v="5"/>
    <x v="0"/>
    <n v="17.399999999999999"/>
    <n v="0"/>
    <s v=""/>
    <s v=""/>
    <s v=""/>
    <s v=""/>
    <s v=""/>
    <s v=""/>
    <s v=""/>
    <s v=""/>
    <s v=""/>
    <s v=""/>
    <s v=""/>
    <m/>
  </r>
  <r>
    <x v="6"/>
    <x v="0"/>
    <n v="17.399999999999999"/>
    <n v="0"/>
    <s v=""/>
    <s v=""/>
    <s v=""/>
    <s v=""/>
    <s v=""/>
    <s v=""/>
    <s v=""/>
    <s v=""/>
    <s v=""/>
    <s v=""/>
    <s v=""/>
    <m/>
  </r>
  <r>
    <x v="7"/>
    <x v="0"/>
    <n v="17.5"/>
    <n v="5.7142857142857828E-3"/>
    <s v=""/>
    <s v=""/>
    <s v=""/>
    <s v=""/>
    <s v=""/>
    <s v=""/>
    <s v=""/>
    <s v=""/>
    <s v=""/>
    <s v=""/>
    <s v=""/>
    <m/>
  </r>
  <r>
    <x v="8"/>
    <x v="0"/>
    <n v="17.5"/>
    <n v="5.7142857142857828E-3"/>
    <s v=""/>
    <s v=""/>
    <s v=""/>
    <s v=""/>
    <s v=""/>
    <s v=""/>
    <s v=""/>
    <s v=""/>
    <s v=""/>
    <s v=""/>
    <s v=""/>
    <m/>
  </r>
  <r>
    <x v="9"/>
    <x v="0"/>
    <n v="17.5"/>
    <n v="5.7142857142857828E-3"/>
    <s v=""/>
    <s v=""/>
    <s v=""/>
    <s v=""/>
    <s v=""/>
    <s v=""/>
    <s v=""/>
    <s v=""/>
    <s v=""/>
    <s v=""/>
    <s v=""/>
    <m/>
  </r>
  <r>
    <x v="10"/>
    <x v="0"/>
    <n v="17.5"/>
    <n v="5.7142857142857828E-3"/>
    <s v=""/>
    <s v=""/>
    <s v=""/>
    <s v=""/>
    <s v=""/>
    <s v=""/>
    <s v=""/>
    <s v=""/>
    <s v=""/>
    <s v=""/>
    <s v=""/>
    <m/>
  </r>
  <r>
    <x v="11"/>
    <x v="0"/>
    <n v="17.5"/>
    <n v="5.7142857142857828E-3"/>
    <s v=""/>
    <s v=""/>
    <s v=""/>
    <s v=""/>
    <s v=""/>
    <s v=""/>
    <s v=""/>
    <s v=""/>
    <s v=""/>
    <s v=""/>
    <s v=""/>
    <m/>
  </r>
  <r>
    <x v="12"/>
    <x v="0"/>
    <n v="17.5"/>
    <n v="5.7142857142857828E-3"/>
    <s v=""/>
    <s v=""/>
    <s v=""/>
    <s v=""/>
    <s v=""/>
    <s v=""/>
    <s v=""/>
    <s v=""/>
    <s v=""/>
    <s v=""/>
    <s v=""/>
    <m/>
  </r>
  <r>
    <x v="13"/>
    <x v="0"/>
    <n v="17.5"/>
    <n v="5.7142857142857828E-3"/>
    <s v=""/>
    <s v=""/>
    <s v=""/>
    <s v=""/>
    <s v=""/>
    <s v=""/>
    <s v=""/>
    <s v=""/>
    <s v=""/>
    <s v=""/>
    <s v=""/>
    <m/>
  </r>
  <r>
    <x v="14"/>
    <x v="0"/>
    <n v="17.5"/>
    <n v="5.7142857142857828E-3"/>
    <s v=""/>
    <s v=""/>
    <s v=""/>
    <s v=""/>
    <s v=""/>
    <s v=""/>
    <s v=""/>
    <s v=""/>
    <s v=""/>
    <s v=""/>
    <s v=""/>
    <m/>
  </r>
  <r>
    <x v="15"/>
    <x v="0"/>
    <n v="17.5"/>
    <n v="5.7142857142857828E-3"/>
    <s v=""/>
    <s v=""/>
    <s v=""/>
    <s v=""/>
    <s v=""/>
    <s v=""/>
    <s v=""/>
    <s v=""/>
    <s v=""/>
    <s v=""/>
    <s v=""/>
    <m/>
  </r>
  <r>
    <x v="16"/>
    <x v="0"/>
    <n v="17.5"/>
    <n v="5.7142857142857828E-3"/>
    <s v=""/>
    <s v=""/>
    <s v=""/>
    <s v=""/>
    <s v=""/>
    <s v=""/>
    <s v=""/>
    <s v=""/>
    <s v=""/>
    <s v=""/>
    <s v=""/>
    <m/>
  </r>
  <r>
    <x v="17"/>
    <x v="0"/>
    <n v="17.5"/>
    <n v="5.7142857142857828E-3"/>
    <s v=""/>
    <s v=""/>
    <s v=""/>
    <s v=""/>
    <s v=""/>
    <s v=""/>
    <s v=""/>
    <s v=""/>
    <s v=""/>
    <s v=""/>
    <s v=""/>
    <m/>
  </r>
  <r>
    <x v="18"/>
    <x v="0"/>
    <n v="17.5"/>
    <n v="5.7142857142857828E-3"/>
    <s v=""/>
    <s v=""/>
    <s v=""/>
    <s v=""/>
    <s v=""/>
    <s v=""/>
    <s v=""/>
    <s v=""/>
    <s v=""/>
    <s v=""/>
    <s v=""/>
    <m/>
  </r>
  <r>
    <x v="19"/>
    <x v="0"/>
    <n v="17.5"/>
    <n v="5.7142857142857828E-3"/>
    <s v=""/>
    <s v=""/>
    <s v=""/>
    <s v=""/>
    <s v=""/>
    <s v=""/>
    <s v=""/>
    <s v=""/>
    <s v=""/>
    <s v=""/>
    <s v=""/>
    <m/>
  </r>
  <r>
    <x v="20"/>
    <x v="0"/>
    <n v="17.5"/>
    <n v="5.7142857142857828E-3"/>
    <s v=""/>
    <s v=""/>
    <s v=""/>
    <s v=""/>
    <s v=""/>
    <s v=""/>
    <s v=""/>
    <s v=""/>
    <s v=""/>
    <s v=""/>
    <s v=""/>
    <m/>
  </r>
  <r>
    <x v="21"/>
    <x v="0"/>
    <n v="17.5"/>
    <n v="5.7142857142857828E-3"/>
    <s v=""/>
    <s v=""/>
    <s v=""/>
    <s v=""/>
    <s v=""/>
    <s v=""/>
    <s v=""/>
    <s v=""/>
    <s v=""/>
    <s v=""/>
    <s v=""/>
    <m/>
  </r>
  <r>
    <x v="22"/>
    <x v="0"/>
    <n v="17.5"/>
    <n v="5.7142857142857828E-3"/>
    <s v=""/>
    <s v=""/>
    <s v=""/>
    <s v=""/>
    <s v=""/>
    <s v=""/>
    <s v=""/>
    <s v=""/>
    <s v=""/>
    <s v=""/>
    <s v=""/>
    <m/>
  </r>
  <r>
    <x v="23"/>
    <x v="0"/>
    <n v="17.600000000000001"/>
    <n v="1.1363636363636576E-2"/>
    <s v=""/>
    <s v=""/>
    <s v=""/>
    <s v=""/>
    <s v=""/>
    <s v=""/>
    <s v=""/>
    <s v=""/>
    <s v=""/>
    <s v=""/>
    <s v=""/>
    <m/>
  </r>
  <r>
    <x v="24"/>
    <x v="0"/>
    <n v="17.600000000000001"/>
    <n v="1.1363636363636576E-2"/>
    <s v=""/>
    <s v=""/>
    <s v=""/>
    <s v=""/>
    <s v=""/>
    <s v=""/>
    <s v=""/>
    <s v=""/>
    <s v=""/>
    <s v=""/>
    <s v=""/>
    <m/>
  </r>
  <r>
    <x v="25"/>
    <x v="0"/>
    <n v="17.8"/>
    <n v="2.2471910112359716E-2"/>
    <s v=""/>
    <s v=""/>
    <s v=""/>
    <s v=""/>
    <s v=""/>
    <s v=""/>
    <s v=""/>
    <s v=""/>
    <s v=""/>
    <s v=""/>
    <s v=""/>
    <m/>
  </r>
  <r>
    <x v="26"/>
    <x v="0"/>
    <n v="17.8"/>
    <n v="2.2471910112359716E-2"/>
    <s v=""/>
    <s v=""/>
    <s v=""/>
    <s v=""/>
    <s v=""/>
    <s v=""/>
    <s v=""/>
    <s v=""/>
    <s v=""/>
    <s v=""/>
    <s v=""/>
    <m/>
  </r>
  <r>
    <x v="27"/>
    <x v="0"/>
    <n v="17.8"/>
    <n v="2.2471910112359716E-2"/>
    <s v=""/>
    <s v=""/>
    <s v=""/>
    <s v=""/>
    <s v=""/>
    <s v=""/>
    <s v=""/>
    <s v=""/>
    <s v=""/>
    <s v=""/>
    <s v=""/>
    <m/>
  </r>
  <r>
    <x v="28"/>
    <x v="0"/>
    <n v="17.8"/>
    <n v="2.2471910112359716E-2"/>
    <s v=""/>
    <s v=""/>
    <s v=""/>
    <s v=""/>
    <s v=""/>
    <s v=""/>
    <s v=""/>
    <s v=""/>
    <s v=""/>
    <s v=""/>
    <s v=""/>
    <m/>
  </r>
  <r>
    <x v="29"/>
    <x v="0"/>
    <n v="17.8"/>
    <n v="2.2471910112359716E-2"/>
    <s v=""/>
    <s v=""/>
    <s v=""/>
    <s v=""/>
    <s v=""/>
    <s v=""/>
    <s v=""/>
    <s v=""/>
    <s v=""/>
    <s v=""/>
    <s v=""/>
    <m/>
  </r>
  <r>
    <x v="30"/>
    <x v="0"/>
    <n v="17.8"/>
    <n v="2.2471910112359716E-2"/>
    <s v=""/>
    <s v=""/>
    <s v=""/>
    <s v=""/>
    <s v=""/>
    <s v=""/>
    <s v=""/>
    <s v=""/>
    <s v=""/>
    <s v=""/>
    <s v=""/>
    <m/>
  </r>
  <r>
    <x v="31"/>
    <x v="0"/>
    <n v="17.8"/>
    <n v="2.2471910112359716E-2"/>
    <s v=""/>
    <s v=""/>
    <s v=""/>
    <s v=""/>
    <s v=""/>
    <s v=""/>
    <s v=""/>
    <s v=""/>
    <s v=""/>
    <s v=""/>
    <s v=""/>
    <m/>
  </r>
  <r>
    <x v="32"/>
    <x v="0"/>
    <n v="17.8"/>
    <n v="2.2471910112359716E-2"/>
    <s v=""/>
    <s v=""/>
    <s v=""/>
    <s v=""/>
    <s v=""/>
    <s v=""/>
    <s v=""/>
    <s v=""/>
    <s v=""/>
    <s v=""/>
    <s v=""/>
    <m/>
  </r>
  <r>
    <x v="33"/>
    <x v="0"/>
    <n v="17.8"/>
    <n v="2.2471910112359716E-2"/>
    <s v=""/>
    <s v=""/>
    <s v=""/>
    <s v=""/>
    <s v=""/>
    <s v=""/>
    <s v=""/>
    <s v=""/>
    <s v=""/>
    <s v=""/>
    <s v=""/>
    <m/>
  </r>
  <r>
    <x v="34"/>
    <x v="0"/>
    <n v="17.899999999999999"/>
    <n v="2.7932960893854775E-2"/>
    <s v=""/>
    <s v=""/>
    <s v=""/>
    <s v=""/>
    <s v=""/>
    <s v=""/>
    <s v=""/>
    <s v=""/>
    <s v=""/>
    <s v=""/>
    <s v=""/>
    <m/>
  </r>
  <r>
    <x v="35"/>
    <x v="0"/>
    <n v="17.899999999999999"/>
    <n v="2.7932960893854775E-2"/>
    <s v=""/>
    <s v=""/>
    <s v=""/>
    <s v=""/>
    <s v=""/>
    <s v=""/>
    <s v=""/>
    <s v=""/>
    <s v=""/>
    <s v=""/>
    <s v=""/>
    <m/>
  </r>
  <r>
    <x v="36"/>
    <x v="0"/>
    <n v="17.899999999999999"/>
    <n v="2.7932960893854775E-2"/>
    <s v=""/>
    <s v=""/>
    <s v=""/>
    <s v=""/>
    <s v=""/>
    <s v=""/>
    <s v=""/>
    <s v=""/>
    <s v=""/>
    <s v=""/>
    <s v=""/>
    <m/>
  </r>
  <r>
    <x v="37"/>
    <x v="0"/>
    <n v="17.899999999999999"/>
    <n v="2.7932960893854775E-2"/>
    <s v=""/>
    <s v=""/>
    <s v=""/>
    <s v=""/>
    <s v=""/>
    <s v=""/>
    <s v=""/>
    <s v=""/>
    <s v=""/>
    <s v=""/>
    <s v=""/>
    <m/>
  </r>
  <r>
    <x v="38"/>
    <x v="0"/>
    <n v="17.899999999999999"/>
    <n v="2.7932960893854775E-2"/>
    <s v=""/>
    <s v=""/>
    <s v=""/>
    <s v=""/>
    <s v=""/>
    <s v=""/>
    <s v=""/>
    <s v=""/>
    <s v=""/>
    <s v=""/>
    <s v=""/>
    <m/>
  </r>
  <r>
    <x v="39"/>
    <x v="0"/>
    <n v="17.899999999999999"/>
    <n v="2.7932960893854775E-2"/>
    <s v=""/>
    <s v=""/>
    <s v=""/>
    <s v=""/>
    <s v=""/>
    <s v=""/>
    <s v=""/>
    <s v=""/>
    <s v=""/>
    <s v=""/>
    <s v=""/>
    <m/>
  </r>
  <r>
    <x v="40"/>
    <x v="0"/>
    <n v="17.899999999999999"/>
    <n v="2.7932960893854775E-2"/>
    <s v=""/>
    <s v=""/>
    <s v=""/>
    <s v=""/>
    <s v=""/>
    <s v=""/>
    <s v=""/>
    <s v=""/>
    <s v=""/>
    <s v=""/>
    <s v=""/>
    <m/>
  </r>
  <r>
    <x v="41"/>
    <x v="0"/>
    <n v="17.899999999999999"/>
    <n v="2.7932960893854775E-2"/>
    <s v=""/>
    <s v=""/>
    <s v=""/>
    <s v=""/>
    <s v=""/>
    <s v=""/>
    <s v=""/>
    <s v=""/>
    <s v=""/>
    <s v=""/>
    <s v=""/>
    <m/>
  </r>
  <r>
    <x v="42"/>
    <x v="0"/>
    <n v="17.899999999999999"/>
    <n v="2.7932960893854775E-2"/>
    <s v=""/>
    <s v=""/>
    <s v=""/>
    <s v=""/>
    <s v=""/>
    <s v=""/>
    <s v=""/>
    <s v=""/>
    <s v=""/>
    <s v=""/>
    <s v=""/>
    <m/>
  </r>
  <r>
    <x v="43"/>
    <x v="0"/>
    <n v="17.899999999999999"/>
    <n v="2.7932960893854775E-2"/>
    <s v=""/>
    <s v=""/>
    <s v=""/>
    <s v=""/>
    <s v=""/>
    <s v=""/>
    <s v=""/>
    <s v=""/>
    <s v=""/>
    <s v=""/>
    <s v=""/>
    <m/>
  </r>
  <r>
    <x v="44"/>
    <x v="0"/>
    <n v="17.899999999999999"/>
    <n v="2.7932960893854775E-2"/>
    <s v=""/>
    <s v=""/>
    <s v=""/>
    <s v=""/>
    <s v=""/>
    <s v=""/>
    <s v=""/>
    <s v=""/>
    <s v=""/>
    <s v=""/>
    <s v=""/>
    <m/>
  </r>
  <r>
    <x v="45"/>
    <x v="0"/>
    <n v="17.899999999999999"/>
    <n v="2.7932960893854775E-2"/>
    <s v=""/>
    <s v=""/>
    <s v=""/>
    <s v=""/>
    <s v=""/>
    <s v=""/>
    <s v=""/>
    <s v=""/>
    <s v=""/>
    <s v=""/>
    <s v=""/>
    <m/>
  </r>
  <r>
    <x v="46"/>
    <x v="0"/>
    <n v="17.899999999999999"/>
    <n v="2.7932960893854775E-2"/>
    <s v=""/>
    <s v=""/>
    <s v=""/>
    <s v=""/>
    <s v=""/>
    <s v=""/>
    <s v=""/>
    <s v=""/>
    <s v=""/>
    <s v=""/>
    <s v=""/>
    <m/>
  </r>
  <r>
    <x v="47"/>
    <x v="0"/>
    <n v="17.899999999999999"/>
    <n v="2.7932960893854775E-2"/>
    <s v=""/>
    <s v=""/>
    <s v=""/>
    <s v=""/>
    <s v=""/>
    <s v=""/>
    <s v=""/>
    <s v=""/>
    <s v=""/>
    <s v=""/>
    <s v=""/>
    <m/>
  </r>
  <r>
    <x v="48"/>
    <x v="0"/>
    <n v="17.899999999999999"/>
    <n v="2.7932960893854775E-2"/>
    <s v=""/>
    <s v=""/>
    <s v=""/>
    <s v=""/>
    <s v=""/>
    <s v=""/>
    <s v=""/>
    <s v=""/>
    <s v=""/>
    <s v=""/>
    <s v=""/>
    <m/>
  </r>
  <r>
    <x v="49"/>
    <x v="0"/>
    <n v="18.2"/>
    <n v="4.3956043956044022E-2"/>
    <s v=""/>
    <s v=""/>
    <s v=""/>
    <s v=""/>
    <s v=""/>
    <s v=""/>
    <s v=""/>
    <s v=""/>
    <s v=""/>
    <s v=""/>
    <s v=""/>
    <m/>
  </r>
  <r>
    <x v="50"/>
    <x v="0"/>
    <n v="18.2"/>
    <n v="4.3956043956044022E-2"/>
    <s v=""/>
    <s v=""/>
    <s v=""/>
    <s v=""/>
    <s v=""/>
    <s v=""/>
    <s v=""/>
    <s v=""/>
    <s v=""/>
    <s v=""/>
    <s v=""/>
    <m/>
  </r>
  <r>
    <x v="51"/>
    <x v="0"/>
    <n v="18.2"/>
    <n v="4.3956043956044022E-2"/>
    <s v=""/>
    <s v=""/>
    <s v=""/>
    <s v=""/>
    <s v=""/>
    <s v=""/>
    <s v=""/>
    <s v=""/>
    <s v=""/>
    <s v=""/>
    <s v=""/>
    <m/>
  </r>
  <r>
    <x v="52"/>
    <x v="0"/>
    <n v="18.100000000000001"/>
    <n v="3.8674033149171394E-2"/>
    <s v=""/>
    <s v=""/>
    <s v=""/>
    <s v=""/>
    <s v=""/>
    <s v=""/>
    <s v=""/>
    <s v=""/>
    <s v=""/>
    <s v=""/>
    <s v=""/>
    <m/>
  </r>
  <r>
    <x v="53"/>
    <x v="0"/>
    <n v="18.100000000000001"/>
    <n v="3.8674033149171394E-2"/>
    <s v=""/>
    <s v=""/>
    <s v=""/>
    <s v=""/>
    <s v=""/>
    <s v=""/>
    <s v=""/>
    <s v=""/>
    <s v=""/>
    <s v=""/>
    <s v=""/>
    <m/>
  </r>
  <r>
    <x v="54"/>
    <x v="0"/>
    <n v="18.100000000000001"/>
    <n v="3.8674033149171394E-2"/>
    <s v=""/>
    <s v=""/>
    <s v=""/>
    <s v=""/>
    <s v=""/>
    <s v=""/>
    <s v=""/>
    <s v=""/>
    <s v=""/>
    <s v=""/>
    <s v=""/>
    <m/>
  </r>
  <r>
    <x v="55"/>
    <x v="0"/>
    <n v="18.100000000000001"/>
    <n v="3.8674033149171394E-2"/>
    <s v=""/>
    <s v=""/>
    <s v=""/>
    <s v=""/>
    <s v=""/>
    <s v=""/>
    <s v=""/>
    <s v=""/>
    <s v=""/>
    <s v=""/>
    <s v=""/>
    <m/>
  </r>
  <r>
    <x v="56"/>
    <x v="0"/>
    <n v="18.100000000000001"/>
    <n v="3.8674033149171394E-2"/>
    <s v=""/>
    <s v=""/>
    <s v=""/>
    <s v=""/>
    <s v=""/>
    <s v=""/>
    <s v=""/>
    <s v=""/>
    <s v=""/>
    <s v=""/>
    <s v=""/>
    <m/>
  </r>
  <r>
    <x v="57"/>
    <x v="0"/>
    <n v="18.100000000000001"/>
    <n v="3.8674033149171394E-2"/>
    <s v=""/>
    <s v=""/>
    <s v=""/>
    <s v=""/>
    <s v=""/>
    <s v=""/>
    <s v=""/>
    <s v=""/>
    <s v=""/>
    <s v=""/>
    <s v=""/>
    <m/>
  </r>
  <r>
    <x v="58"/>
    <x v="0"/>
    <n v="18.100000000000001"/>
    <n v="3.8674033149171394E-2"/>
    <s v=""/>
    <s v=""/>
    <s v=""/>
    <s v=""/>
    <s v=""/>
    <s v=""/>
    <s v=""/>
    <s v=""/>
    <s v=""/>
    <s v=""/>
    <s v=""/>
    <m/>
  </r>
  <r>
    <x v="59"/>
    <x v="0"/>
    <n v="18.100000000000001"/>
    <n v="3.8674033149171394E-2"/>
    <s v=""/>
    <s v=""/>
    <s v=""/>
    <s v=""/>
    <s v=""/>
    <s v=""/>
    <s v=""/>
    <s v=""/>
    <s v=""/>
    <s v=""/>
    <s v=""/>
    <m/>
  </r>
  <r>
    <x v="60"/>
    <x v="0"/>
    <n v="18.100000000000001"/>
    <n v="3.8674033149171394E-2"/>
    <s v=""/>
    <s v=""/>
    <s v=""/>
    <s v=""/>
    <s v=""/>
    <s v=""/>
    <s v=""/>
    <s v=""/>
    <s v=""/>
    <s v=""/>
    <s v=""/>
    <m/>
  </r>
  <r>
    <x v="61"/>
    <x v="0"/>
    <n v="18.100000000000001"/>
    <n v="3.8674033149171394E-2"/>
    <s v=""/>
    <s v=""/>
    <s v=""/>
    <s v=""/>
    <s v=""/>
    <s v=""/>
    <s v=""/>
    <s v=""/>
    <s v=""/>
    <s v=""/>
    <s v=""/>
    <m/>
  </r>
  <r>
    <x v="62"/>
    <x v="0"/>
    <n v="18.100000000000001"/>
    <n v="3.8674033149171394E-2"/>
    <s v=""/>
    <s v=""/>
    <s v=""/>
    <s v=""/>
    <s v=""/>
    <s v=""/>
    <s v=""/>
    <s v=""/>
    <s v=""/>
    <s v=""/>
    <s v=""/>
    <m/>
  </r>
  <r>
    <x v="63"/>
    <x v="0"/>
    <n v="18.100000000000001"/>
    <n v="3.8674033149171394E-2"/>
    <s v=""/>
    <s v=""/>
    <s v=""/>
    <s v=""/>
    <s v=""/>
    <s v=""/>
    <s v=""/>
    <s v=""/>
    <s v=""/>
    <s v=""/>
    <s v=""/>
    <m/>
  </r>
  <r>
    <x v="64"/>
    <x v="0"/>
    <n v="18"/>
    <n v="3.3333333333333437E-2"/>
    <s v=""/>
    <s v=""/>
    <s v=""/>
    <s v=""/>
    <s v=""/>
    <s v=""/>
    <s v=""/>
    <s v=""/>
    <s v=""/>
    <s v=""/>
    <s v=""/>
    <m/>
  </r>
  <r>
    <x v="65"/>
    <x v="0"/>
    <n v="18"/>
    <n v="3.3333333333333437E-2"/>
    <s v=""/>
    <s v=""/>
    <s v=""/>
    <s v=""/>
    <s v=""/>
    <s v=""/>
    <s v=""/>
    <s v=""/>
    <s v=""/>
    <s v=""/>
    <s v=""/>
    <m/>
  </r>
  <r>
    <x v="66"/>
    <x v="0"/>
    <n v="18"/>
    <n v="3.3333333333333437E-2"/>
    <s v=""/>
    <s v=""/>
    <s v=""/>
    <s v=""/>
    <s v=""/>
    <s v=""/>
    <s v=""/>
    <s v=""/>
    <s v=""/>
    <s v=""/>
    <s v=""/>
    <m/>
  </r>
  <r>
    <x v="67"/>
    <x v="0"/>
    <n v="17.899999999999999"/>
    <n v="2.7932960893854775E-2"/>
    <s v=""/>
    <s v=""/>
    <s v=""/>
    <s v=""/>
    <s v=""/>
    <s v=""/>
    <s v=""/>
    <s v=""/>
    <s v=""/>
    <s v=""/>
    <s v=""/>
    <m/>
  </r>
  <r>
    <x v="68"/>
    <x v="0"/>
    <n v="17.899999999999999"/>
    <n v="2.7932960893854775E-2"/>
    <s v=""/>
    <s v=""/>
    <s v=""/>
    <s v=""/>
    <s v=""/>
    <s v=""/>
    <s v=""/>
    <s v=""/>
    <s v=""/>
    <s v=""/>
    <s v=""/>
    <m/>
  </r>
  <r>
    <x v="69"/>
    <x v="0"/>
    <n v="17.8"/>
    <n v="2.2471910112359716E-2"/>
    <s v=""/>
    <s v=""/>
    <s v=""/>
    <s v=""/>
    <s v=""/>
    <s v=""/>
    <s v=""/>
    <s v=""/>
    <s v=""/>
    <s v=""/>
    <s v=""/>
    <m/>
  </r>
  <r>
    <x v="70"/>
    <x v="0"/>
    <n v="17.8"/>
    <n v="2.2471910112359716E-2"/>
    <s v=""/>
    <s v=""/>
    <s v=""/>
    <s v=""/>
    <s v=""/>
    <s v=""/>
    <s v=""/>
    <s v=""/>
    <s v=""/>
    <s v=""/>
    <s v=""/>
    <m/>
  </r>
  <r>
    <x v="71"/>
    <x v="0"/>
    <n v="17.8"/>
    <n v="2.2471910112359716E-2"/>
    <s v=""/>
    <s v=""/>
    <s v=""/>
    <s v=""/>
    <s v=""/>
    <s v=""/>
    <s v=""/>
    <s v=""/>
    <s v=""/>
    <s v=""/>
    <s v=""/>
    <m/>
  </r>
  <r>
    <x v="72"/>
    <x v="0"/>
    <n v="17.8"/>
    <n v="2.2471910112359716E-2"/>
    <s v=""/>
    <s v=""/>
    <s v=""/>
    <s v=""/>
    <s v=""/>
    <s v=""/>
    <s v=""/>
    <s v=""/>
    <s v=""/>
    <s v=""/>
    <s v=""/>
    <m/>
  </r>
  <r>
    <x v="73"/>
    <x v="0"/>
    <n v="17.8"/>
    <n v="2.2471910112359716E-2"/>
    <s v=""/>
    <s v=""/>
    <s v=""/>
    <s v=""/>
    <s v=""/>
    <s v=""/>
    <s v=""/>
    <s v=""/>
    <s v=""/>
    <s v=""/>
    <s v=""/>
    <m/>
  </r>
  <r>
    <x v="74"/>
    <x v="0"/>
    <n v="17.399999999999999"/>
    <n v="0"/>
    <s v=""/>
    <s v=""/>
    <s v=""/>
    <s v=""/>
    <s v=""/>
    <s v=""/>
    <s v=""/>
    <s v=""/>
    <s v=""/>
    <s v=""/>
    <s v=""/>
    <m/>
  </r>
  <r>
    <x v="75"/>
    <x v="0"/>
    <n v="17.8"/>
    <n v="2.2471910112359716E-2"/>
    <s v=""/>
    <s v=""/>
    <s v=""/>
    <s v=""/>
    <s v=""/>
    <s v=""/>
    <s v=""/>
    <s v=""/>
    <s v=""/>
    <s v=""/>
    <s v=""/>
    <m/>
  </r>
  <r>
    <x v="76"/>
    <x v="0"/>
    <n v="17.8"/>
    <n v="2.2471910112359716E-2"/>
    <s v=""/>
    <s v=""/>
    <s v=""/>
    <s v=""/>
    <s v=""/>
    <s v=""/>
    <s v=""/>
    <s v=""/>
    <s v=""/>
    <s v=""/>
    <s v=""/>
    <m/>
  </r>
  <r>
    <x v="77"/>
    <x v="0"/>
    <n v="17.8"/>
    <n v="2.2471910112359716E-2"/>
    <s v=""/>
    <s v=""/>
    <s v=""/>
    <s v=""/>
    <s v=""/>
    <s v=""/>
    <s v=""/>
    <s v=""/>
    <s v=""/>
    <s v=""/>
    <s v=""/>
    <m/>
  </r>
  <r>
    <x v="78"/>
    <x v="0"/>
    <n v="17.7"/>
    <n v="1.6949152542372947E-2"/>
    <s v=""/>
    <s v=""/>
    <s v=""/>
    <s v=""/>
    <s v=""/>
    <s v=""/>
    <s v=""/>
    <s v=""/>
    <s v=""/>
    <s v=""/>
    <s v=""/>
    <m/>
  </r>
  <r>
    <x v="79"/>
    <x v="0"/>
    <n v="17.899999999999999"/>
    <n v="2.7932960893854775E-2"/>
    <s v=""/>
    <s v=""/>
    <s v=""/>
    <s v=""/>
    <s v=""/>
    <s v=""/>
    <s v=""/>
    <s v=""/>
    <s v=""/>
    <s v=""/>
    <s v=""/>
    <m/>
  </r>
  <r>
    <x v="80"/>
    <x v="0"/>
    <n v="17.899999999999999"/>
    <n v="2.7932960893854775E-2"/>
    <s v=""/>
    <s v=""/>
    <s v=""/>
    <s v=""/>
    <s v=""/>
    <s v=""/>
    <s v=""/>
    <s v=""/>
    <s v=""/>
    <s v=""/>
    <s v=""/>
    <m/>
  </r>
  <r>
    <x v="81"/>
    <x v="0"/>
    <n v="17.899999999999999"/>
    <n v="2.7932960893854775E-2"/>
    <s v=""/>
    <s v=""/>
    <s v=""/>
    <s v=""/>
    <s v=""/>
    <s v=""/>
    <s v=""/>
    <s v=""/>
    <s v=""/>
    <s v=""/>
    <s v=""/>
    <m/>
  </r>
  <r>
    <x v="82"/>
    <x v="0"/>
    <n v="17.899999999999999"/>
    <n v="2.7932960893854775E-2"/>
    <s v=""/>
    <s v=""/>
    <s v=""/>
    <s v=""/>
    <s v=""/>
    <s v=""/>
    <s v=""/>
    <s v=""/>
    <s v=""/>
    <s v=""/>
    <s v=""/>
    <m/>
  </r>
  <r>
    <x v="83"/>
    <x v="0"/>
    <n v="17.899999999999999"/>
    <n v="2.7932960893854775E-2"/>
    <s v=""/>
    <s v=""/>
    <s v=""/>
    <s v=""/>
    <s v=""/>
    <s v=""/>
    <s v=""/>
    <s v=""/>
    <s v=""/>
    <s v=""/>
    <s v=""/>
    <m/>
  </r>
  <r>
    <x v="84"/>
    <x v="0"/>
    <n v="17.899999999999999"/>
    <n v="2.7932960893854775E-2"/>
    <s v=""/>
    <s v=""/>
    <s v=""/>
    <s v=""/>
    <s v=""/>
    <s v=""/>
    <s v=""/>
    <s v=""/>
    <s v=""/>
    <s v=""/>
    <s v=""/>
    <m/>
  </r>
  <r>
    <x v="85"/>
    <x v="0"/>
    <n v="17.8"/>
    <n v="2.2471910112359716E-2"/>
    <s v=""/>
    <s v=""/>
    <s v=""/>
    <s v=""/>
    <s v=""/>
    <s v=""/>
    <s v=""/>
    <s v=""/>
    <s v=""/>
    <s v=""/>
    <s v=""/>
    <m/>
  </r>
  <r>
    <x v="86"/>
    <x v="0"/>
    <n v="17.8"/>
    <n v="2.2471910112359716E-2"/>
    <s v=""/>
    <s v=""/>
    <s v=""/>
    <s v=""/>
    <s v=""/>
    <s v=""/>
    <s v=""/>
    <s v=""/>
    <s v=""/>
    <s v=""/>
    <s v=""/>
    <m/>
  </r>
  <r>
    <x v="87"/>
    <x v="0"/>
    <n v="17.8"/>
    <n v="2.2471910112359716E-2"/>
    <s v=""/>
    <s v=""/>
    <s v=""/>
    <s v=""/>
    <s v=""/>
    <s v=""/>
    <s v=""/>
    <s v=""/>
    <s v=""/>
    <s v=""/>
    <s v=""/>
    <m/>
  </r>
  <r>
    <x v="88"/>
    <x v="0"/>
    <n v="17.8"/>
    <n v="2.2471910112359716E-2"/>
    <s v=""/>
    <s v=""/>
    <s v=""/>
    <s v=""/>
    <s v=""/>
    <s v=""/>
    <s v=""/>
    <s v=""/>
    <s v=""/>
    <s v=""/>
    <s v=""/>
    <m/>
  </r>
  <r>
    <x v="89"/>
    <x v="0"/>
    <n v="17.8"/>
    <n v="2.2471910112359716E-2"/>
    <s v=""/>
    <s v=""/>
    <s v=""/>
    <s v=""/>
    <s v=""/>
    <s v=""/>
    <s v=""/>
    <s v=""/>
    <s v=""/>
    <s v=""/>
    <s v=""/>
    <m/>
  </r>
  <r>
    <x v="90"/>
    <x v="0"/>
    <n v="17.8"/>
    <n v="2.2471910112359716E-2"/>
    <s v=""/>
    <s v=""/>
    <s v=""/>
    <s v=""/>
    <s v=""/>
    <s v=""/>
    <s v=""/>
    <s v=""/>
    <s v=""/>
    <s v=""/>
    <s v=""/>
    <m/>
  </r>
  <r>
    <x v="91"/>
    <x v="0"/>
    <n v="17.8"/>
    <n v="2.2471910112359716E-2"/>
    <s v=""/>
    <s v=""/>
    <s v=""/>
    <s v=""/>
    <s v=""/>
    <s v=""/>
    <s v=""/>
    <s v=""/>
    <s v=""/>
    <s v=""/>
    <s v=""/>
    <m/>
  </r>
  <r>
    <x v="92"/>
    <x v="0"/>
    <n v="17.8"/>
    <n v="2.2471910112359716E-2"/>
    <s v=""/>
    <s v=""/>
    <s v=""/>
    <s v=""/>
    <s v=""/>
    <s v=""/>
    <s v=""/>
    <s v=""/>
    <s v=""/>
    <s v=""/>
    <s v=""/>
    <m/>
  </r>
  <r>
    <x v="93"/>
    <x v="0"/>
    <n v="17.8"/>
    <n v="2.2471910112359716E-2"/>
    <s v=""/>
    <s v=""/>
    <s v=""/>
    <s v=""/>
    <s v=""/>
    <s v=""/>
    <s v=""/>
    <s v=""/>
    <s v=""/>
    <s v=""/>
    <s v=""/>
    <m/>
  </r>
  <r>
    <x v="94"/>
    <x v="0"/>
    <n v="17.8"/>
    <n v="2.2471910112359716E-2"/>
    <s v=""/>
    <s v=""/>
    <s v=""/>
    <s v=""/>
    <s v=""/>
    <s v=""/>
    <s v=""/>
    <s v=""/>
    <s v=""/>
    <s v=""/>
    <s v=""/>
    <m/>
  </r>
  <r>
    <x v="95"/>
    <x v="0"/>
    <n v="17.8"/>
    <n v="2.2471910112359716E-2"/>
    <s v=""/>
    <s v=""/>
    <s v=""/>
    <s v=""/>
    <s v=""/>
    <s v=""/>
    <s v=""/>
    <s v=""/>
    <s v=""/>
    <s v=""/>
    <s v=""/>
    <m/>
  </r>
  <r>
    <x v="96"/>
    <x v="0"/>
    <n v="17.7"/>
    <n v="1.6949152542372947E-2"/>
    <s v=""/>
    <s v=""/>
    <s v=""/>
    <s v=""/>
    <s v=""/>
    <s v=""/>
    <s v=""/>
    <s v=""/>
    <s v=""/>
    <s v=""/>
    <s v=""/>
    <m/>
  </r>
  <r>
    <x v="97"/>
    <x v="0"/>
    <n v="17.7"/>
    <n v="1.6949152542372947E-2"/>
    <s v=""/>
    <s v=""/>
    <s v=""/>
    <s v=""/>
    <s v=""/>
    <s v=""/>
    <s v=""/>
    <s v=""/>
    <s v=""/>
    <s v=""/>
    <s v=""/>
    <m/>
  </r>
  <r>
    <x v="98"/>
    <x v="0"/>
    <n v="17.8"/>
    <n v="2.2471910112359716E-2"/>
    <s v=""/>
    <s v=""/>
    <s v=""/>
    <s v=""/>
    <s v=""/>
    <s v=""/>
    <s v=""/>
    <s v=""/>
    <s v=""/>
    <s v=""/>
    <s v=""/>
    <m/>
  </r>
  <r>
    <x v="99"/>
    <x v="0"/>
    <n v="17.7"/>
    <n v="1.6949152542372947E-2"/>
    <s v=""/>
    <s v=""/>
    <s v=""/>
    <s v=""/>
    <s v=""/>
    <s v=""/>
    <s v=""/>
    <s v=""/>
    <s v=""/>
    <s v=""/>
    <s v=""/>
    <m/>
  </r>
  <r>
    <x v="100"/>
    <x v="0"/>
    <n v="17.7"/>
    <n v="1.6949152542372947E-2"/>
    <s v=""/>
    <s v=""/>
    <s v=""/>
    <s v=""/>
    <s v=""/>
    <s v=""/>
    <s v=""/>
    <s v=""/>
    <s v=""/>
    <s v=""/>
    <s v=""/>
    <m/>
  </r>
  <r>
    <x v="101"/>
    <x v="0"/>
    <n v="17.7"/>
    <n v="1.6949152542372947E-2"/>
    <s v=""/>
    <s v=""/>
    <s v=""/>
    <s v=""/>
    <s v=""/>
    <s v=""/>
    <s v=""/>
    <s v=""/>
    <s v=""/>
    <s v=""/>
    <s v=""/>
    <m/>
  </r>
  <r>
    <x v="102"/>
    <x v="0"/>
    <n v="17.7"/>
    <n v="1.6949152542372947E-2"/>
    <s v=""/>
    <s v=""/>
    <s v=""/>
    <s v=""/>
    <s v=""/>
    <s v=""/>
    <s v=""/>
    <s v=""/>
    <s v=""/>
    <s v=""/>
    <s v=""/>
    <m/>
  </r>
  <r>
    <x v="103"/>
    <x v="0"/>
    <n v="17.7"/>
    <n v="1.6949152542372947E-2"/>
    <s v=""/>
    <s v=""/>
    <s v=""/>
    <s v=""/>
    <s v=""/>
    <s v=""/>
    <s v=""/>
    <s v=""/>
    <s v=""/>
    <s v=""/>
    <s v=""/>
    <m/>
  </r>
  <r>
    <x v="104"/>
    <x v="0"/>
    <n v="17.7"/>
    <n v="1.6949152542372947E-2"/>
    <s v=""/>
    <s v=""/>
    <s v=""/>
    <s v=""/>
    <s v=""/>
    <s v=""/>
    <s v=""/>
    <s v=""/>
    <s v=""/>
    <s v=""/>
    <s v=""/>
    <m/>
  </r>
  <r>
    <x v="105"/>
    <x v="0"/>
    <n v="17.7"/>
    <n v="1.6949152542372947E-2"/>
    <s v=""/>
    <s v=""/>
    <s v=""/>
    <s v=""/>
    <s v=""/>
    <s v=""/>
    <s v=""/>
    <s v=""/>
    <s v=""/>
    <s v=""/>
    <s v=""/>
    <m/>
  </r>
  <r>
    <x v="106"/>
    <x v="0"/>
    <n v="17.7"/>
    <n v="1.6949152542372947E-2"/>
    <s v=""/>
    <s v=""/>
    <s v=""/>
    <s v=""/>
    <s v=""/>
    <s v=""/>
    <s v=""/>
    <s v=""/>
    <s v=""/>
    <s v=""/>
    <s v=""/>
    <m/>
  </r>
  <r>
    <x v="107"/>
    <x v="0"/>
    <n v="17.8"/>
    <n v="2.2471910112359716E-2"/>
    <s v=""/>
    <s v=""/>
    <s v=""/>
    <s v=""/>
    <s v=""/>
    <s v=""/>
    <s v=""/>
    <s v=""/>
    <s v=""/>
    <s v=""/>
    <s v=""/>
    <m/>
  </r>
  <r>
    <x v="108"/>
    <x v="0"/>
    <n v="17.8"/>
    <n v="2.2471910112359716E-2"/>
    <s v=""/>
    <s v=""/>
    <s v=""/>
    <s v=""/>
    <s v=""/>
    <s v=""/>
    <s v=""/>
    <s v=""/>
    <s v=""/>
    <s v=""/>
    <s v=""/>
    <m/>
  </r>
  <r>
    <x v="109"/>
    <x v="0"/>
    <n v="17.8"/>
    <n v="2.2471910112359716E-2"/>
    <s v=""/>
    <s v=""/>
    <s v=""/>
    <s v=""/>
    <s v=""/>
    <s v=""/>
    <s v=""/>
    <s v=""/>
    <s v=""/>
    <s v=""/>
    <s v=""/>
    <m/>
  </r>
  <r>
    <x v="110"/>
    <x v="0"/>
    <n v="17.8"/>
    <n v="2.2471910112359716E-2"/>
    <s v=""/>
    <s v=""/>
    <s v=""/>
    <s v=""/>
    <s v=""/>
    <s v=""/>
    <s v=""/>
    <s v=""/>
    <s v=""/>
    <s v=""/>
    <s v=""/>
    <m/>
  </r>
  <r>
    <x v="111"/>
    <x v="0"/>
    <n v="17.8"/>
    <n v="2.2471910112359716E-2"/>
    <s v=""/>
    <s v=""/>
    <s v=""/>
    <s v=""/>
    <s v=""/>
    <s v=""/>
    <s v=""/>
    <s v=""/>
    <s v=""/>
    <s v=""/>
    <s v=""/>
    <m/>
  </r>
  <r>
    <x v="112"/>
    <x v="0"/>
    <n v="17.8"/>
    <n v="2.2471910112359716E-2"/>
    <s v=""/>
    <s v=""/>
    <s v=""/>
    <s v=""/>
    <s v=""/>
    <s v=""/>
    <s v=""/>
    <s v=""/>
    <s v=""/>
    <s v=""/>
    <s v=""/>
    <m/>
  </r>
  <r>
    <x v="113"/>
    <x v="0"/>
    <n v="17.8"/>
    <n v="2.2471910112359716E-2"/>
    <s v=""/>
    <s v=""/>
    <s v=""/>
    <s v=""/>
    <s v=""/>
    <s v=""/>
    <s v=""/>
    <s v=""/>
    <s v=""/>
    <s v=""/>
    <s v=""/>
    <m/>
  </r>
  <r>
    <x v="114"/>
    <x v="0"/>
    <n v="17.8"/>
    <n v="2.2471910112359716E-2"/>
    <s v=""/>
    <s v=""/>
    <s v=""/>
    <s v=""/>
    <s v=""/>
    <s v=""/>
    <s v=""/>
    <s v=""/>
    <s v=""/>
    <s v=""/>
    <s v=""/>
    <m/>
  </r>
  <r>
    <x v="115"/>
    <x v="0"/>
    <n v="17.8"/>
    <n v="2.2471910112359716E-2"/>
    <s v=""/>
    <s v=""/>
    <s v=""/>
    <s v=""/>
    <s v=""/>
    <s v=""/>
    <s v=""/>
    <s v=""/>
    <s v=""/>
    <s v=""/>
    <s v=""/>
    <m/>
  </r>
  <r>
    <x v="116"/>
    <x v="0"/>
    <n v="17.8"/>
    <n v="2.2471910112359716E-2"/>
    <s v=""/>
    <s v=""/>
    <s v=""/>
    <s v=""/>
    <s v=""/>
    <s v=""/>
    <s v=""/>
    <s v=""/>
    <s v=""/>
    <s v=""/>
    <s v=""/>
    <m/>
  </r>
  <r>
    <x v="117"/>
    <x v="0"/>
    <n v="17.8"/>
    <n v="2.2471910112359716E-2"/>
    <s v=""/>
    <s v=""/>
    <s v=""/>
    <s v=""/>
    <s v=""/>
    <s v=""/>
    <s v=""/>
    <s v=""/>
    <s v=""/>
    <s v=""/>
    <s v=""/>
    <m/>
  </r>
  <r>
    <x v="118"/>
    <x v="0"/>
    <n v="17.8"/>
    <n v="2.2471910112359716E-2"/>
    <s v=""/>
    <s v=""/>
    <s v=""/>
    <s v=""/>
    <s v=""/>
    <s v=""/>
    <s v=""/>
    <s v=""/>
    <s v=""/>
    <s v=""/>
    <s v=""/>
    <m/>
  </r>
  <r>
    <x v="119"/>
    <x v="0"/>
    <n v="17.8"/>
    <n v="2.2471910112359716E-2"/>
    <s v=""/>
    <s v=""/>
    <s v=""/>
    <s v=""/>
    <s v=""/>
    <s v=""/>
    <s v=""/>
    <s v=""/>
    <s v=""/>
    <s v=""/>
    <s v=""/>
    <m/>
  </r>
  <r>
    <x v="120"/>
    <x v="0"/>
    <n v="17.899999999999999"/>
    <n v="2.7932960893854775E-2"/>
    <s v=""/>
    <s v=""/>
    <s v=""/>
    <s v=""/>
    <s v=""/>
    <s v=""/>
    <s v=""/>
    <s v=""/>
    <s v=""/>
    <s v=""/>
    <s v=""/>
    <m/>
  </r>
  <r>
    <x v="121"/>
    <x v="0"/>
    <n v="17.899999999999999"/>
    <n v="2.7932960893854775E-2"/>
    <s v=""/>
    <s v=""/>
    <s v=""/>
    <s v=""/>
    <s v=""/>
    <s v=""/>
    <s v=""/>
    <s v=""/>
    <s v=""/>
    <s v=""/>
    <s v=""/>
    <m/>
  </r>
  <r>
    <x v="122"/>
    <x v="0"/>
    <n v="17.899999999999999"/>
    <n v="2.7932960893854775E-2"/>
    <s v=""/>
    <s v=""/>
    <s v=""/>
    <s v=""/>
    <s v=""/>
    <s v=""/>
    <s v=""/>
    <s v=""/>
    <s v=""/>
    <s v=""/>
    <s v=""/>
    <m/>
  </r>
  <r>
    <x v="123"/>
    <x v="0"/>
    <n v="17.899999999999999"/>
    <n v="2.7932960893854775E-2"/>
    <s v=""/>
    <s v=""/>
    <s v=""/>
    <s v=""/>
    <s v=""/>
    <s v=""/>
    <s v=""/>
    <s v=""/>
    <s v=""/>
    <s v=""/>
    <s v=""/>
    <m/>
  </r>
  <r>
    <x v="124"/>
    <x v="0"/>
    <n v="17.899999999999999"/>
    <n v="2.7932960893854775E-2"/>
    <s v=""/>
    <s v=""/>
    <s v=""/>
    <s v=""/>
    <s v=""/>
    <s v=""/>
    <s v=""/>
    <s v=""/>
    <s v=""/>
    <s v=""/>
    <s v=""/>
    <m/>
  </r>
  <r>
    <x v="125"/>
    <x v="0"/>
    <n v="17.899999999999999"/>
    <n v="2.7932960893854775E-2"/>
    <s v=""/>
    <s v=""/>
    <s v=""/>
    <s v=""/>
    <s v=""/>
    <s v=""/>
    <s v=""/>
    <s v=""/>
    <s v=""/>
    <s v=""/>
    <s v=""/>
    <m/>
  </r>
  <r>
    <x v="126"/>
    <x v="0"/>
    <n v="18"/>
    <n v="3.3333333333333437E-2"/>
    <s v=""/>
    <s v=""/>
    <s v=""/>
    <s v=""/>
    <s v=""/>
    <s v=""/>
    <s v=""/>
    <s v=""/>
    <s v=""/>
    <s v=""/>
    <s v=""/>
    <m/>
  </r>
  <r>
    <x v="127"/>
    <x v="0"/>
    <n v="18"/>
    <n v="3.3333333333333437E-2"/>
    <s v=""/>
    <s v=""/>
    <s v=""/>
    <s v=""/>
    <s v=""/>
    <s v=""/>
    <s v=""/>
    <s v=""/>
    <s v=""/>
    <s v=""/>
    <s v=""/>
    <m/>
  </r>
  <r>
    <x v="128"/>
    <x v="0"/>
    <n v="18"/>
    <n v="3.3333333333333437E-2"/>
    <s v=""/>
    <s v=""/>
    <s v=""/>
    <s v=""/>
    <s v=""/>
    <s v=""/>
    <s v=""/>
    <s v=""/>
    <s v=""/>
    <s v=""/>
    <s v=""/>
    <m/>
  </r>
  <r>
    <x v="129"/>
    <x v="0"/>
    <n v="18"/>
    <n v="3.3333333333333437E-2"/>
    <s v=""/>
    <s v=""/>
    <s v=""/>
    <s v=""/>
    <s v=""/>
    <s v=""/>
    <s v=""/>
    <s v=""/>
    <s v=""/>
    <s v=""/>
    <s v=""/>
    <m/>
  </r>
  <r>
    <x v="130"/>
    <x v="0"/>
    <n v="18"/>
    <n v="3.3333333333333437E-2"/>
    <s v=""/>
    <s v=""/>
    <s v=""/>
    <s v=""/>
    <s v=""/>
    <s v=""/>
    <s v=""/>
    <s v=""/>
    <s v=""/>
    <s v=""/>
    <s v=""/>
    <m/>
  </r>
  <r>
    <x v="131"/>
    <x v="0"/>
    <n v="18"/>
    <n v="3.3333333333333437E-2"/>
    <s v=""/>
    <s v=""/>
    <s v=""/>
    <s v=""/>
    <s v=""/>
    <s v=""/>
    <s v=""/>
    <s v=""/>
    <s v=""/>
    <s v=""/>
    <s v=""/>
    <m/>
  </r>
  <r>
    <x v="132"/>
    <x v="0"/>
    <n v="18"/>
    <n v="3.3333333333333437E-2"/>
    <s v=""/>
    <s v=""/>
    <s v=""/>
    <s v=""/>
    <s v=""/>
    <s v=""/>
    <s v=""/>
    <s v=""/>
    <s v=""/>
    <s v=""/>
    <s v=""/>
    <m/>
  </r>
  <r>
    <x v="133"/>
    <x v="0"/>
    <n v="18"/>
    <n v="3.3333333333333437E-2"/>
    <s v=""/>
    <s v=""/>
    <s v=""/>
    <s v=""/>
    <s v=""/>
    <s v=""/>
    <s v=""/>
    <s v=""/>
    <s v=""/>
    <s v=""/>
    <s v=""/>
    <m/>
  </r>
  <r>
    <x v="134"/>
    <x v="0"/>
    <n v="18"/>
    <n v="3.3333333333333437E-2"/>
    <s v=""/>
    <s v=""/>
    <s v=""/>
    <s v=""/>
    <s v=""/>
    <s v=""/>
    <s v=""/>
    <s v=""/>
    <s v=""/>
    <s v=""/>
    <s v=""/>
    <m/>
  </r>
  <r>
    <x v="135"/>
    <x v="0"/>
    <n v="18"/>
    <n v="3.3333333333333437E-2"/>
    <s v=""/>
    <s v=""/>
    <s v=""/>
    <s v=""/>
    <s v=""/>
    <s v=""/>
    <s v=""/>
    <s v=""/>
    <s v=""/>
    <s v=""/>
    <s v=""/>
    <m/>
  </r>
  <r>
    <x v="136"/>
    <x v="0"/>
    <n v="18.100000000000001"/>
    <n v="3.8674033149171394E-2"/>
    <s v=""/>
    <s v=""/>
    <s v=""/>
    <s v=""/>
    <s v=""/>
    <s v=""/>
    <s v=""/>
    <s v=""/>
    <s v=""/>
    <s v=""/>
    <s v=""/>
    <m/>
  </r>
  <r>
    <x v="137"/>
    <x v="0"/>
    <n v="18"/>
    <n v="3.3333333333333437E-2"/>
    <s v=""/>
    <s v=""/>
    <s v=""/>
    <s v=""/>
    <s v=""/>
    <s v=""/>
    <s v=""/>
    <s v=""/>
    <s v=""/>
    <s v=""/>
    <s v=""/>
    <m/>
  </r>
  <r>
    <x v="138"/>
    <x v="0"/>
    <n v="18"/>
    <n v="3.3333333333333437E-2"/>
    <s v=""/>
    <s v=""/>
    <s v=""/>
    <s v=""/>
    <s v=""/>
    <s v=""/>
    <s v=""/>
    <s v=""/>
    <s v=""/>
    <s v=""/>
    <s v=""/>
    <m/>
  </r>
  <r>
    <x v="139"/>
    <x v="0"/>
    <n v="18.2"/>
    <n v="4.3956043956044022E-2"/>
    <s v=""/>
    <s v=""/>
    <s v=""/>
    <s v=""/>
    <s v=""/>
    <s v=""/>
    <s v=""/>
    <s v=""/>
    <s v=""/>
    <s v=""/>
    <s v=""/>
    <m/>
  </r>
  <r>
    <x v="140"/>
    <x v="0"/>
    <n v="18.399999999999999"/>
    <n v="5.4347826086956541E-2"/>
    <s v=""/>
    <s v=""/>
    <s v=""/>
    <s v=""/>
    <s v=""/>
    <s v=""/>
    <s v=""/>
    <s v=""/>
    <s v=""/>
    <s v=""/>
    <s v=""/>
    <m/>
  </r>
  <r>
    <x v="141"/>
    <x v="0"/>
    <n v="18.399999999999999"/>
    <n v="5.4347826086956541E-2"/>
    <s v=""/>
    <s v=""/>
    <s v=""/>
    <s v=""/>
    <s v=""/>
    <s v=""/>
    <s v=""/>
    <s v=""/>
    <s v=""/>
    <s v=""/>
    <s v=""/>
    <m/>
  </r>
  <r>
    <x v="142"/>
    <x v="0"/>
    <n v="18.399999999999999"/>
    <n v="5.4347826086956541E-2"/>
    <s v=""/>
    <s v=""/>
    <s v=""/>
    <s v=""/>
    <s v=""/>
    <s v=""/>
    <s v=""/>
    <s v=""/>
    <s v=""/>
    <s v=""/>
    <s v=""/>
    <m/>
  </r>
  <r>
    <x v="143"/>
    <x v="0"/>
    <n v="18.399999999999999"/>
    <n v="5.4347826086956541E-2"/>
    <s v=""/>
    <s v=""/>
    <s v=""/>
    <s v=""/>
    <s v=""/>
    <s v=""/>
    <s v=""/>
    <s v=""/>
    <s v=""/>
    <s v=""/>
    <s v=""/>
    <m/>
  </r>
  <r>
    <x v="144"/>
    <x v="0"/>
    <n v="18.399999999999999"/>
    <n v="5.4347826086956541E-2"/>
    <s v=""/>
    <s v=""/>
    <s v=""/>
    <s v=""/>
    <s v=""/>
    <s v=""/>
    <s v=""/>
    <s v=""/>
    <s v=""/>
    <s v=""/>
    <s v=""/>
    <m/>
  </r>
  <r>
    <x v="145"/>
    <x v="0"/>
    <n v="18.399999999999999"/>
    <n v="5.4347826086956541E-2"/>
    <s v=""/>
    <s v=""/>
    <s v=""/>
    <s v=""/>
    <s v=""/>
    <s v=""/>
    <s v=""/>
    <s v=""/>
    <s v=""/>
    <s v=""/>
    <s v=""/>
    <m/>
  </r>
  <r>
    <x v="146"/>
    <x v="0"/>
    <n v="18.399999999999999"/>
    <n v="5.4347826086956541E-2"/>
    <s v=""/>
    <s v=""/>
    <s v=""/>
    <s v=""/>
    <s v=""/>
    <s v=""/>
    <s v=""/>
    <s v=""/>
    <s v=""/>
    <s v=""/>
    <s v=""/>
    <m/>
  </r>
  <r>
    <x v="147"/>
    <x v="0"/>
    <n v="18.399999999999999"/>
    <n v="5.4347826086956541E-2"/>
    <s v=""/>
    <s v=""/>
    <s v=""/>
    <s v=""/>
    <s v=""/>
    <s v=""/>
    <s v=""/>
    <s v=""/>
    <s v=""/>
    <s v=""/>
    <s v=""/>
    <m/>
  </r>
  <r>
    <x v="148"/>
    <x v="0"/>
    <n v="18.600000000000001"/>
    <n v="6.4516129032258229E-2"/>
    <s v=""/>
    <s v=""/>
    <s v=""/>
    <s v=""/>
    <s v=""/>
    <s v=""/>
    <s v=""/>
    <s v=""/>
    <s v=""/>
    <s v=""/>
    <s v=""/>
    <m/>
  </r>
  <r>
    <x v="149"/>
    <x v="0"/>
    <n v="18.7"/>
    <n v="6.9518716577540163E-2"/>
    <s v=""/>
    <s v=""/>
    <s v=""/>
    <s v=""/>
    <s v=""/>
    <s v=""/>
    <s v=""/>
    <s v=""/>
    <s v=""/>
    <s v=""/>
    <s v=""/>
    <m/>
  </r>
  <r>
    <x v="150"/>
    <x v="0"/>
    <n v="19"/>
    <n v="8.4210526315789513E-2"/>
    <s v=""/>
    <s v=""/>
    <s v=""/>
    <s v=""/>
    <s v=""/>
    <s v=""/>
    <s v=""/>
    <s v=""/>
    <s v=""/>
    <s v=""/>
    <s v=""/>
    <m/>
  </r>
  <r>
    <x v="151"/>
    <x v="0"/>
    <n v="19"/>
    <n v="8.4210526315789513E-2"/>
    <s v=""/>
    <s v=""/>
    <s v=""/>
    <s v=""/>
    <s v=""/>
    <s v=""/>
    <s v=""/>
    <s v=""/>
    <s v=""/>
    <s v=""/>
    <s v=""/>
    <m/>
  </r>
  <r>
    <x v="152"/>
    <x v="0"/>
    <n v="19.3"/>
    <n v="9.8445595854922407E-2"/>
    <s v=""/>
    <s v=""/>
    <s v=""/>
    <s v=""/>
    <s v=""/>
    <s v=""/>
    <s v=""/>
    <s v=""/>
    <s v=""/>
    <s v=""/>
    <s v=""/>
    <m/>
  </r>
  <r>
    <x v="153"/>
    <x v="0"/>
    <n v="19.399999999999999"/>
    <n v="0.10309278350515461"/>
    <s v=""/>
    <s v=""/>
    <s v=""/>
    <s v=""/>
    <s v=""/>
    <s v=""/>
    <s v=""/>
    <s v=""/>
    <s v=""/>
    <s v=""/>
    <s v=""/>
    <m/>
  </r>
  <r>
    <x v="154"/>
    <x v="0"/>
    <n v="19.5"/>
    <n v="0.10769230769230775"/>
    <s v=""/>
    <s v=""/>
    <s v=""/>
    <s v=""/>
    <s v=""/>
    <s v=""/>
    <s v=""/>
    <s v=""/>
    <s v=""/>
    <s v=""/>
    <s v=""/>
    <m/>
  </r>
  <r>
    <x v="155"/>
    <x v="0"/>
    <n v="19.899999999999999"/>
    <n v="0.12562814070351758"/>
    <s v=""/>
    <s v=""/>
    <s v=""/>
    <s v=""/>
    <s v=""/>
    <s v=""/>
    <s v=""/>
    <s v=""/>
    <s v=""/>
    <s v=""/>
    <s v=""/>
    <m/>
  </r>
  <r>
    <x v="156"/>
    <x v="0"/>
    <n v="20"/>
    <n v="0.13000000000000012"/>
    <s v=""/>
    <s v=""/>
    <s v=""/>
    <s v=""/>
    <s v=""/>
    <s v=""/>
    <n v="358.02"/>
    <n v="0"/>
    <s v=""/>
    <s v=""/>
    <s v=""/>
    <m/>
  </r>
  <r>
    <x v="157"/>
    <x v="0"/>
    <n v="20.2"/>
    <n v="0.13861386138613863"/>
    <s v=""/>
    <s v=""/>
    <s v=""/>
    <s v=""/>
    <s v=""/>
    <s v=""/>
    <n v="357.54500000000002"/>
    <n v="-1.3285041043784585E-3"/>
    <s v=""/>
    <s v=""/>
    <s v=""/>
    <m/>
  </r>
  <r>
    <x v="158"/>
    <x v="0"/>
    <n v="20.5"/>
    <n v="0.15121951219512197"/>
    <s v=""/>
    <s v=""/>
    <s v=""/>
    <s v=""/>
    <s v=""/>
    <s v=""/>
    <n v="357.51870000000002"/>
    <n v="-1.4021644182526938E-3"/>
    <s v=""/>
    <s v=""/>
    <s v=""/>
    <m/>
  </r>
  <r>
    <x v="159"/>
    <x v="0"/>
    <n v="20.5"/>
    <n v="0.15121951219512197"/>
    <s v=""/>
    <s v=""/>
    <s v=""/>
    <s v=""/>
    <s v=""/>
    <s v=""/>
    <n v="357.50319999999999"/>
    <n v="-1.4455814661238353E-3"/>
    <s v=""/>
    <s v=""/>
    <s v=""/>
    <m/>
  </r>
  <r>
    <x v="160"/>
    <x v="0"/>
    <n v="20.6"/>
    <n v="0.15533980582524287"/>
    <s v=""/>
    <s v=""/>
    <s v=""/>
    <s v=""/>
    <s v=""/>
    <s v=""/>
    <n v="357.41300000000001"/>
    <n v="-1.6983153942358165E-3"/>
    <s v=""/>
    <s v=""/>
    <s v=""/>
    <m/>
  </r>
  <r>
    <x v="161"/>
    <x v="0"/>
    <n v="20.7"/>
    <n v="0.15942028985507251"/>
    <s v=""/>
    <s v=""/>
    <s v=""/>
    <s v=""/>
    <s v=""/>
    <s v=""/>
    <n v="357.41180000000003"/>
    <n v="-1.7016785679710988E-3"/>
    <s v=""/>
    <s v=""/>
    <s v=""/>
    <m/>
  </r>
  <r>
    <x v="162"/>
    <x v="0"/>
    <n v="21"/>
    <n v="0.17142857142857149"/>
    <s v=""/>
    <s v=""/>
    <s v=""/>
    <s v=""/>
    <s v=""/>
    <s v=""/>
    <n v="357.40429999999998"/>
    <n v="-1.7226989154859318E-3"/>
    <s v=""/>
    <s v=""/>
    <s v=""/>
    <m/>
  </r>
  <r>
    <x v="163"/>
    <x v="0"/>
    <n v="21.2"/>
    <n v="0.179245283018868"/>
    <s v=""/>
    <s v=""/>
    <s v=""/>
    <s v=""/>
    <s v=""/>
    <s v=""/>
    <n v="355.78"/>
    <n v="-6.2960256338187026E-3"/>
    <s v=""/>
    <s v=""/>
    <s v=""/>
    <m/>
  </r>
  <r>
    <x v="164"/>
    <x v="0"/>
    <n v="21.2"/>
    <n v="0.179245283018868"/>
    <s v=""/>
    <s v=""/>
    <s v=""/>
    <s v=""/>
    <s v=""/>
    <s v=""/>
    <n v="338.02100000000002"/>
    <n v="-5.9164963123592873E-2"/>
    <s v=""/>
    <s v=""/>
    <s v=""/>
    <m/>
  </r>
  <r>
    <x v="165"/>
    <x v="0"/>
    <n v="21.2"/>
    <n v="0.179245283018868"/>
    <s v=""/>
    <s v=""/>
    <s v=""/>
    <s v=""/>
    <s v=""/>
    <s v=""/>
    <n v="331.1105"/>
    <n v="-8.1270452009223337E-2"/>
    <s v=""/>
    <s v=""/>
    <s v=""/>
    <m/>
  </r>
  <r>
    <x v="166"/>
    <x v="0"/>
    <n v="21.2"/>
    <n v="0.179245283018868"/>
    <s v=""/>
    <s v=""/>
    <s v=""/>
    <s v=""/>
    <s v=""/>
    <s v=""/>
    <n v="328.75200000000001"/>
    <n v="-8.9027595269382198E-2"/>
    <s v=""/>
    <s v=""/>
    <s v=""/>
    <m/>
  </r>
  <r>
    <x v="167"/>
    <x v="0"/>
    <n v="21.8"/>
    <n v="0.20183486238532122"/>
    <s v=""/>
    <s v=""/>
    <s v=""/>
    <s v=""/>
    <s v=""/>
    <s v=""/>
    <n v="320.0727"/>
    <n v="-0.11855837751860743"/>
    <s v=""/>
    <s v=""/>
    <s v=""/>
    <m/>
  </r>
  <r>
    <x v="168"/>
    <x v="0"/>
    <n v="21.5"/>
    <n v="0.19069767441860475"/>
    <s v=""/>
    <s v=""/>
    <s v=""/>
    <s v=""/>
    <s v=""/>
    <s v=""/>
    <n v="312.72000000000003"/>
    <n v="-0.1448580199539522"/>
    <s v=""/>
    <s v=""/>
    <s v=""/>
    <m/>
  </r>
  <r>
    <x v="169"/>
    <x v="0"/>
    <n v="21.8"/>
    <n v="0.20183486238532122"/>
    <s v=""/>
    <s v=""/>
    <s v=""/>
    <s v=""/>
    <s v=""/>
    <s v=""/>
    <n v="305.18700000000001"/>
    <n v="-0.17311681034906456"/>
    <s v=""/>
    <s v=""/>
    <s v=""/>
    <m/>
  </r>
  <r>
    <x v="170"/>
    <x v="0"/>
    <n v="21.8"/>
    <n v="0.20183486238532122"/>
    <s v=""/>
    <s v=""/>
    <s v=""/>
    <s v=""/>
    <s v=""/>
    <s v=""/>
    <n v="302.53649999999999"/>
    <n v="-0.18339440034508225"/>
    <s v=""/>
    <s v=""/>
    <s v=""/>
    <m/>
  </r>
  <r>
    <x v="171"/>
    <x v="0"/>
    <n v="21.9"/>
    <n v="0.20547945205479456"/>
    <s v=""/>
    <s v=""/>
    <s v=""/>
    <s v=""/>
    <s v=""/>
    <s v=""/>
    <n v="303.56049999999999"/>
    <n v="-0.17940245848850567"/>
    <s v=""/>
    <s v=""/>
    <s v=""/>
    <m/>
  </r>
  <r>
    <x v="172"/>
    <x v="0"/>
    <n v="22"/>
    <n v="0.20909090909090911"/>
    <s v=""/>
    <s v=""/>
    <s v=""/>
    <s v=""/>
    <s v=""/>
    <s v=""/>
    <n v="304.37950000000001"/>
    <n v="-0.17622901673732949"/>
    <s v=""/>
    <s v=""/>
    <s v=""/>
    <m/>
  </r>
  <r>
    <x v="173"/>
    <x v="0"/>
    <n v="22"/>
    <n v="0.20909090909090911"/>
    <s v=""/>
    <s v=""/>
    <s v=""/>
    <s v=""/>
    <s v=""/>
    <s v=""/>
    <n v="302.41449999999998"/>
    <n v="-0.18387180508871115"/>
    <s v=""/>
    <s v=""/>
    <s v=""/>
    <m/>
  </r>
  <r>
    <x v="174"/>
    <x v="0"/>
    <n v="22.1"/>
    <n v="0.21266968325791868"/>
    <s v=""/>
    <s v=""/>
    <s v=""/>
    <s v=""/>
    <s v=""/>
    <s v=""/>
    <n v="301.03050000000002"/>
    <n v="-0.18931470399178818"/>
    <s v=""/>
    <s v=""/>
    <s v=""/>
    <m/>
  </r>
  <r>
    <x v="175"/>
    <x v="0"/>
    <n v="22.1"/>
    <n v="0.21266968325791868"/>
    <s v=""/>
    <s v=""/>
    <s v=""/>
    <s v=""/>
    <s v=""/>
    <s v=""/>
    <n v="301.16090000000003"/>
    <n v="-0.18879974126787369"/>
    <s v=""/>
    <s v=""/>
    <s v=""/>
    <m/>
  </r>
  <r>
    <x v="176"/>
    <x v="0"/>
    <n v="22.2"/>
    <n v="0.21621621621621623"/>
    <s v=""/>
    <s v=""/>
    <s v=""/>
    <s v=""/>
    <s v=""/>
    <s v=""/>
    <n v="301.11900000000003"/>
    <n v="-0.18896515995337371"/>
    <s v=""/>
    <s v=""/>
    <s v=""/>
    <m/>
  </r>
  <r>
    <x v="177"/>
    <x v="0"/>
    <n v="22.3"/>
    <n v="0.21973094170403595"/>
    <s v=""/>
    <s v=""/>
    <s v=""/>
    <s v=""/>
    <s v=""/>
    <s v=""/>
    <n v="301.01100000000002"/>
    <n v="-0.1893917498031632"/>
    <s v=""/>
    <s v=""/>
    <s v=""/>
    <m/>
  </r>
  <r>
    <x v="178"/>
    <x v="0"/>
    <n v="22.3"/>
    <n v="0.21973094170403595"/>
    <s v=""/>
    <s v=""/>
    <s v=""/>
    <s v=""/>
    <s v=""/>
    <s v=""/>
    <n v="300.98849999999999"/>
    <n v="-0.18948066122127583"/>
    <s v=""/>
    <s v=""/>
    <s v=""/>
    <m/>
  </r>
  <r>
    <x v="179"/>
    <x v="0"/>
    <n v="22.3"/>
    <n v="0.21973094170403595"/>
    <s v=""/>
    <s v=""/>
    <s v=""/>
    <s v=""/>
    <s v=""/>
    <s v=""/>
    <n v="301.2405"/>
    <n v="-0.18848561199440317"/>
    <s v=""/>
    <s v=""/>
    <s v=""/>
    <m/>
  </r>
  <r>
    <x v="180"/>
    <x v="0"/>
    <n v="22.6"/>
    <n v="0.23008849557522137"/>
    <s v=""/>
    <s v=""/>
    <s v=""/>
    <s v=""/>
    <s v=""/>
    <s v=""/>
    <n v="301.78820000000002"/>
    <n v="-0.18632869012108477"/>
    <s v=""/>
    <s v=""/>
    <s v=""/>
    <m/>
  </r>
  <r>
    <x v="181"/>
    <x v="0"/>
    <n v="22.9"/>
    <n v="0.24017467248908297"/>
    <s v=""/>
    <s v=""/>
    <s v=""/>
    <s v=""/>
    <s v=""/>
    <s v=""/>
    <n v="278.42059999999998"/>
    <n v="-0.28589623037950496"/>
    <s v=""/>
    <s v=""/>
    <s v=""/>
    <m/>
  </r>
  <r>
    <x v="182"/>
    <x v="0"/>
    <n v="23.1"/>
    <n v="0.24675324675324684"/>
    <s v=""/>
    <s v=""/>
    <s v=""/>
    <s v=""/>
    <s v=""/>
    <s v=""/>
    <n v="261.90140000000002"/>
    <n v="-0.36700300189307855"/>
    <s v=""/>
    <s v=""/>
    <s v=""/>
    <m/>
  </r>
  <r>
    <x v="183"/>
    <x v="0"/>
    <n v="23.3"/>
    <n v="0.25321888412017179"/>
    <s v=""/>
    <s v=""/>
    <s v=""/>
    <s v=""/>
    <s v=""/>
    <s v=""/>
    <n v="265.4914"/>
    <n v="-0.34851825708855344"/>
    <s v=""/>
    <s v=""/>
    <s v=""/>
    <m/>
  </r>
  <r>
    <x v="184"/>
    <x v="0"/>
    <n v="23.4"/>
    <n v="0.25641025641025639"/>
    <s v=""/>
    <s v=""/>
    <s v=""/>
    <s v=""/>
    <s v=""/>
    <s v=""/>
    <n v="264.65050000000002"/>
    <n v="-0.35280303645751654"/>
    <s v=""/>
    <s v=""/>
    <s v=""/>
    <m/>
  </r>
  <r>
    <x v="185"/>
    <x v="0"/>
    <n v="23.3"/>
    <n v="0.25321888412017179"/>
    <s v=""/>
    <s v=""/>
    <s v=""/>
    <s v=""/>
    <s v=""/>
    <s v=""/>
    <n v="264.49810000000002"/>
    <n v="-0.35358250210492992"/>
    <s v=""/>
    <s v=""/>
    <s v=""/>
    <m/>
  </r>
  <r>
    <x v="186"/>
    <x v="0"/>
    <n v="23.4"/>
    <n v="0.25641025641025639"/>
    <s v=""/>
    <s v=""/>
    <s v=""/>
    <s v=""/>
    <s v=""/>
    <s v=""/>
    <n v="264.55380000000002"/>
    <n v="-0.35329751453201563"/>
    <s v=""/>
    <s v=""/>
    <s v=""/>
    <m/>
  </r>
  <r>
    <x v="187"/>
    <x v="0"/>
    <n v="23.5"/>
    <n v="0.25957446808510642"/>
    <s v=""/>
    <s v=""/>
    <s v=""/>
    <s v=""/>
    <s v=""/>
    <s v=""/>
    <n v="265.22000000000003"/>
    <n v="-0.34989819772264519"/>
    <s v=""/>
    <s v=""/>
    <s v=""/>
    <m/>
  </r>
  <r>
    <x v="188"/>
    <x v="0"/>
    <n v="23.8"/>
    <n v="0.26890756302521013"/>
    <s v=""/>
    <s v=""/>
    <s v=""/>
    <s v=""/>
    <s v=""/>
    <s v=""/>
    <n v="265.47469999999998"/>
    <n v="-0.34860308722450761"/>
    <s v=""/>
    <s v=""/>
    <s v=""/>
    <m/>
  </r>
  <r>
    <x v="189"/>
    <x v="0"/>
    <n v="24.1"/>
    <n v="0.27800829875518684"/>
    <s v=""/>
    <s v=""/>
    <s v=""/>
    <s v=""/>
    <s v=""/>
    <s v=""/>
    <n v="266.33479999999997"/>
    <n v="-0.34424791653212439"/>
    <s v=""/>
    <s v=""/>
    <s v=""/>
    <m/>
  </r>
  <r>
    <x v="190"/>
    <x v="0"/>
    <n v="24.4"/>
    <n v="0.28688524590163933"/>
    <s v=""/>
    <s v=""/>
    <s v=""/>
    <s v=""/>
    <s v=""/>
    <s v=""/>
    <n v="278.26249999999999"/>
    <n v="-0.28662683617088169"/>
    <s v=""/>
    <s v=""/>
    <s v=""/>
    <m/>
  </r>
  <r>
    <x v="191"/>
    <x v="0"/>
    <n v="24.9"/>
    <n v="0.3012048192771084"/>
    <s v=""/>
    <s v=""/>
    <s v=""/>
    <s v=""/>
    <s v=""/>
    <s v=""/>
    <n v="280.17750000000001"/>
    <n v="-0.27783280241989439"/>
    <s v=""/>
    <s v=""/>
    <s v=""/>
    <m/>
  </r>
  <r>
    <x v="192"/>
    <x v="0"/>
    <n v="25.3"/>
    <n v="0.31225296442687756"/>
    <s v=""/>
    <s v=""/>
    <s v=""/>
    <s v=""/>
    <s v=""/>
    <s v=""/>
    <n v="298.1336"/>
    <n v="-0.20087101889890979"/>
    <s v=""/>
    <s v=""/>
    <s v=""/>
    <m/>
  </r>
  <r>
    <x v="193"/>
    <x v="0"/>
    <n v="26.1"/>
    <n v="0.33333333333333337"/>
    <s v=""/>
    <s v=""/>
    <s v=""/>
    <s v=""/>
    <s v=""/>
    <s v=""/>
    <n v="291.0872"/>
    <n v="-0.22994071879491784"/>
    <s v=""/>
    <s v=""/>
    <s v=""/>
    <m/>
  </r>
  <r>
    <x v="194"/>
    <x v="0"/>
    <n v="27.4"/>
    <n v="0.36496350364963503"/>
    <s v=""/>
    <s v=""/>
    <s v=""/>
    <s v=""/>
    <s v=""/>
    <s v=""/>
    <n v="282.16480000000001"/>
    <n v="-0.26883296569947768"/>
    <s v=""/>
    <s v=""/>
    <s v=""/>
    <m/>
  </r>
  <r>
    <x v="195"/>
    <x v="0"/>
    <n v="28.2"/>
    <n v="0.38297872340425532"/>
    <s v=""/>
    <s v=""/>
    <s v=""/>
    <s v=""/>
    <n v="51.4"/>
    <n v="0"/>
    <n v="277.77409999999998"/>
    <n v="-0.28888906489121924"/>
    <s v=""/>
    <s v=""/>
    <s v=""/>
    <m/>
  </r>
  <r>
    <x v="196"/>
    <x v="0"/>
    <n v="29.7"/>
    <n v="0.41414141414141414"/>
    <s v=""/>
    <s v=""/>
    <s v=""/>
    <s v=""/>
    <n v="52.9"/>
    <n v="2.8355387523629538E-2"/>
    <n v="278.96640000000002"/>
    <n v="-0.28338036408685752"/>
    <s v=""/>
    <s v=""/>
    <s v=""/>
    <m/>
  </r>
  <r>
    <x v="197"/>
    <x v="0"/>
    <n v="30.9"/>
    <n v="0.43689320388349517"/>
    <s v=""/>
    <s v=""/>
    <s v=""/>
    <s v=""/>
    <n v="53.1"/>
    <n v="3.2015065913370999E-2"/>
    <n v="282.97000000000003"/>
    <n v="-0.26522246174506114"/>
    <s v=""/>
    <s v=""/>
    <s v=""/>
    <m/>
  </r>
  <r>
    <x v="198"/>
    <x v="0"/>
    <n v="31.7"/>
    <n v="0.45110410094637232"/>
    <s v=""/>
    <s v=""/>
    <s v=""/>
    <s v=""/>
    <n v="55.2"/>
    <n v="6.8840579710145011E-2"/>
    <n v="290.98"/>
    <n v="-0.23039384150113396"/>
    <s v=""/>
    <s v=""/>
    <s v=""/>
    <m/>
  </r>
  <r>
    <x v="199"/>
    <x v="0"/>
    <n v="32.4"/>
    <n v="0.46296296296296302"/>
    <s v=""/>
    <s v=""/>
    <s v=""/>
    <s v=""/>
    <n v="55.2"/>
    <n v="6.8840579710145011E-2"/>
    <n v="302.28359999999998"/>
    <n v="-0.18438446544900211"/>
    <s v=""/>
    <s v=""/>
    <s v=""/>
    <m/>
  </r>
  <r>
    <x v="200"/>
    <x v="0"/>
    <n v="32.9"/>
    <n v="0.47112462006079026"/>
    <s v=""/>
    <s v=""/>
    <s v=""/>
    <s v=""/>
    <n v="55.6"/>
    <n v="7.5539568345323826E-2"/>
    <n v="299.084"/>
    <n v="-0.19705500795763053"/>
    <s v=""/>
    <s v=""/>
    <s v=""/>
    <m/>
  </r>
  <r>
    <x v="201"/>
    <x v="0"/>
    <n v="33.9"/>
    <n v="0.48672566371681414"/>
    <s v=""/>
    <s v=""/>
    <s v=""/>
    <s v=""/>
    <n v="55.4"/>
    <n v="7.2202166064981976E-2"/>
    <n v="299.36450000000002"/>
    <n v="-0.19593338555506734"/>
    <s v=""/>
    <s v=""/>
    <s v=""/>
    <m/>
  </r>
  <r>
    <x v="202"/>
    <x v="0"/>
    <n v="34.299999999999997"/>
    <n v="0.49271137026239065"/>
    <s v=""/>
    <s v=""/>
    <s v=""/>
    <s v=""/>
    <n v="55.4"/>
    <n v="7.2202166064981976E-2"/>
    <n v="300.07499999999999"/>
    <n v="-0.19310172456885777"/>
    <s v=""/>
    <s v=""/>
    <s v=""/>
    <m/>
  </r>
  <r>
    <x v="203"/>
    <x v="0"/>
    <n v="34.700000000000003"/>
    <n v="0.49855907780979836"/>
    <s v=""/>
    <s v=""/>
    <s v=""/>
    <s v=""/>
    <n v="55.4"/>
    <n v="7.2202166064981976E-2"/>
    <n v="300.41140000000001"/>
    <n v="-0.19176569198106308"/>
    <s v=""/>
    <s v=""/>
    <s v=""/>
    <m/>
  </r>
  <r>
    <x v="204"/>
    <x v="0"/>
    <n v="35.200000000000003"/>
    <n v="0.50568181818181834"/>
    <s v=""/>
    <s v=""/>
    <s v=""/>
    <s v=""/>
    <n v="55.4"/>
    <n v="7.2202166064981976E-2"/>
    <n v="299.68450000000001"/>
    <n v="-0.19465638029327503"/>
    <s v=""/>
    <s v=""/>
    <s v=""/>
    <m/>
  </r>
  <r>
    <x v="205"/>
    <x v="0"/>
    <n v="36"/>
    <n v="0.51666666666666672"/>
    <s v=""/>
    <s v=""/>
    <s v=""/>
    <s v=""/>
    <n v="54.9"/>
    <n v="6.3752276867030999E-2"/>
    <n v="291.6583"/>
    <n v="-0.22753235549956918"/>
    <s v=""/>
    <s v=""/>
    <s v=""/>
    <m/>
  </r>
  <r>
    <x v="206"/>
    <x v="0"/>
    <n v="37"/>
    <n v="0.52972972972972976"/>
    <s v=""/>
    <s v=""/>
    <s v=""/>
    <s v=""/>
    <n v="54.9"/>
    <n v="6.3752276867030999E-2"/>
    <n v="287.9486"/>
    <n v="-0.2433469028847508"/>
    <s v=""/>
    <s v=""/>
    <s v=""/>
    <m/>
  </r>
  <r>
    <x v="207"/>
    <x v="0"/>
    <n v="37.799999999999997"/>
    <n v="0.53968253968253976"/>
    <s v=""/>
    <s v=""/>
    <s v=""/>
    <s v=""/>
    <n v="54.5"/>
    <n v="5.6880733944954187E-2"/>
    <n v="292.1968"/>
    <n v="-0.22527009193803615"/>
    <s v=""/>
    <s v=""/>
    <s v=""/>
    <m/>
  </r>
  <r>
    <x v="208"/>
    <x v="0"/>
    <n v="37.1"/>
    <n v="0.53099730458221028"/>
    <s v=""/>
    <s v=""/>
    <s v=""/>
    <s v=""/>
    <n v="54.5"/>
    <n v="5.6880733944954187E-2"/>
    <n v="291.43049999999999"/>
    <n v="-0.22849187027438789"/>
    <s v=""/>
    <s v=""/>
    <s v=""/>
    <m/>
  </r>
  <r>
    <x v="209"/>
    <x v="0"/>
    <n v="36.6"/>
    <n v="0.52459016393442637"/>
    <s v=""/>
    <s v=""/>
    <s v=""/>
    <s v=""/>
    <n v="54.5"/>
    <n v="5.6880733944954187E-2"/>
    <n v="293.46620000000001"/>
    <n v="-0.21997013625419193"/>
    <s v=""/>
    <s v=""/>
    <s v=""/>
    <m/>
  </r>
  <r>
    <x v="210"/>
    <x v="0"/>
    <n v="36.9"/>
    <n v="0.52845528455284563"/>
    <s v=""/>
    <s v=""/>
    <s v=""/>
    <s v=""/>
    <n v="55.1"/>
    <n v="6.7150635208711451E-2"/>
    <n v="296.3741"/>
    <n v="-0.2080002942227408"/>
    <s v=""/>
    <s v=""/>
    <s v=""/>
    <m/>
  </r>
  <r>
    <x v="211"/>
    <x v="0"/>
    <n v="37.4"/>
    <n v="0.53475935828877008"/>
    <s v=""/>
    <s v=""/>
    <s v=""/>
    <s v=""/>
    <n v="55.1"/>
    <n v="6.7150635208711451E-2"/>
    <n v="297.97620000000001"/>
    <n v="-0.2015053551256778"/>
    <s v=""/>
    <s v=""/>
    <s v=""/>
    <m/>
  </r>
  <r>
    <x v="212"/>
    <x v="0"/>
    <n v="38"/>
    <n v="0.54210526315789476"/>
    <s v=""/>
    <s v=""/>
    <s v=""/>
    <s v=""/>
    <n v="55.1"/>
    <n v="6.7150635208711451E-2"/>
    <n v="299.90899999999999"/>
    <n v="-0.19376210783937786"/>
    <s v=""/>
    <s v=""/>
    <s v=""/>
    <m/>
  </r>
  <r>
    <x v="213"/>
    <x v="0"/>
    <n v="38.4"/>
    <n v="0.546875"/>
    <s v=""/>
    <s v=""/>
    <s v=""/>
    <s v=""/>
    <n v="55.1"/>
    <n v="6.7150635208711451E-2"/>
    <n v="302.33640000000003"/>
    <n v="-0.18417762465915444"/>
    <s v=""/>
    <s v=""/>
    <s v=""/>
    <m/>
  </r>
  <r>
    <x v="214"/>
    <x v="0"/>
    <n v="38.6"/>
    <n v="0.5492227979274612"/>
    <s v=""/>
    <s v=""/>
    <s v=""/>
    <s v=""/>
    <n v="55.7"/>
    <n v="7.7199281867145531E-2"/>
    <n v="302.5453"/>
    <n v="-0.18335997948075877"/>
    <s v=""/>
    <s v=""/>
    <s v=""/>
    <m/>
  </r>
  <r>
    <x v="215"/>
    <x v="0"/>
    <n v="38.200000000000003"/>
    <n v="0.54450261780104725"/>
    <s v=""/>
    <s v=""/>
    <s v=""/>
    <s v=""/>
    <n v="55.7"/>
    <n v="7.7199281867145531E-2"/>
    <n v="305.67"/>
    <n v="-0.17126312690156031"/>
    <s v=""/>
    <s v=""/>
    <s v=""/>
    <m/>
  </r>
  <r>
    <x v="216"/>
    <x v="0"/>
    <n v="38.5"/>
    <n v="0.54805194805194812"/>
    <s v=""/>
    <s v=""/>
    <s v=""/>
    <s v=""/>
    <n v="54.8"/>
    <n v="6.2043795620437936E-2"/>
    <n v="304.63569999999999"/>
    <n v="-0.17523980282022089"/>
    <s v=""/>
    <s v=""/>
    <s v=""/>
    <m/>
  </r>
  <r>
    <x v="217"/>
    <x v="0"/>
    <n v="38.700000000000003"/>
    <n v="0.5503875968992249"/>
    <s v=""/>
    <s v=""/>
    <s v=""/>
    <s v=""/>
    <n v="54.8"/>
    <n v="6.2043795620437936E-2"/>
    <n v="301.59440000000001"/>
    <n v="-0.18709100699482484"/>
    <s v=""/>
    <s v=""/>
    <s v=""/>
    <m/>
  </r>
  <r>
    <x v="218"/>
    <x v="0"/>
    <n v="39.200000000000003"/>
    <n v="0.55612244897959195"/>
    <s v=""/>
    <s v=""/>
    <s v=""/>
    <s v=""/>
    <n v="54.8"/>
    <n v="6.2043795620437936E-2"/>
    <n v="300.51830000000001"/>
    <n v="-0.19134175855513624"/>
    <s v=""/>
    <s v=""/>
    <s v=""/>
    <m/>
  </r>
  <r>
    <x v="219"/>
    <x v="0"/>
    <n v="39.9"/>
    <n v="0.56390977443609025"/>
    <s v=""/>
    <s v=""/>
    <s v=""/>
    <s v=""/>
    <n v="54.2"/>
    <n v="5.1660516605166129E-2"/>
    <n v="299.10860000000002"/>
    <n v="-0.19695655691611669"/>
    <s v=""/>
    <s v=""/>
    <s v=""/>
    <m/>
  </r>
  <r>
    <x v="220"/>
    <x v="0"/>
    <n v="39.799999999999997"/>
    <n v="0.56281407035175879"/>
    <s v=""/>
    <s v=""/>
    <s v=""/>
    <s v=""/>
    <n v="52.9"/>
    <n v="2.8355387523629538E-2"/>
    <n v="299.00400000000002"/>
    <n v="-0.19737528594935161"/>
    <s v=""/>
    <s v=""/>
    <s v=""/>
    <m/>
  </r>
  <r>
    <x v="221"/>
    <x v="0"/>
    <n v="40"/>
    <n v="0.56500000000000006"/>
    <s v=""/>
    <s v=""/>
    <s v=""/>
    <s v=""/>
    <n v="52.5"/>
    <n v="2.0952380952380945E-2"/>
    <n v="299.1909"/>
    <n v="-0.19662730383845228"/>
    <s v=""/>
    <s v=""/>
    <s v=""/>
    <m/>
  </r>
  <r>
    <x v="222"/>
    <x v="0"/>
    <n v="40.700000000000003"/>
    <n v="0.57248157248157261"/>
    <s v=""/>
    <s v=""/>
    <s v=""/>
    <s v=""/>
    <n v="52.6"/>
    <n v="2.2813688212927841E-2"/>
    <n v="294.64100000000002"/>
    <n v="-0.21510584066711669"/>
    <s v=""/>
    <s v=""/>
    <s v=""/>
    <m/>
  </r>
  <r>
    <x v="223"/>
    <x v="0"/>
    <n v="41.2"/>
    <n v="0.57766990291262144"/>
    <s v=""/>
    <s v=""/>
    <s v=""/>
    <s v=""/>
    <n v="52.9"/>
    <n v="2.8355387523629538E-2"/>
    <n v="290.6259"/>
    <n v="-0.23189295929922271"/>
    <s v=""/>
    <s v=""/>
    <s v=""/>
    <m/>
  </r>
  <r>
    <x v="224"/>
    <x v="0"/>
    <n v="41.6"/>
    <n v="0.58173076923076927"/>
    <s v=""/>
    <s v=""/>
    <s v=""/>
    <s v=""/>
    <n v="54.1"/>
    <n v="4.9907578558225585E-2"/>
    <n v="287.36099999999999"/>
    <n v="-0.24588931692192051"/>
    <s v=""/>
    <s v=""/>
    <s v=""/>
    <m/>
  </r>
  <r>
    <x v="225"/>
    <x v="0"/>
    <n v="41.2"/>
    <n v="0.57766990291262144"/>
    <s v=""/>
    <s v=""/>
    <s v=""/>
    <s v=""/>
    <n v="54.6"/>
    <n v="5.8608058608058622E-2"/>
    <n v="291.18900000000002"/>
    <n v="-0.22951073014433909"/>
    <s v=""/>
    <s v=""/>
    <s v=""/>
    <m/>
  </r>
  <r>
    <x v="226"/>
    <x v="0"/>
    <n v="41.5"/>
    <n v="0.58072289156626511"/>
    <s v=""/>
    <s v=""/>
    <s v=""/>
    <s v=""/>
    <n v="54.9"/>
    <n v="6.3752276867030999E-2"/>
    <n v="295.1653"/>
    <n v="-0.21294745689957462"/>
    <s v=""/>
    <s v=""/>
    <s v=""/>
    <m/>
  </r>
  <r>
    <x v="227"/>
    <x v="0"/>
    <n v="41.3"/>
    <n v="0.57869249394673128"/>
    <s v=""/>
    <s v=""/>
    <s v=""/>
    <s v=""/>
    <n v="55.1"/>
    <n v="6.7150635208711451E-2"/>
    <n v="294.70170000000002"/>
    <n v="-0.21485556411788576"/>
    <s v=""/>
    <s v=""/>
    <s v=""/>
    <m/>
  </r>
  <r>
    <x v="228"/>
    <x v="0"/>
    <n v="41.7"/>
    <n v="0.58273381294964033"/>
    <s v=""/>
    <s v=""/>
    <s v=""/>
    <s v=""/>
    <n v="55.6"/>
    <n v="7.5539568345323826E-2"/>
    <n v="291.05239999999998"/>
    <n v="-0.23008777800835856"/>
    <s v=""/>
    <s v=""/>
    <s v=""/>
    <m/>
  </r>
  <r>
    <x v="229"/>
    <x v="0"/>
    <n v="43"/>
    <n v="0.59534883720930232"/>
    <s v=""/>
    <s v=""/>
    <s v=""/>
    <s v=""/>
    <n v="56.4"/>
    <n v="8.8652482269503508E-2"/>
    <n v="285.02210000000002"/>
    <n v="-0.25611312245611817"/>
    <s v=""/>
    <s v=""/>
    <s v=""/>
    <m/>
  </r>
  <r>
    <x v="230"/>
    <x v="0"/>
    <n v="44.1"/>
    <n v="0.60544217687074831"/>
    <s v=""/>
    <s v=""/>
    <s v=""/>
    <s v=""/>
    <n v="56.9"/>
    <n v="9.6660808435852341E-2"/>
    <n v="280.22649999999999"/>
    <n v="-0.27760936242646572"/>
    <s v=""/>
    <s v=""/>
    <s v=""/>
    <m/>
  </r>
  <r>
    <x v="231"/>
    <x v="0"/>
    <n v="45.6"/>
    <n v="0.61842105263157898"/>
    <s v=""/>
    <s v=""/>
    <s v=""/>
    <s v=""/>
    <n v="56.9"/>
    <n v="9.6660808435852341E-2"/>
    <n v="275.20710000000003"/>
    <n v="-0.30091120468912291"/>
    <s v=""/>
    <s v=""/>
    <s v=""/>
    <m/>
  </r>
  <r>
    <x v="232"/>
    <x v="0"/>
    <n v="45.7"/>
    <n v="0.61925601750547044"/>
    <s v=""/>
    <s v=""/>
    <s v=""/>
    <s v=""/>
    <n v="57.3"/>
    <n v="0.10296684118673649"/>
    <n v="277.42619999999999"/>
    <n v="-0.29050536683269268"/>
    <s v=""/>
    <s v=""/>
    <s v=""/>
    <m/>
  </r>
  <r>
    <x v="233"/>
    <x v="0"/>
    <n v="45.5"/>
    <n v="0.61758241758241761"/>
    <s v=""/>
    <s v=""/>
    <s v=""/>
    <s v=""/>
    <n v="57.6"/>
    <n v="0.10763888888888895"/>
    <n v="272.86090000000002"/>
    <n v="-0.31209711614965707"/>
    <s v=""/>
    <s v=""/>
    <s v=""/>
    <m/>
  </r>
  <r>
    <x v="234"/>
    <x v="0"/>
    <n v="46.7"/>
    <n v="0.6274089935760172"/>
    <s v=""/>
    <s v=""/>
    <s v=""/>
    <s v=""/>
    <n v="58.2"/>
    <n v="0.11683848797250862"/>
    <n v="264.86320000000001"/>
    <n v="-0.35171665977002453"/>
    <s v=""/>
    <s v=""/>
    <s v=""/>
    <m/>
  </r>
  <r>
    <x v="235"/>
    <x v="0"/>
    <n v="47.8"/>
    <n v="0.63598326359832635"/>
    <s v=""/>
    <s v=""/>
    <s v=""/>
    <s v=""/>
    <n v="58.6"/>
    <n v="0.12286689419795227"/>
    <n v="266.67739999999998"/>
    <n v="-0.34252096353121786"/>
    <s v=""/>
    <s v=""/>
    <s v=""/>
    <m/>
  </r>
  <r>
    <x v="236"/>
    <x v="0"/>
    <n v="47.3"/>
    <n v="0.63213530655391126"/>
    <s v=""/>
    <s v=""/>
    <s v=""/>
    <s v=""/>
    <n v="59.6"/>
    <n v="0.13758389261744974"/>
    <n v="266.77"/>
    <n v="-0.34205495370543915"/>
    <s v=""/>
    <s v=""/>
    <s v=""/>
    <m/>
  </r>
  <r>
    <x v="237"/>
    <x v="0"/>
    <n v="47.5"/>
    <n v="0.63368421052631585"/>
    <s v=""/>
    <s v=""/>
    <s v=""/>
    <s v=""/>
    <n v="59.8"/>
    <n v="0.14046822742474918"/>
    <n v="254.74449999999999"/>
    <n v="-0.4054081638661482"/>
    <s v=""/>
    <s v=""/>
    <s v=""/>
    <m/>
  </r>
  <r>
    <x v="238"/>
    <x v="0"/>
    <n v="46.6"/>
    <n v="0.62660944206008584"/>
    <s v=""/>
    <s v=""/>
    <s v=""/>
    <s v=""/>
    <n v="60.8"/>
    <n v="0.15460526315789469"/>
    <n v="244.70259999999999"/>
    <n v="-0.46308212499581125"/>
    <s v=""/>
    <s v=""/>
    <s v=""/>
    <m/>
  </r>
  <r>
    <x v="239"/>
    <x v="0"/>
    <n v="46.6"/>
    <n v="0.62660944206008584"/>
    <s v=""/>
    <s v=""/>
    <s v=""/>
    <s v=""/>
    <n v="60.9"/>
    <n v="0.15599343185550085"/>
    <n v="241.02289999999999"/>
    <n v="-0.48541902035034834"/>
    <s v=""/>
    <s v=""/>
    <s v=""/>
    <m/>
  </r>
  <r>
    <x v="240"/>
    <x v="0"/>
    <n v="47.2"/>
    <n v="0.63135593220338992"/>
    <s v=""/>
    <s v=""/>
    <s v=""/>
    <s v=""/>
    <n v="60.9"/>
    <n v="0.15599343185550085"/>
    <n v="241.08099999999999"/>
    <n v="-0.48506103757658203"/>
    <s v=""/>
    <s v=""/>
    <s v=""/>
    <m/>
  </r>
  <r>
    <x v="241"/>
    <x v="0"/>
    <n v="47.8"/>
    <n v="0.63598326359832635"/>
    <s v=""/>
    <s v=""/>
    <s v=""/>
    <s v=""/>
    <n v="61.3"/>
    <n v="0.16150081566068519"/>
    <n v="240.37219999999999"/>
    <n v="-0.48944012660365876"/>
    <s v=""/>
    <s v=""/>
    <s v=""/>
    <m/>
  </r>
  <r>
    <x v="242"/>
    <x v="0"/>
    <n v="49.6"/>
    <n v="0.64919354838709675"/>
    <s v=""/>
    <s v=""/>
    <s v=""/>
    <s v=""/>
    <n v="61.5"/>
    <n v="0.16422764227642284"/>
    <n v="231.85740000000001"/>
    <n v="-0.54413876805312222"/>
    <s v=""/>
    <s v=""/>
    <s v=""/>
    <m/>
  </r>
  <r>
    <x v="243"/>
    <x v="0"/>
    <n v="49.9"/>
    <n v="0.65130260521042094"/>
    <s v=""/>
    <s v=""/>
    <s v=""/>
    <s v=""/>
    <n v="61.6"/>
    <n v="0.16558441558441561"/>
    <n v="221.857"/>
    <n v="-0.61374218528151014"/>
    <s v=""/>
    <s v=""/>
    <s v=""/>
    <m/>
  </r>
  <r>
    <x v="244"/>
    <x v="0"/>
    <n v="50.6"/>
    <n v="0.65612648221343872"/>
    <s v=""/>
    <s v=""/>
    <s v=""/>
    <s v=""/>
    <n v="61.7"/>
    <n v="0.16693679092382507"/>
    <n v="226.17859999999999"/>
    <n v="-0.58290837417863584"/>
    <s v=""/>
    <s v=""/>
    <s v=""/>
    <m/>
  </r>
  <r>
    <x v="245"/>
    <x v="0"/>
    <n v="51"/>
    <n v="0.65882352941176481"/>
    <s v=""/>
    <s v=""/>
    <s v=""/>
    <s v=""/>
    <n v="62.6"/>
    <n v="0.17891373801916932"/>
    <n v="214.10640000000001"/>
    <n v="-0.67215926287117056"/>
    <s v=""/>
    <s v=""/>
    <s v=""/>
    <m/>
  </r>
  <r>
    <x v="246"/>
    <x v="0"/>
    <n v="50.2"/>
    <n v="0.65338645418326702"/>
    <s v=""/>
    <s v=""/>
    <s v=""/>
    <s v=""/>
    <n v="63.6"/>
    <n v="0.19182389937106925"/>
    <n v="199.69550000000001"/>
    <n v="-0.79282958304017859"/>
    <s v=""/>
    <s v=""/>
    <s v=""/>
    <m/>
  </r>
  <r>
    <x v="247"/>
    <x v="0"/>
    <n v="50"/>
    <n v="0.65200000000000002"/>
    <s v=""/>
    <s v=""/>
    <s v=""/>
    <s v=""/>
    <n v="63.6"/>
    <n v="0.19182389937106925"/>
    <n v="188.70959999999999"/>
    <n v="-0.89720077833878076"/>
    <s v=""/>
    <s v=""/>
    <s v=""/>
    <m/>
  </r>
  <r>
    <x v="248"/>
    <x v="0"/>
    <n v="49.7"/>
    <n v="0.64989939637826966"/>
    <s v=""/>
    <s v=""/>
    <s v=""/>
    <s v=""/>
    <n v="62.4"/>
    <n v="0.17628205128205132"/>
    <n v="189.9195"/>
    <n v="-0.885114482715045"/>
    <s v=""/>
    <s v=""/>
    <s v=""/>
    <m/>
  </r>
  <r>
    <x v="249"/>
    <x v="0"/>
    <n v="50.1"/>
    <n v="0.65269461077844315"/>
    <s v=""/>
    <s v=""/>
    <s v=""/>
    <s v=""/>
    <n v="64.8"/>
    <n v="0.20679012345679015"/>
    <n v="183.631"/>
    <n v="-0.94967080721664643"/>
    <s v=""/>
    <s v=""/>
    <s v=""/>
    <m/>
  </r>
  <r>
    <x v="250"/>
    <x v="0"/>
    <n v="50"/>
    <n v="0.65200000000000002"/>
    <s v=""/>
    <s v=""/>
    <s v=""/>
    <s v=""/>
    <n v="64.900000000000006"/>
    <n v="0.20801232665639457"/>
    <n v="192.14250000000001"/>
    <n v="-0.86330457863304555"/>
    <s v=""/>
    <s v=""/>
    <s v=""/>
    <m/>
  </r>
  <r>
    <x v="251"/>
    <x v="0"/>
    <n v="50.2"/>
    <n v="0.65338645418326702"/>
    <s v=""/>
    <s v=""/>
    <s v=""/>
    <s v=""/>
    <n v="64.900000000000006"/>
    <n v="0.20801232665639457"/>
    <n v="195.95500000000001"/>
    <n v="-0.82705212931540384"/>
    <s v=""/>
    <s v=""/>
    <s v=""/>
    <m/>
  </r>
  <r>
    <x v="252"/>
    <x v="0"/>
    <n v="50.4"/>
    <n v="0.65476190476190477"/>
    <s v=""/>
    <s v=""/>
    <s v=""/>
    <s v=""/>
    <n v="66.5"/>
    <n v="0.22706766917293231"/>
    <n v="197.755"/>
    <n v="-0.81042198680185074"/>
    <s v=""/>
    <s v=""/>
    <s v=""/>
    <m/>
  </r>
  <r>
    <x v="253"/>
    <x v="0"/>
    <n v="50.4"/>
    <n v="0.65476190476190477"/>
    <s v=""/>
    <s v=""/>
    <s v=""/>
    <s v=""/>
    <n v="67"/>
    <n v="0.23283582089552246"/>
    <n v="200.50720000000001"/>
    <n v="-0.7855717899407102"/>
    <s v=""/>
    <s v=""/>
    <s v=""/>
    <m/>
  </r>
  <r>
    <x v="254"/>
    <x v="0"/>
    <n v="51.9"/>
    <n v="0.66473988439306364"/>
    <s v=""/>
    <s v=""/>
    <s v=""/>
    <s v=""/>
    <n v="68.2"/>
    <n v="0.24633431085043989"/>
    <n v="206.3236"/>
    <n v="-0.7352353293564089"/>
    <s v=""/>
    <s v=""/>
    <s v=""/>
    <m/>
  </r>
  <r>
    <x v="255"/>
    <x v="0"/>
    <n v="52.7"/>
    <n v="0.66982922201138528"/>
    <s v=""/>
    <s v=""/>
    <s v=""/>
    <s v=""/>
    <n v="68.400000000000006"/>
    <n v="0.2485380116959065"/>
    <n v="216.2852"/>
    <n v="-0.65531437194962927"/>
    <s v=""/>
    <s v=""/>
    <s v=""/>
    <m/>
  </r>
  <r>
    <x v="256"/>
    <x v="0"/>
    <n v="53.7"/>
    <n v="0.67597765363128492"/>
    <s v=""/>
    <s v=""/>
    <s v=""/>
    <s v=""/>
    <n v="70.5"/>
    <n v="0.27092198581560289"/>
    <n v="218.41409999999999"/>
    <n v="-0.63917988811161908"/>
    <s v=""/>
    <s v=""/>
    <s v=""/>
    <m/>
  </r>
  <r>
    <x v="257"/>
    <x v="0"/>
    <n v="53.7"/>
    <n v="0.67597765363128492"/>
    <s v=""/>
    <s v=""/>
    <s v=""/>
    <s v=""/>
    <n v="72.900000000000006"/>
    <n v="0.29492455418381347"/>
    <n v="218.5967"/>
    <n v="-0.63781063483574996"/>
    <s v=""/>
    <s v=""/>
    <s v=""/>
    <m/>
  </r>
  <r>
    <x v="258"/>
    <x v="0"/>
    <n v="54.7"/>
    <n v="0.68190127970749548"/>
    <s v=""/>
    <s v=""/>
    <s v=""/>
    <s v=""/>
    <n v="74.400000000000006"/>
    <n v="0.30913978494623662"/>
    <n v="216.51"/>
    <n v="-0.6535956768740474"/>
    <s v=""/>
    <s v=""/>
    <s v=""/>
    <m/>
  </r>
  <r>
    <x v="259"/>
    <x v="0"/>
    <n v="55.6"/>
    <n v="0.68705035971223027"/>
    <s v=""/>
    <s v=""/>
    <s v=""/>
    <s v=""/>
    <n v="76.2"/>
    <n v="0.32545931758530189"/>
    <n v="217.92570000000001"/>
    <n v="-0.64285350465778013"/>
    <s v=""/>
    <s v=""/>
    <s v=""/>
    <m/>
  </r>
  <r>
    <x v="260"/>
    <x v="0"/>
    <n v="55.8"/>
    <n v="0.68817204301075274"/>
    <s v=""/>
    <s v=""/>
    <s v=""/>
    <s v=""/>
    <n v="78"/>
    <n v="0.34102564102564104"/>
    <n v="222.41370000000001"/>
    <n v="-0.60970299941055783"/>
    <s v=""/>
    <s v=""/>
    <s v=""/>
    <m/>
  </r>
  <r>
    <x v="261"/>
    <x v="0"/>
    <n v="56.8"/>
    <n v="0.69366197183098599"/>
    <s v=""/>
    <s v=""/>
    <s v=""/>
    <s v=""/>
    <n v="78.900000000000006"/>
    <n v="0.34854245880861856"/>
    <n v="230.4845"/>
    <n v="-0.55333655842366825"/>
    <s v=""/>
    <s v=""/>
    <s v=""/>
    <m/>
  </r>
  <r>
    <x v="262"/>
    <x v="0"/>
    <n v="57.2"/>
    <n v="0.69580419580419584"/>
    <s v=""/>
    <s v=""/>
    <s v=""/>
    <s v=""/>
    <n v="82.9"/>
    <n v="0.37997587454764781"/>
    <n v="244.98419999999999"/>
    <n v="-0.46140036786045791"/>
    <s v=""/>
    <s v=""/>
    <s v=""/>
    <m/>
  </r>
  <r>
    <x v="263"/>
    <x v="0"/>
    <n v="58.5"/>
    <n v="0.70256410256410251"/>
    <s v=""/>
    <s v=""/>
    <s v=""/>
    <s v=""/>
    <n v="83.3"/>
    <n v="0.38295318127250899"/>
    <n v="240.37450000000001"/>
    <n v="-0.48942587504082158"/>
    <s v=""/>
    <s v=""/>
    <s v=""/>
    <m/>
  </r>
  <r>
    <x v="264"/>
    <x v="0"/>
    <n v="59.4"/>
    <n v="0.70707070707070707"/>
    <s v=""/>
    <s v=""/>
    <s v=""/>
    <s v=""/>
    <n v="85"/>
    <n v="0.3952941176470588"/>
    <n v="237.8886"/>
    <n v="-0.50499015085212151"/>
    <s v=""/>
    <s v=""/>
    <s v=""/>
    <m/>
  </r>
  <r>
    <x v="265"/>
    <x v="0"/>
    <n v="60.4"/>
    <n v="0.71192052980132448"/>
    <s v=""/>
    <s v=""/>
    <s v=""/>
    <s v=""/>
    <n v="88.9"/>
    <n v="0.42182227221597302"/>
    <n v="244.35"/>
    <n v="-0.4651933701657458"/>
    <s v=""/>
    <s v=""/>
    <s v=""/>
    <m/>
  </r>
  <r>
    <x v="266"/>
    <x v="0"/>
    <n v="61.9"/>
    <n v="0.71890145395799676"/>
    <s v=""/>
    <s v=""/>
    <s v=""/>
    <s v=""/>
    <n v="88.9"/>
    <n v="0.42182227221597302"/>
    <n v="248.4786"/>
    <n v="-0.44084842718849826"/>
    <s v=""/>
    <s v=""/>
    <s v=""/>
    <m/>
  </r>
  <r>
    <x v="267"/>
    <x v="0"/>
    <n v="63.1"/>
    <n v="0.72424722662440577"/>
    <s v=""/>
    <s v=""/>
    <s v=""/>
    <s v=""/>
    <n v="94.1"/>
    <n v="0.45377258235919238"/>
    <n v="250.27500000000001"/>
    <n v="-0.43050644291279583"/>
    <s v=""/>
    <s v=""/>
    <s v=""/>
    <m/>
  </r>
  <r>
    <x v="268"/>
    <x v="0"/>
    <n v="64.5"/>
    <n v="0.73023255813953492"/>
    <s v=""/>
    <s v=""/>
    <s v=""/>
    <s v=""/>
    <n v="94.8"/>
    <n v="0.45780590717299574"/>
    <n v="228.62860000000001"/>
    <n v="-0.565945817802322"/>
    <s v=""/>
    <s v=""/>
    <s v=""/>
    <m/>
  </r>
  <r>
    <x v="269"/>
    <x v="0"/>
    <n v="65.8"/>
    <n v="0.73556231003039518"/>
    <s v=""/>
    <s v=""/>
    <s v=""/>
    <s v=""/>
    <n v="96"/>
    <n v="0.46458333333333335"/>
    <n v="217.91759999999999"/>
    <n v="-0.64291456954371751"/>
    <s v=""/>
    <s v=""/>
    <s v=""/>
    <m/>
  </r>
  <r>
    <x v="270"/>
    <x v="0"/>
    <n v="66.7"/>
    <n v="0.73913043478260865"/>
    <s v=""/>
    <s v=""/>
    <s v=""/>
    <s v=""/>
    <n v="96.8"/>
    <n v="0.46900826446280997"/>
    <n v="221.13640000000001"/>
    <n v="-0.61900076152094341"/>
    <s v=""/>
    <s v=""/>
    <s v=""/>
    <m/>
  </r>
  <r>
    <x v="271"/>
    <x v="0"/>
    <n v="67.599999999999994"/>
    <n v="0.74260355029585801"/>
    <s v=""/>
    <s v=""/>
    <s v=""/>
    <s v=""/>
    <n v="98.4"/>
    <n v="0.47764227642276424"/>
    <n v="223.91380000000001"/>
    <n v="-0.59891886967216834"/>
    <s v=""/>
    <s v=""/>
    <s v=""/>
    <m/>
  </r>
  <r>
    <x v="272"/>
    <x v="0"/>
    <n v="68.900000000000006"/>
    <n v="0.7474600870827286"/>
    <s v=""/>
    <s v=""/>
    <s v=""/>
    <s v=""/>
    <n v="98.9"/>
    <n v="0.48028311425682513"/>
    <n v="214.41669999999999"/>
    <n v="-0.66973934399699275"/>
    <s v=""/>
    <s v=""/>
    <s v=""/>
    <m/>
  </r>
  <r>
    <x v="273"/>
    <x v="0"/>
    <n v="69.2"/>
    <n v="0.74855491329479773"/>
    <s v=""/>
    <s v=""/>
    <s v=""/>
    <s v=""/>
    <n v="99.4"/>
    <n v="0.48289738430583506"/>
    <n v="209.3227"/>
    <n v="-0.71037350464139815"/>
    <s v=""/>
    <s v=""/>
    <s v=""/>
    <m/>
  </r>
  <r>
    <x v="274"/>
    <x v="0"/>
    <n v="68.599999999999994"/>
    <n v="0.74635568513119532"/>
    <s v=""/>
    <s v=""/>
    <s v=""/>
    <s v=""/>
    <n v="99.5"/>
    <n v="0.48341708542713568"/>
    <n v="213.10589999999999"/>
    <n v="-0.6800097979455284"/>
    <s v=""/>
    <s v=""/>
    <s v=""/>
    <m/>
  </r>
  <r>
    <x v="275"/>
    <x v="0"/>
    <n v="69"/>
    <n v="0.74782608695652175"/>
    <s v=""/>
    <s v=""/>
    <s v=""/>
    <s v=""/>
    <n v="100"/>
    <n v="0.48599999999999999"/>
    <n v="209.48859999999999"/>
    <n v="-0.70901901105835829"/>
    <s v=""/>
    <s v=""/>
    <s v=""/>
    <m/>
  </r>
  <r>
    <x v="276"/>
    <x v="0"/>
    <n v="69.900000000000006"/>
    <n v="0.75107296137339064"/>
    <s v=""/>
    <s v=""/>
    <s v=""/>
    <s v=""/>
    <n v="100.4"/>
    <n v="0.48804780876494025"/>
    <n v="202.36670000000001"/>
    <n v="-0.76916459081459543"/>
    <s v=""/>
    <s v=""/>
    <s v=""/>
    <m/>
  </r>
  <r>
    <x v="277"/>
    <x v="0"/>
    <n v="70.8"/>
    <n v="0.75423728813559321"/>
    <s v=""/>
    <s v=""/>
    <s v=""/>
    <s v=""/>
    <n v="101.6"/>
    <n v="0.49409448818897639"/>
    <n v="205.7167"/>
    <n v="-0.74035457500533486"/>
    <s v=""/>
    <s v=""/>
    <s v=""/>
    <m/>
  </r>
  <r>
    <x v="278"/>
    <x v="0"/>
    <n v="71.7"/>
    <n v="0.75732217573221761"/>
    <s v=""/>
    <s v=""/>
    <s v=""/>
    <s v=""/>
    <n v="103"/>
    <n v="0.50097087378640781"/>
    <n v="208.79179999999999"/>
    <n v="-0.71472251304888412"/>
    <s v=""/>
    <s v=""/>
    <s v=""/>
    <m/>
  </r>
  <r>
    <x v="279"/>
    <x v="0"/>
    <n v="72"/>
    <n v="0.7583333333333333"/>
    <s v=""/>
    <s v=""/>
    <s v=""/>
    <s v=""/>
    <n v="103.6"/>
    <n v="0.50386100386100385"/>
    <n v="214.9759"/>
    <n v="-0.6653959815960766"/>
    <s v=""/>
    <s v=""/>
    <s v=""/>
    <m/>
  </r>
  <r>
    <x v="280"/>
    <x v="0"/>
    <n v="73.599999999999994"/>
    <n v="0.76358695652173914"/>
    <s v=""/>
    <s v=""/>
    <s v=""/>
    <s v=""/>
    <n v="105.3"/>
    <n v="0.51187084520417847"/>
    <n v="220.6285"/>
    <n v="-0.62272779808592271"/>
    <s v=""/>
    <s v=""/>
    <s v=""/>
    <m/>
  </r>
  <r>
    <x v="281"/>
    <x v="0"/>
    <n v="74.900000000000006"/>
    <n v="0.76769025367156218"/>
    <s v=""/>
    <s v=""/>
    <s v=""/>
    <s v=""/>
    <n v="105.2"/>
    <n v="0.51140684410646386"/>
    <n v="224.18049999999999"/>
    <n v="-0.59701668967639909"/>
    <s v=""/>
    <s v=""/>
    <s v=""/>
    <m/>
  </r>
  <r>
    <x v="282"/>
    <x v="0"/>
    <n v="76.3"/>
    <n v="0.77195281782437752"/>
    <s v=""/>
    <s v=""/>
    <s v=""/>
    <s v=""/>
    <n v="105.5"/>
    <n v="0.51279620853080576"/>
    <n v="232.3261"/>
    <n v="-0.54102358710450527"/>
    <s v=""/>
    <s v=""/>
    <s v=""/>
    <m/>
  </r>
  <r>
    <x v="283"/>
    <x v="0"/>
    <n v="78.900000000000006"/>
    <n v="0.77946768060836502"/>
    <s v=""/>
    <s v=""/>
    <s v=""/>
    <s v=""/>
    <n v="105.7"/>
    <n v="0.51371807000946079"/>
    <n v="233.3262"/>
    <n v="-0.5344183379320453"/>
    <s v=""/>
    <s v=""/>
    <s v=""/>
    <m/>
  </r>
  <r>
    <x v="284"/>
    <x v="0"/>
    <n v="78.2"/>
    <n v="0.77749360613810747"/>
    <s v=""/>
    <s v=""/>
    <s v=""/>
    <s v=""/>
    <n v="105.8"/>
    <n v="0.51417769376181477"/>
    <n v="229.48099999999999"/>
    <n v="-0.56012916101986643"/>
    <s v=""/>
    <s v=""/>
    <s v=""/>
    <m/>
  </r>
  <r>
    <x v="285"/>
    <x v="0"/>
    <n v="77.7"/>
    <n v="0.77606177606177607"/>
    <s v=""/>
    <s v=""/>
    <s v=""/>
    <s v=""/>
    <n v="106"/>
    <n v="0.51509433962264151"/>
    <n v="231.51900000000001"/>
    <n v="-0.54639576017519076"/>
    <s v=""/>
    <s v=""/>
    <s v=""/>
    <m/>
  </r>
  <r>
    <x v="286"/>
    <x v="0"/>
    <n v="77.7"/>
    <n v="0.77606177606177607"/>
    <s v=""/>
    <s v=""/>
    <s v=""/>
    <s v=""/>
    <n v="106"/>
    <n v="0.51509433962264151"/>
    <n v="223.1267"/>
    <n v="-0.60455920335845059"/>
    <s v=""/>
    <s v=""/>
    <s v=""/>
    <m/>
  </r>
  <r>
    <x v="287"/>
    <x v="0"/>
    <n v="78.8"/>
    <n v="0.77918781725888331"/>
    <s v=""/>
    <s v=""/>
    <s v=""/>
    <s v=""/>
    <n v="105.9"/>
    <n v="0.51463644948064213"/>
    <n v="218.9545"/>
    <n v="-0.63513424021885823"/>
    <s v=""/>
    <s v=""/>
    <s v=""/>
    <m/>
  </r>
  <r>
    <x v="288"/>
    <x v="0"/>
    <n v="80.8"/>
    <n v="0.78465346534653468"/>
    <s v=""/>
    <s v=""/>
    <s v=""/>
    <s v=""/>
    <n v="106.1"/>
    <n v="0.51555136663524981"/>
    <n v="224.80500000000001"/>
    <n v="-0.59258023620471056"/>
    <s v=""/>
    <s v=""/>
    <s v=""/>
    <m/>
  </r>
  <r>
    <x v="289"/>
    <x v="0"/>
    <n v="80.900000000000006"/>
    <n v="0.784919653893696"/>
    <s v=""/>
    <s v=""/>
    <s v=""/>
    <s v=""/>
    <n v="106"/>
    <n v="0.51509433962264151"/>
    <n v="235.3056"/>
    <n v="-0.5215107502753864"/>
    <s v=""/>
    <s v=""/>
    <s v=""/>
    <m/>
  </r>
  <r>
    <x v="290"/>
    <x v="0"/>
    <n v="83.9"/>
    <n v="0.79261025029797383"/>
    <s v=""/>
    <s v=""/>
    <s v=""/>
    <s v=""/>
    <n v="106.2"/>
    <n v="0.51600753295668556"/>
    <n v="241.22829999999999"/>
    <n v="-0.48415422236943173"/>
    <s v=""/>
    <s v=""/>
    <s v=""/>
    <m/>
  </r>
  <r>
    <x v="291"/>
    <x v="0"/>
    <n v="84.1"/>
    <n v="0.7931034482758621"/>
    <s v=""/>
    <s v=""/>
    <s v=""/>
    <s v=""/>
    <n v="106.3"/>
    <n v="0.51646284101599249"/>
    <n v="244.10679999999999"/>
    <n v="-0.46665312068324183"/>
    <s v=""/>
    <s v=""/>
    <s v=""/>
    <m/>
  </r>
  <r>
    <x v="292"/>
    <x v="0"/>
    <n v="83.8"/>
    <n v="0.79236276849642007"/>
    <s v=""/>
    <s v=""/>
    <s v=""/>
    <s v=""/>
    <n v="107"/>
    <n v="0.51962616822429908"/>
    <n v="236.96350000000001"/>
    <n v="-0.51086559744433191"/>
    <s v=""/>
    <s v=""/>
    <s v=""/>
    <m/>
  </r>
  <r>
    <x v="293"/>
    <x v="0"/>
    <n v="83.8"/>
    <n v="0.79236276849642007"/>
    <s v=""/>
    <s v=""/>
    <s v=""/>
    <s v=""/>
    <n v="107"/>
    <n v="0.51962616822429908"/>
    <n v="251.1977"/>
    <n v="-0.4252519031822346"/>
    <s v=""/>
    <s v=""/>
    <s v=""/>
    <m/>
  </r>
  <r>
    <x v="294"/>
    <x v="0"/>
    <n v="85.9"/>
    <n v="0.79743888242142025"/>
    <s v=""/>
    <s v=""/>
    <s v=""/>
    <s v=""/>
    <n v="106.6"/>
    <n v="0.51782363977485923"/>
    <n v="255.03100000000001"/>
    <n v="-0.4038293383941558"/>
    <s v=""/>
    <s v=""/>
    <s v=""/>
    <m/>
  </r>
  <r>
    <x v="295"/>
    <x v="0"/>
    <n v="85.8"/>
    <n v="0.79720279720279719"/>
    <s v=""/>
    <s v=""/>
    <s v=""/>
    <s v=""/>
    <n v="106.6"/>
    <n v="0.51782363977485923"/>
    <n v="259.0455"/>
    <n v="-0.38207380556697568"/>
    <s v=""/>
    <s v=""/>
    <s v=""/>
    <m/>
  </r>
  <r>
    <x v="296"/>
    <x v="0"/>
    <n v="85.6"/>
    <n v="0.79672897196261683"/>
    <s v=""/>
    <s v=""/>
    <s v=""/>
    <s v=""/>
    <n v="106.7"/>
    <n v="0.51827553889409561"/>
    <n v="263.28570000000002"/>
    <n v="-0.35981559195960866"/>
    <s v=""/>
    <s v=""/>
    <s v=""/>
    <m/>
  </r>
  <r>
    <x v="297"/>
    <x v="0"/>
    <n v="84.7"/>
    <n v="0.79456906729634003"/>
    <s v=""/>
    <s v=""/>
    <s v=""/>
    <s v=""/>
    <n v="106.5"/>
    <n v="0.51737089201877939"/>
    <n v="271.61500000000001"/>
    <n v="-0.31811571525873017"/>
    <s v=""/>
    <s v=""/>
    <s v=""/>
    <m/>
  </r>
  <r>
    <x v="298"/>
    <x v="0"/>
    <n v="84.3"/>
    <n v="0.79359430604982206"/>
    <s v=""/>
    <s v=""/>
    <s v=""/>
    <s v=""/>
    <n v="106.4"/>
    <n v="0.51691729323308278"/>
    <n v="264.08789999999999"/>
    <n v="-0.35568498215934929"/>
    <s v=""/>
    <s v=""/>
    <s v=""/>
    <m/>
  </r>
  <r>
    <x v="299"/>
    <x v="0"/>
    <n v="85.5"/>
    <n v="0.79649122807017547"/>
    <s v=""/>
    <s v=""/>
    <s v=""/>
    <s v=""/>
    <n v="106.3"/>
    <n v="0.51646284101599249"/>
    <n v="241.94130000000001"/>
    <n v="-0.47978042607855698"/>
    <s v=""/>
    <s v=""/>
    <s v=""/>
    <m/>
  </r>
  <r>
    <x v="300"/>
    <x v="0"/>
    <n v="85.6"/>
    <n v="0.79672897196261683"/>
    <s v=""/>
    <s v=""/>
    <s v=""/>
    <s v=""/>
    <n v="106.4"/>
    <n v="0.51691729323308278"/>
    <n v="232.73099999999999"/>
    <n v="-0.53834254998259778"/>
    <s v=""/>
    <s v=""/>
    <s v=""/>
    <m/>
  </r>
  <r>
    <x v="301"/>
    <x v="0"/>
    <n v="85.6"/>
    <n v="0.79672897196261683"/>
    <s v=""/>
    <s v=""/>
    <s v=""/>
    <s v=""/>
    <n v="106.7"/>
    <n v="0.51827553889409561"/>
    <n v="236.12110000000001"/>
    <n v="-0.51625585345824643"/>
    <s v=""/>
    <s v=""/>
    <s v=""/>
    <m/>
  </r>
  <r>
    <x v="302"/>
    <x v="0"/>
    <n v="85.6"/>
    <n v="0.79672897196261683"/>
    <s v=""/>
    <s v=""/>
    <s v=""/>
    <s v=""/>
    <n v="106.6"/>
    <n v="0.51782363977485923"/>
    <n v="238.2543"/>
    <n v="-0.50268011951935376"/>
    <s v=""/>
    <s v=""/>
    <s v=""/>
    <m/>
  </r>
  <r>
    <x v="303"/>
    <x v="0"/>
    <n v="85.3"/>
    <n v="0.79601406799531071"/>
    <s v=""/>
    <s v=""/>
    <s v=""/>
    <s v=""/>
    <n v="106.6"/>
    <n v="0.51782363977485923"/>
    <n v="237.7467"/>
    <n v="-0.50588840980758087"/>
    <s v=""/>
    <s v=""/>
    <s v=""/>
    <m/>
  </r>
  <r>
    <x v="304"/>
    <x v="0"/>
    <n v="85.8"/>
    <n v="0.79720279720279719"/>
    <s v=""/>
    <s v=""/>
    <s v=""/>
    <s v=""/>
    <n v="106.2"/>
    <n v="0.51600753295668556"/>
    <n v="234.75569999999999"/>
    <n v="-0.52507479051626871"/>
    <s v=""/>
    <s v=""/>
    <s v=""/>
    <m/>
  </r>
  <r>
    <x v="305"/>
    <x v="0"/>
    <n v="87.2"/>
    <n v="0.80045871559633031"/>
    <s v=""/>
    <s v=""/>
    <s v=""/>
    <s v=""/>
    <n v="105"/>
    <n v="0.51047619047619053"/>
    <n v="240.03139999999999"/>
    <n v="-0.49155485490648299"/>
    <s v=""/>
    <s v=""/>
    <s v=""/>
    <m/>
  </r>
  <r>
    <x v="306"/>
    <x v="0"/>
    <n v="88"/>
    <n v="0.80227272727272725"/>
    <s v=""/>
    <s v=""/>
    <s v=""/>
    <s v=""/>
    <n v="105.2"/>
    <n v="0.51140684410646386"/>
    <n v="240.51599999999999"/>
    <n v="-0.48854961832061061"/>
    <s v=""/>
    <s v=""/>
    <s v=""/>
    <m/>
  </r>
  <r>
    <x v="307"/>
    <x v="0"/>
    <n v="87.8"/>
    <n v="0.80182232346241455"/>
    <s v=""/>
    <s v=""/>
    <s v=""/>
    <s v=""/>
    <n v="105.1"/>
    <n v="0.51094196003805892"/>
    <n v="244.46129999999999"/>
    <n v="-0.46452628698284748"/>
    <s v=""/>
    <s v=""/>
    <s v=""/>
    <m/>
  </r>
  <r>
    <x v="308"/>
    <x v="0"/>
    <n v="88"/>
    <n v="0.80227272727272725"/>
    <s v=""/>
    <s v=""/>
    <s v=""/>
    <s v=""/>
    <n v="105.2"/>
    <n v="0.51140684410646386"/>
    <n v="242.34620000000001"/>
    <n v="-0.47730808240442801"/>
    <s v=""/>
    <s v=""/>
    <s v=""/>
    <m/>
  </r>
  <r>
    <x v="309"/>
    <x v="0"/>
    <n v="88.1"/>
    <n v="0.80249716231555057"/>
    <s v=""/>
    <s v=""/>
    <s v=""/>
    <s v=""/>
    <n v="107.7"/>
    <n v="0.52274837511606309"/>
    <n v="232.88550000000001"/>
    <n v="-0.53732198870260262"/>
    <s v=""/>
    <s v=""/>
    <s v=""/>
    <m/>
  </r>
  <r>
    <x v="310"/>
    <x v="0"/>
    <n v="86.7"/>
    <n v="0.79930795847750868"/>
    <s v=""/>
    <s v=""/>
    <s v=""/>
    <s v=""/>
    <n v="111.8"/>
    <n v="0.5402504472271914"/>
    <n v="235.03"/>
    <n v="-0.52329489852359257"/>
    <s v=""/>
    <s v=""/>
    <s v=""/>
    <m/>
  </r>
  <r>
    <x v="311"/>
    <x v="0"/>
    <n v="86.7"/>
    <n v="0.79930795847750868"/>
    <s v=""/>
    <s v=""/>
    <s v=""/>
    <s v=""/>
    <n v="112.2"/>
    <n v="0.54188948306595375"/>
    <n v="234.4624"/>
    <n v="-0.52698257801677362"/>
    <s v=""/>
    <s v=""/>
    <s v=""/>
    <m/>
  </r>
  <r>
    <x v="312"/>
    <x v="0"/>
    <n v="87.3"/>
    <n v="0.80068728522336774"/>
    <s v=""/>
    <s v=""/>
    <s v=""/>
    <s v=""/>
    <n v="113.5"/>
    <n v="0.54713656387665199"/>
    <n v="233.8"/>
    <n v="-0.53130881094952942"/>
    <s v=""/>
    <s v=""/>
    <s v=""/>
    <m/>
  </r>
  <r>
    <x v="313"/>
    <x v="0"/>
    <n v="87.9"/>
    <n v="0.80204778156996592"/>
    <s v=""/>
    <s v=""/>
    <s v=""/>
    <s v=""/>
    <n v="112.7"/>
    <n v="0.54392191659272404"/>
    <n v="233.59630000000001"/>
    <n v="-0.53264413862719562"/>
    <s v=""/>
    <s v=""/>
    <s v=""/>
    <m/>
  </r>
  <r>
    <x v="314"/>
    <x v="0"/>
    <n v="88.5"/>
    <n v="0.80338983050847457"/>
    <s v=""/>
    <s v=""/>
    <s v=""/>
    <s v=""/>
    <n v="113.3"/>
    <n v="0.54633715798764348"/>
    <n v="225.2664"/>
    <n v="-0.58931824719532067"/>
    <s v=""/>
    <s v=""/>
    <s v=""/>
    <m/>
  </r>
  <r>
    <x v="315"/>
    <x v="0"/>
    <n v="89.8"/>
    <n v="0.80623608017817372"/>
    <s v=""/>
    <s v=""/>
    <s v=""/>
    <s v=""/>
    <n v="113.6"/>
    <n v="0.54753521126760563"/>
    <n v="225.2"/>
    <n v="-0.58978685612788628"/>
    <s v=""/>
    <s v=""/>
    <s v=""/>
    <m/>
  </r>
  <r>
    <x v="316"/>
    <x v="0"/>
    <n v="90.4"/>
    <n v="0.80752212389380529"/>
    <s v=""/>
    <s v=""/>
    <s v=""/>
    <s v=""/>
    <n v="113.5"/>
    <n v="0.54713656387665199"/>
    <n v="230.4777"/>
    <n v="-0.55338238797072337"/>
    <s v=""/>
    <s v=""/>
    <s v=""/>
    <m/>
  </r>
  <r>
    <x v="317"/>
    <x v="0"/>
    <n v="92.2"/>
    <n v="0.81127982646420826"/>
    <s v=""/>
    <s v=""/>
    <s v=""/>
    <s v=""/>
    <n v="113.6"/>
    <n v="0.54753521126760563"/>
    <n v="233.56569999999999"/>
    <n v="-0.5328449339950172"/>
    <s v=""/>
    <s v=""/>
    <s v=""/>
    <m/>
  </r>
  <r>
    <x v="318"/>
    <x v="0"/>
    <n v="93.3"/>
    <n v="0.81350482315112538"/>
    <s v=""/>
    <s v=""/>
    <s v=""/>
    <s v=""/>
    <n v="113.5"/>
    <n v="0.54713656387665199"/>
    <n v="243.0676"/>
    <n v="-0.47292358175256588"/>
    <s v=""/>
    <s v=""/>
    <s v=""/>
    <m/>
  </r>
  <r>
    <x v="319"/>
    <x v="0"/>
    <n v="93.8"/>
    <n v="0.81449893390191896"/>
    <s v=""/>
    <s v=""/>
    <s v=""/>
    <s v=""/>
    <n v="113.3"/>
    <n v="0.54633715798764348"/>
    <n v="242.26089999999999"/>
    <n v="-0.47782824219673903"/>
    <s v=""/>
    <s v=""/>
    <s v=""/>
    <m/>
  </r>
  <r>
    <x v="320"/>
    <x v="0"/>
    <n v="93.7"/>
    <n v="0.8143009605122733"/>
    <s v=""/>
    <s v=""/>
    <s v=""/>
    <s v=""/>
    <n v="113.4"/>
    <n v="0.54673721340388015"/>
    <n v="245.45679999999999"/>
    <n v="-0.45858660261194628"/>
    <s v=""/>
    <s v=""/>
    <s v=""/>
    <m/>
  </r>
  <r>
    <x v="321"/>
    <x v="0"/>
    <n v="92.6"/>
    <n v="0.81209503239740821"/>
    <s v=""/>
    <s v=""/>
    <s v=""/>
    <s v=""/>
    <n v="113.5"/>
    <n v="0.54713656387665199"/>
    <n v="246.75450000000001"/>
    <n v="-0.45091578876980964"/>
    <s v=""/>
    <s v=""/>
    <s v=""/>
    <m/>
  </r>
  <r>
    <x v="322"/>
    <x v="0"/>
    <n v="92.1"/>
    <n v="0.81107491856677527"/>
    <s v=""/>
    <s v=""/>
    <s v=""/>
    <s v=""/>
    <n v="113.6"/>
    <n v="0.54753521126760563"/>
    <n v="243.63050000000001"/>
    <n v="-0.46952044181660324"/>
    <s v=""/>
    <s v=""/>
    <s v=""/>
    <m/>
  </r>
  <r>
    <x v="323"/>
    <x v="0"/>
    <n v="92.1"/>
    <n v="0.81107491856677527"/>
    <s v=""/>
    <s v=""/>
    <s v=""/>
    <s v=""/>
    <n v="113.6"/>
    <n v="0.54753521126760563"/>
    <n v="247.964"/>
    <n v="-0.44383862173541311"/>
    <s v=""/>
    <s v=""/>
    <s v=""/>
    <m/>
  </r>
  <r>
    <x v="324"/>
    <x v="0"/>
    <n v="93.1"/>
    <n v="0.81310418904403869"/>
    <s v=""/>
    <s v=""/>
    <s v=""/>
    <s v=""/>
    <n v="114.3"/>
    <n v="0.55030621172353456"/>
    <n v="254.18289999999999"/>
    <n v="-0.40851331855919493"/>
    <s v=""/>
    <s v=""/>
    <s v=""/>
    <m/>
  </r>
  <r>
    <x v="325"/>
    <x v="0"/>
    <n v="93.2"/>
    <n v="0.81330472103004292"/>
    <s v=""/>
    <s v=""/>
    <s v=""/>
    <s v=""/>
    <n v="113.8"/>
    <n v="0.54833040421792623"/>
    <n v="260.4778"/>
    <n v="-0.37447413944681651"/>
    <s v=""/>
    <s v=""/>
    <s v=""/>
    <m/>
  </r>
  <r>
    <x v="326"/>
    <x v="0"/>
    <n v="93.7"/>
    <n v="0.8143009605122733"/>
    <s v=""/>
    <s v=""/>
    <s v=""/>
    <s v=""/>
    <n v="113.8"/>
    <n v="0.54833040421792623"/>
    <n v="257.9205"/>
    <n v="-0.38810214775483143"/>
    <s v=""/>
    <s v=""/>
    <s v=""/>
    <m/>
  </r>
  <r>
    <x v="327"/>
    <x v="0"/>
    <n v="94.3"/>
    <n v="0.81548250265111344"/>
    <s v=""/>
    <s v=""/>
    <s v=""/>
    <s v=""/>
    <n v="114.3"/>
    <n v="0.55030621172353456"/>
    <n v="251.84549999999999"/>
    <n v="-0.42158585323144537"/>
    <s v=""/>
    <s v=""/>
    <s v=""/>
    <m/>
  </r>
  <r>
    <x v="328"/>
    <x v="0"/>
    <n v="94.1"/>
    <n v="0.8150903294367694"/>
    <s v=""/>
    <s v=""/>
    <s v=""/>
    <s v=""/>
    <n v="114.7"/>
    <n v="0.55187445510026156"/>
    <n v="251.7295"/>
    <n v="-0.4222409371964746"/>
    <s v=""/>
    <s v=""/>
    <s v=""/>
    <m/>
  </r>
  <r>
    <x v="329"/>
    <x v="0"/>
    <n v="95.8"/>
    <n v="0.81837160751565763"/>
    <s v=""/>
    <s v=""/>
    <s v=""/>
    <s v=""/>
    <n v="114.8"/>
    <n v="0.55226480836236935"/>
    <n v="248.84"/>
    <n v="-0.43875582703745364"/>
    <s v=""/>
    <s v=""/>
    <s v=""/>
    <m/>
  </r>
  <r>
    <x v="330"/>
    <x v="0"/>
    <n v="95.9"/>
    <n v="0.81856100104275287"/>
    <s v=""/>
    <s v=""/>
    <s v=""/>
    <s v=""/>
    <n v="114.5"/>
    <n v="0.55109170305676858"/>
    <n v="241.13640000000001"/>
    <n v="-0.48471985150313257"/>
    <s v=""/>
    <s v=""/>
    <s v=""/>
    <m/>
  </r>
  <r>
    <x v="331"/>
    <x v="0"/>
    <n v="96.3"/>
    <n v="0.81931464174454827"/>
    <s v=""/>
    <s v=""/>
    <s v=""/>
    <s v=""/>
    <n v="114.5"/>
    <n v="0.55109170305676858"/>
    <n v="237.46090000000001"/>
    <n v="-0.50770084674992799"/>
    <s v=""/>
    <s v=""/>
    <s v=""/>
    <m/>
  </r>
  <r>
    <x v="332"/>
    <x v="0"/>
    <n v="96"/>
    <n v="0.81874999999999998"/>
    <s v=""/>
    <s v=""/>
    <s v=""/>
    <s v=""/>
    <n v="114.3"/>
    <n v="0.55030621172353456"/>
    <n v="236.5275"/>
    <n v="-0.51365063259029076"/>
    <s v=""/>
    <s v=""/>
    <s v=""/>
    <m/>
  </r>
  <r>
    <x v="333"/>
    <x v="0"/>
    <n v="95.5"/>
    <n v="0.8178010471204189"/>
    <s v=""/>
    <s v=""/>
    <s v=""/>
    <s v=""/>
    <n v="114.3"/>
    <n v="0.55030621172353456"/>
    <n v="214.68049999999999"/>
    <n v="-0.66768756361197212"/>
    <s v=""/>
    <s v=""/>
    <s v=""/>
    <m/>
  </r>
  <r>
    <x v="334"/>
    <x v="0"/>
    <n v="95.1"/>
    <n v="0.81703470031545744"/>
    <s v=""/>
    <s v=""/>
    <s v=""/>
    <s v=""/>
    <n v="113.9"/>
    <n v="0.54872695346795441"/>
    <n v="204.0737"/>
    <n v="-0.75436619221389134"/>
    <s v=""/>
    <s v=""/>
    <s v=""/>
    <m/>
  </r>
  <r>
    <x v="335"/>
    <x v="0"/>
    <n v="95"/>
    <n v="0.81684210526315792"/>
    <s v=""/>
    <s v=""/>
    <s v=""/>
    <s v=""/>
    <n v="113.9"/>
    <n v="0.54872695346795441"/>
    <n v="202.78809999999999"/>
    <n v="-0.76548821158638014"/>
    <s v=""/>
    <s v=""/>
    <s v=""/>
    <m/>
  </r>
  <r>
    <x v="336"/>
    <x v="0"/>
    <n v="96"/>
    <n v="0.81874999999999998"/>
    <s v=""/>
    <s v=""/>
    <s v=""/>
    <s v=""/>
    <n v="114"/>
    <n v="0.54912280701754379"/>
    <n v="199.8905"/>
    <n v="-0.79108061663760898"/>
    <s v=""/>
    <s v=""/>
    <s v=""/>
    <m/>
  </r>
  <r>
    <x v="337"/>
    <x v="0"/>
    <n v="96.7"/>
    <n v="0.8200620475698035"/>
    <s v=""/>
    <s v=""/>
    <s v=""/>
    <s v=""/>
    <n v="113.9"/>
    <n v="0.54872695346795441"/>
    <n v="184.85159999999999"/>
    <n v="-0.93679686840687348"/>
    <s v=""/>
    <s v=""/>
    <s v=""/>
    <m/>
  </r>
  <r>
    <x v="338"/>
    <x v="0"/>
    <n v="96.2"/>
    <n v="0.81912681912681917"/>
    <s v=""/>
    <s v=""/>
    <s v=""/>
    <s v=""/>
    <n v="114"/>
    <n v="0.54912280701754379"/>
    <n v="178.69380000000001"/>
    <n v="-1.0035390147839487"/>
    <s v=""/>
    <s v=""/>
    <s v=""/>
    <m/>
  </r>
  <r>
    <x v="339"/>
    <x v="0"/>
    <n v="95.6"/>
    <n v="0.81799163179916312"/>
    <s v=""/>
    <s v=""/>
    <s v=""/>
    <s v=""/>
    <n v="113.5"/>
    <n v="0.54713656387665199"/>
    <n v="175.09180000000001"/>
    <n v="-1.0447559508783391"/>
    <s v=""/>
    <s v=""/>
    <s v=""/>
    <m/>
  </r>
  <r>
    <x v="340"/>
    <x v="0"/>
    <n v="95.9"/>
    <n v="0.81856100104275287"/>
    <s v=""/>
    <s v=""/>
    <s v=""/>
    <s v=""/>
    <n v="113"/>
    <n v="0.54513274336283191"/>
    <n v="167.03139999999999"/>
    <n v="-1.1434293192776925"/>
    <s v=""/>
    <s v=""/>
    <s v=""/>
    <m/>
  </r>
  <r>
    <x v="341"/>
    <x v="0"/>
    <n v="96.9"/>
    <n v="0.82043343653250778"/>
    <s v=""/>
    <s v=""/>
    <s v=""/>
    <s v=""/>
    <n v="112.8"/>
    <n v="0.54432624113475181"/>
    <n v="167.5419"/>
    <n v="-1.1368982923077748"/>
    <s v=""/>
    <s v=""/>
    <s v=""/>
    <m/>
  </r>
  <r>
    <x v="342"/>
    <x v="0"/>
    <n v="97.7"/>
    <n v="0.82190378710337775"/>
    <s v=""/>
    <s v=""/>
    <s v=""/>
    <s v=""/>
    <n v="112.5"/>
    <n v="0.5431111111111111"/>
    <n v="158.60589999999999"/>
    <n v="-1.2572930767392636"/>
    <s v=""/>
    <s v=""/>
    <s v=""/>
    <m/>
  </r>
  <r>
    <x v="343"/>
    <x v="0"/>
    <n v="97.8"/>
    <n v="0.82208588957055218"/>
    <s v=""/>
    <s v=""/>
    <s v=""/>
    <s v=""/>
    <n v="112.4"/>
    <n v="0.54270462633451966"/>
    <n v="154.1771"/>
    <n v="-1.3221347398543624"/>
    <s v=""/>
    <s v=""/>
    <s v=""/>
    <m/>
  </r>
  <r>
    <x v="344"/>
    <x v="0"/>
    <n v="97.8"/>
    <n v="0.82208588957055218"/>
    <s v=""/>
    <s v=""/>
    <s v=""/>
    <s v=""/>
    <n v="112.4"/>
    <n v="0.54270462633451966"/>
    <n v="154.73140000000001"/>
    <n v="-1.3138160709461686"/>
    <s v=""/>
    <s v=""/>
    <s v=""/>
    <m/>
  </r>
  <r>
    <x v="345"/>
    <x v="0"/>
    <n v="95.1"/>
    <n v="0.81703470031545744"/>
    <s v=""/>
    <s v=""/>
    <s v=""/>
    <s v=""/>
    <n v="112.3"/>
    <n v="0.54229741763134465"/>
    <n v="156.47229999999999"/>
    <n v="-1.2880727131894911"/>
    <s v=""/>
    <s v=""/>
    <s v=""/>
    <m/>
  </r>
  <r>
    <x v="346"/>
    <x v="0"/>
    <n v="94.8"/>
    <n v="0.81645569620253167"/>
    <s v=""/>
    <s v=""/>
    <s v=""/>
    <s v=""/>
    <n v="112.2"/>
    <n v="0.54188948306595375"/>
    <n v="162.8494"/>
    <n v="-1.1984729449417681"/>
    <s v=""/>
    <s v=""/>
    <s v=""/>
    <m/>
  </r>
  <r>
    <x v="347"/>
    <x v="0"/>
    <n v="94.5"/>
    <n v="0.81587301587301586"/>
    <s v=""/>
    <s v=""/>
    <s v=""/>
    <s v=""/>
    <n v="112.1"/>
    <n v="0.54148082069580727"/>
    <n v="162.0523"/>
    <n v="-1.2092867549550359"/>
    <s v=""/>
    <s v=""/>
    <s v=""/>
    <m/>
  </r>
  <r>
    <x v="348"/>
    <x v="0"/>
    <n v="92.7"/>
    <n v="0.81229773462783172"/>
    <s v=""/>
    <s v=""/>
    <s v=""/>
    <s v=""/>
    <n v="112.3"/>
    <n v="0.54229741763134465"/>
    <n v="154.8295"/>
    <n v="-1.3123500366532217"/>
    <s v=""/>
    <s v=""/>
    <s v=""/>
    <m/>
  </r>
  <r>
    <x v="349"/>
    <x v="0"/>
    <n v="92.3"/>
    <n v="0.81148429035752978"/>
    <s v=""/>
    <s v=""/>
    <s v=""/>
    <s v=""/>
    <n v="112"/>
    <n v="0.54107142857142865"/>
    <n v="153.4068"/>
    <n v="-1.3337948513364464"/>
    <s v=""/>
    <s v=""/>
    <s v=""/>
    <m/>
  </r>
  <r>
    <x v="350"/>
    <x v="0"/>
    <n v="92.7"/>
    <n v="0.81229773462783172"/>
    <s v=""/>
    <s v=""/>
    <s v=""/>
    <s v=""/>
    <n v="111.9"/>
    <n v="0.54066130473637175"/>
    <n v="151.4332"/>
    <n v="-1.3642107543127926"/>
    <s v=""/>
    <s v=""/>
    <s v=""/>
    <m/>
  </r>
  <r>
    <x v="351"/>
    <x v="0"/>
    <n v="92.4"/>
    <n v="0.81168831168831168"/>
    <s v=""/>
    <s v=""/>
    <s v=""/>
    <s v=""/>
    <n v="111.6"/>
    <n v="0.53942652329749108"/>
    <n v="142.89859999999999"/>
    <n v="-1.5054129291679557"/>
    <s v=""/>
    <s v=""/>
    <s v=""/>
    <m/>
  </r>
  <r>
    <x v="352"/>
    <x v="0"/>
    <n v="94"/>
    <n v="0.81489361702127661"/>
    <s v=""/>
    <s v=""/>
    <s v=""/>
    <s v=""/>
    <n v="111.4"/>
    <n v="0.53859964093357271"/>
    <n v="140.47900000000001"/>
    <n v="-1.5485659778329852"/>
    <s v=""/>
    <s v=""/>
    <s v=""/>
    <m/>
  </r>
  <r>
    <x v="353"/>
    <x v="0"/>
    <n v="95.8"/>
    <n v="0.81837160751565763"/>
    <s v=""/>
    <s v=""/>
    <s v=""/>
    <s v=""/>
    <n v="110.4"/>
    <n v="0.53442028985507251"/>
    <n v="144.54949999999999"/>
    <n v="-1.4767986053220521"/>
    <s v=""/>
    <s v=""/>
    <s v=""/>
    <m/>
  </r>
  <r>
    <x v="354"/>
    <x v="0"/>
    <n v="97.7"/>
    <n v="0.82190378710337775"/>
    <s v=""/>
    <s v=""/>
    <s v=""/>
    <s v=""/>
    <n v="109.5"/>
    <n v="0.53059360730593608"/>
    <n v="150.29390000000001"/>
    <n v="-1.3821326081763794"/>
    <s v=""/>
    <s v=""/>
    <s v=""/>
    <m/>
  </r>
  <r>
    <x v="355"/>
    <x v="0"/>
    <n v="97.3"/>
    <n v="0.82117163412127447"/>
    <s v=""/>
    <s v=""/>
    <s v=""/>
    <s v=""/>
    <n v="109.5"/>
    <n v="0.53059360730593608"/>
    <n v="147.33430000000001"/>
    <n v="-1.4299840566656914"/>
    <s v=""/>
    <s v=""/>
    <s v=""/>
    <m/>
  </r>
  <r>
    <x v="356"/>
    <x v="0"/>
    <n v="97.1"/>
    <n v="0.82080329557157572"/>
    <s v=""/>
    <s v=""/>
    <s v=""/>
    <s v=""/>
    <n v="109.8"/>
    <n v="0.53187613843351556"/>
    <n v="143.291"/>
    <n v="-1.4985518978861196"/>
    <s v=""/>
    <s v=""/>
    <s v=""/>
    <m/>
  </r>
  <r>
    <x v="357"/>
    <x v="0"/>
    <n v="93.3"/>
    <n v="0.81350482315112538"/>
    <s v=""/>
    <s v=""/>
    <s v=""/>
    <s v=""/>
    <n v="111"/>
    <n v="0.536936936936937"/>
    <n v="143.32"/>
    <n v="-1.4980463298911526"/>
    <s v=""/>
    <s v=""/>
    <s v=""/>
    <m/>
  </r>
  <r>
    <x v="358"/>
    <x v="0"/>
    <n v="91.8"/>
    <n v="0.81045751633986929"/>
    <s v=""/>
    <s v=""/>
    <s v=""/>
    <s v=""/>
    <n v="112.8"/>
    <n v="0.54432624113475181"/>
    <n v="135.3974"/>
    <n v="-1.6442162109464435"/>
    <s v=""/>
    <s v=""/>
    <s v=""/>
    <m/>
  </r>
  <r>
    <x v="359"/>
    <x v="0"/>
    <n v="92.2"/>
    <n v="0.81127982646420826"/>
    <s v=""/>
    <s v=""/>
    <s v=""/>
    <s v=""/>
    <n v="112.6"/>
    <n v="0.54351687388987568"/>
    <n v="128.24180000000001"/>
    <n v="-1.7917574457002314"/>
    <s v=""/>
    <s v=""/>
    <s v=""/>
    <m/>
  </r>
  <r>
    <x v="360"/>
    <x v="0"/>
    <n v="91.5"/>
    <n v="0.80983606557377052"/>
    <s v=""/>
    <s v=""/>
    <s v=""/>
    <s v=""/>
    <n v="114.5"/>
    <n v="0.55109170305676858"/>
    <n v="127.6853"/>
    <n v="-1.8039249623879958"/>
    <s v=""/>
    <s v=""/>
    <s v=""/>
    <m/>
  </r>
  <r>
    <x v="361"/>
    <x v="0"/>
    <n v="91.7"/>
    <n v="0.81025081788440567"/>
    <s v=""/>
    <s v=""/>
    <s v=""/>
    <s v=""/>
    <n v="114.7"/>
    <n v="0.55187445510026156"/>
    <n v="129.16650000000001"/>
    <n v="-1.7717713184146038"/>
    <s v=""/>
    <s v=""/>
    <s v=""/>
    <m/>
  </r>
  <r>
    <x v="362"/>
    <x v="0"/>
    <n v="91.6"/>
    <n v="0.81004366812227069"/>
    <s v=""/>
    <s v=""/>
    <s v=""/>
    <s v=""/>
    <n v="116.6"/>
    <n v="0.55917667238421953"/>
    <n v="127.1139"/>
    <n v="-1.8165291128664922"/>
    <s v=""/>
    <s v=""/>
    <s v=""/>
    <m/>
  </r>
  <r>
    <x v="363"/>
    <x v="0"/>
    <n v="91.7"/>
    <n v="0.81025081788440567"/>
    <s v=""/>
    <s v=""/>
    <s v=""/>
    <s v=""/>
    <n v="118.2"/>
    <n v="0.56514382402707275"/>
    <n v="124.8976"/>
    <n v="-1.8665082435531186"/>
    <s v=""/>
    <s v=""/>
    <s v=""/>
    <m/>
  </r>
  <r>
    <x v="364"/>
    <x v="0"/>
    <n v="91.6"/>
    <n v="0.81004366812227069"/>
    <s v=""/>
    <s v=""/>
    <s v=""/>
    <s v=""/>
    <n v="119.4"/>
    <n v="0.56951423785594635"/>
    <n v="124.7871"/>
    <n v="-1.8690465601011641"/>
    <s v=""/>
    <s v=""/>
    <s v=""/>
    <m/>
  </r>
  <r>
    <x v="365"/>
    <x v="0"/>
    <n v="98.5"/>
    <n v="0.82335025380710658"/>
    <s v=""/>
    <s v=""/>
    <s v=""/>
    <s v=""/>
    <n v="122.9"/>
    <n v="0.58177379983726607"/>
    <n v="127.46550000000001"/>
    <n v="-1.8087600174164771"/>
    <s v=""/>
    <s v=""/>
    <s v=""/>
    <m/>
  </r>
  <r>
    <x v="366"/>
    <x v="0"/>
    <n v="99.4"/>
    <n v="0.82494969818913488"/>
    <s v=""/>
    <s v=""/>
    <s v=""/>
    <s v=""/>
    <n v="122.2"/>
    <n v="0.57937806873977094"/>
    <n v="133.0215"/>
    <n v="-1.691444616095894"/>
    <s v=""/>
    <s v=""/>
    <s v=""/>
    <m/>
  </r>
  <r>
    <x v="367"/>
    <x v="0"/>
    <n v="99.5"/>
    <n v="0.82512562814070356"/>
    <s v=""/>
    <s v=""/>
    <s v=""/>
    <s v=""/>
    <n v="123.4"/>
    <n v="0.58346839546191254"/>
    <n v="133.76609999999999"/>
    <n v="-1.6764628706376281"/>
    <s v=""/>
    <s v=""/>
    <s v=""/>
    <m/>
  </r>
  <r>
    <x v="368"/>
    <x v="0"/>
    <n v="99.7"/>
    <n v="0.82547642928786358"/>
    <s v=""/>
    <s v=""/>
    <s v=""/>
    <s v=""/>
    <n v="123.6"/>
    <n v="0.58414239482200647"/>
    <n v="134.3176"/>
    <n v="-1.6654734748089601"/>
    <s v=""/>
    <s v=""/>
    <s v=""/>
    <m/>
  </r>
  <r>
    <x v="369"/>
    <x v="0"/>
    <n v="96"/>
    <n v="0.81874999999999998"/>
    <s v=""/>
    <s v=""/>
    <s v=""/>
    <s v=""/>
    <n v="123.4"/>
    <n v="0.58346839546191254"/>
    <n v="128.68049999999999"/>
    <n v="-1.782239733292923"/>
    <s v=""/>
    <s v=""/>
    <s v=""/>
    <m/>
  </r>
  <r>
    <x v="370"/>
    <x v="0"/>
    <n v="91.8"/>
    <n v="0.81045751633986929"/>
    <s v=""/>
    <s v=""/>
    <s v=""/>
    <s v=""/>
    <n v="123.8"/>
    <n v="0.58481421647819065"/>
    <n v="123.202"/>
    <n v="-1.9059593188422266"/>
    <s v=""/>
    <s v=""/>
    <s v=""/>
    <m/>
  </r>
  <r>
    <x v="371"/>
    <x v="0"/>
    <n v="92.9"/>
    <n v="0.81270182992465023"/>
    <s v=""/>
    <s v=""/>
    <s v=""/>
    <s v=""/>
    <n v="123.1"/>
    <n v="0.5824532900081234"/>
    <n v="123.60760000000001"/>
    <n v="-1.8964238444885262"/>
    <s v=""/>
    <s v=""/>
    <s v=""/>
    <m/>
  </r>
  <r>
    <x v="372"/>
    <x v="0"/>
    <n v="94.2"/>
    <n v="0.8152866242038217"/>
    <s v=""/>
    <s v=""/>
    <s v=""/>
    <s v=""/>
    <n v="123.7"/>
    <n v="0.5844785772029103"/>
    <n v="127.3625"/>
    <n v="-1.8110315045637453"/>
    <s v=""/>
    <s v=""/>
    <s v=""/>
    <m/>
  </r>
  <r>
    <x v="373"/>
    <x v="0"/>
    <n v="94.2"/>
    <n v="0.8152866242038217"/>
    <s v=""/>
    <s v=""/>
    <s v=""/>
    <s v=""/>
    <n v="123.5"/>
    <n v="0.58380566801619427"/>
    <n v="127.73739999999999"/>
    <n v="-1.8027813310745326"/>
    <s v=""/>
    <s v=""/>
    <s v=""/>
    <m/>
  </r>
  <r>
    <x v="374"/>
    <x v="0"/>
    <n v="94.4"/>
    <n v="0.81567796610169496"/>
    <s v=""/>
    <s v=""/>
    <s v=""/>
    <s v=""/>
    <n v="123.8"/>
    <n v="0.58481421647819065"/>
    <n v="130.5504"/>
    <n v="-1.7423891462607544"/>
    <s v=""/>
    <s v=""/>
    <s v=""/>
    <m/>
  </r>
  <r>
    <x v="375"/>
    <x v="0"/>
    <n v="94.5"/>
    <n v="0.81587301587301586"/>
    <s v=""/>
    <s v=""/>
    <s v=""/>
    <s v=""/>
    <n v="124.6"/>
    <n v="0.58747993579454261"/>
    <n v="132.03649999999999"/>
    <n v="-1.7115229500933453"/>
    <s v=""/>
    <s v=""/>
    <s v=""/>
    <m/>
  </r>
  <r>
    <x v="376"/>
    <x v="0"/>
    <n v="95.5"/>
    <n v="0.8178010471204189"/>
    <s v=""/>
    <s v=""/>
    <s v=""/>
    <s v=""/>
    <n v="126"/>
    <n v="0.59206349206349207"/>
    <n v="137.86359999999999"/>
    <n v="-1.5969146315633713"/>
    <s v=""/>
    <s v=""/>
    <s v=""/>
    <m/>
  </r>
  <r>
    <x v="377"/>
    <x v="0"/>
    <n v="100.7"/>
    <n v="0.82720953326713009"/>
    <s v=""/>
    <s v=""/>
    <s v=""/>
    <s v=""/>
    <n v="126.9"/>
    <n v="0.5949566587864461"/>
    <n v="143.98089999999999"/>
    <n v="-1.4865798171840847"/>
    <s v=""/>
    <s v=""/>
    <s v=""/>
    <m/>
  </r>
  <r>
    <x v="378"/>
    <x v="0"/>
    <n v="102.8"/>
    <n v="0.83073929961089499"/>
    <s v=""/>
    <s v=""/>
    <s v=""/>
    <s v=""/>
    <n v="127.2"/>
    <n v="0.59591194968553463"/>
    <n v="140.42400000000001"/>
    <n v="-1.5495641770637496"/>
    <s v=""/>
    <s v=""/>
    <s v=""/>
    <m/>
  </r>
  <r>
    <x v="379"/>
    <x v="0"/>
    <n v="102.9"/>
    <n v="0.83090379008746362"/>
    <s v=""/>
    <s v=""/>
    <s v=""/>
    <s v=""/>
    <n v="127.3"/>
    <n v="0.59622937941869592"/>
    <n v="141.48519999999999"/>
    <n v="-1.5304413465153952"/>
    <s v=""/>
    <s v=""/>
    <s v=""/>
    <m/>
  </r>
  <r>
    <x v="380"/>
    <x v="0"/>
    <n v="103"/>
    <n v="0.83106796116504855"/>
    <s v=""/>
    <s v=""/>
    <s v=""/>
    <s v=""/>
    <n v="127.9"/>
    <n v="0.59812353401094609"/>
    <n v="145.07"/>
    <n v="-1.4679120424622596"/>
    <s v=""/>
    <s v=""/>
    <s v=""/>
    <m/>
  </r>
  <r>
    <x v="381"/>
    <x v="0"/>
    <n v="98.5"/>
    <n v="0.82335025380710658"/>
    <s v=""/>
    <s v=""/>
    <s v=""/>
    <s v=""/>
    <n v="128.1"/>
    <n v="0.59875097580015613"/>
    <n v="142.20670000000001"/>
    <n v="-1.5176028977537621"/>
    <s v=""/>
    <s v=""/>
    <s v=""/>
    <m/>
  </r>
  <r>
    <x v="382"/>
    <x v="0"/>
    <n v="95.4"/>
    <n v="0.8176100628930818"/>
    <s v=""/>
    <s v=""/>
    <s v=""/>
    <s v=""/>
    <n v="128.5"/>
    <n v="0.60000000000000009"/>
    <n v="143.5343"/>
    <n v="-1.4943166894602893"/>
    <s v=""/>
    <s v=""/>
    <s v=""/>
    <m/>
  </r>
  <r>
    <x v="383"/>
    <x v="0"/>
    <n v="96"/>
    <n v="0.81874999999999998"/>
    <s v=""/>
    <s v=""/>
    <s v=""/>
    <s v=""/>
    <n v="128.80000000000001"/>
    <n v="0.60093167701863359"/>
    <n v="143.685"/>
    <n v="-1.4917005950516753"/>
    <s v=""/>
    <s v=""/>
    <s v=""/>
    <m/>
  </r>
  <r>
    <x v="384"/>
    <x v="0"/>
    <n v="96.6"/>
    <n v="0.81987577639751552"/>
    <s v=""/>
    <s v=""/>
    <s v=""/>
    <s v=""/>
    <n v="129"/>
    <n v="0.60155038759689927"/>
    <n v="144.9819"/>
    <n v="-1.4694116989775963"/>
    <s v=""/>
    <s v=""/>
    <s v=""/>
    <m/>
  </r>
  <r>
    <x v="385"/>
    <x v="0"/>
    <n v="96.7"/>
    <n v="0.8200620475698035"/>
    <s v=""/>
    <s v=""/>
    <s v=""/>
    <s v=""/>
    <n v="129"/>
    <n v="0.60155038759689927"/>
    <n v="145.69319999999999"/>
    <n v="-1.4573555938094573"/>
    <s v=""/>
    <s v=""/>
    <s v=""/>
    <m/>
  </r>
  <r>
    <x v="386"/>
    <x v="0"/>
    <n v="97"/>
    <n v="0.8206185567010309"/>
    <s v=""/>
    <s v=""/>
    <s v=""/>
    <s v=""/>
    <n v="130.6"/>
    <n v="0.60643185298621738"/>
    <n v="153.3082"/>
    <n v="-1.3352958289250019"/>
    <s v=""/>
    <s v=""/>
    <s v=""/>
    <m/>
  </r>
  <r>
    <x v="387"/>
    <x v="0"/>
    <n v="96.8"/>
    <n v="0.82024793388429751"/>
    <s v=""/>
    <s v=""/>
    <s v=""/>
    <s v=""/>
    <n v="131.4"/>
    <n v="0.60882800608828003"/>
    <n v="158.45859999999999"/>
    <n v="-1.2593914120155043"/>
    <s v=""/>
    <s v=""/>
    <s v=""/>
    <m/>
  </r>
  <r>
    <x v="388"/>
    <x v="0"/>
    <n v="98.3"/>
    <n v="0.82299084435401837"/>
    <s v=""/>
    <s v=""/>
    <s v=""/>
    <s v=""/>
    <n v="131.30000000000001"/>
    <n v="0.60853008377760864"/>
    <n v="154.04409999999999"/>
    <n v="-1.3241396457248285"/>
    <s v=""/>
    <s v=""/>
    <s v=""/>
    <m/>
  </r>
  <r>
    <x v="389"/>
    <x v="0"/>
    <n v="104.2"/>
    <n v="0.83301343570057584"/>
    <s v=""/>
    <s v=""/>
    <s v=""/>
    <s v=""/>
    <n v="132.30000000000001"/>
    <n v="0.61148904006046867"/>
    <n v="153.69569999999999"/>
    <n v="-1.3294080445972138"/>
    <s v=""/>
    <s v=""/>
    <s v=""/>
    <m/>
  </r>
  <r>
    <x v="390"/>
    <x v="0"/>
    <n v="104.6"/>
    <n v="0.83365200764818359"/>
    <s v=""/>
    <s v=""/>
    <s v=""/>
    <s v=""/>
    <n v="132.4"/>
    <n v="0.6117824773413898"/>
    <n v="149.0395"/>
    <n v="-1.402181971893357"/>
    <s v=""/>
    <s v=""/>
    <s v=""/>
    <m/>
  </r>
  <r>
    <x v="391"/>
    <x v="0"/>
    <n v="104.8"/>
    <n v="0.83396946564885499"/>
    <s v=""/>
    <s v=""/>
    <s v=""/>
    <s v=""/>
    <n v="134.9"/>
    <n v="0.6189770200148258"/>
    <n v="147.46090000000001"/>
    <n v="-1.4278978359687211"/>
    <s v=""/>
    <s v=""/>
    <s v=""/>
    <m/>
  </r>
  <r>
    <x v="392"/>
    <x v="0"/>
    <n v="105.1"/>
    <n v="0.83444338725023792"/>
    <s v=""/>
    <s v=""/>
    <s v=""/>
    <s v=""/>
    <n v="137.19999999999999"/>
    <n v="0.62536443148688048"/>
    <n v="138.44049999999999"/>
    <n v="-1.5860929424554233"/>
    <s v=""/>
    <s v=""/>
    <s v=""/>
    <m/>
  </r>
  <r>
    <x v="393"/>
    <x v="0"/>
    <n v="101.9"/>
    <n v="0.82924435721295386"/>
    <s v=""/>
    <s v=""/>
    <s v=""/>
    <s v=""/>
    <n v="145.30000000000001"/>
    <n v="0.64624913971094289"/>
    <n v="129.5909"/>
    <n v="-1.7626939854573118"/>
    <s v=""/>
    <s v=""/>
    <s v=""/>
    <m/>
  </r>
  <r>
    <x v="394"/>
    <x v="0"/>
    <n v="101"/>
    <n v="0.82772277227722779"/>
    <s v=""/>
    <s v=""/>
    <s v=""/>
    <s v=""/>
    <n v="150.80000000000001"/>
    <n v="0.65915119363395225"/>
    <n v="129.21549999999999"/>
    <n v="-1.7707202309320476"/>
    <s v=""/>
    <s v=""/>
    <s v=""/>
    <m/>
  </r>
  <r>
    <x v="395"/>
    <x v="0"/>
    <n v="100"/>
    <n v="0.82600000000000007"/>
    <s v=""/>
    <s v=""/>
    <s v=""/>
    <s v=""/>
    <n v="151.80000000000001"/>
    <n v="0.66139657444005273"/>
    <n v="133.88900000000001"/>
    <n v="-1.6740060796630041"/>
    <s v=""/>
    <s v=""/>
    <s v=""/>
    <m/>
  </r>
  <r>
    <x v="396"/>
    <x v="0"/>
    <n v="104.4"/>
    <n v="0.83333333333333337"/>
    <s v=""/>
    <s v=""/>
    <s v=""/>
    <s v=""/>
    <n v="153.1"/>
    <n v="0.66427171783148276"/>
    <n v="133.6986"/>
    <n v="-1.6778141281958074"/>
    <s v=""/>
    <s v=""/>
    <s v=""/>
    <m/>
  </r>
  <r>
    <x v="397"/>
    <x v="0"/>
    <n v="104.5"/>
    <n v="0.83349282296650717"/>
    <s v=""/>
    <s v=""/>
    <s v=""/>
    <s v=""/>
    <n v="153.1"/>
    <n v="0.66427171783148276"/>
    <n v="130.53579999999999"/>
    <n v="-1.7426958734691937"/>
    <s v=""/>
    <s v=""/>
    <s v=""/>
    <m/>
  </r>
  <r>
    <x v="398"/>
    <x v="0"/>
    <n v="104.5"/>
    <n v="0.83349282296650717"/>
    <s v=""/>
    <s v=""/>
    <s v=""/>
    <s v=""/>
    <n v="151.4"/>
    <n v="0.66050198150594452"/>
    <n v="137.38669999999999"/>
    <n v="-1.605929103763319"/>
    <s v=""/>
    <s v=""/>
    <s v=""/>
    <m/>
  </r>
  <r>
    <x v="399"/>
    <x v="0"/>
    <n v="104.8"/>
    <n v="0.83396946564885499"/>
    <s v=""/>
    <s v=""/>
    <s v=""/>
    <s v=""/>
    <n v="150.5"/>
    <n v="0.65847176079734226"/>
    <n v="137.11269999999999"/>
    <n v="-1.611136678075773"/>
    <s v=""/>
    <s v=""/>
    <s v=""/>
    <m/>
  </r>
  <r>
    <x v="400"/>
    <x v="0"/>
    <n v="107.8"/>
    <n v="0.83858998144712427"/>
    <s v=""/>
    <s v=""/>
    <s v=""/>
    <s v=""/>
    <n v="149.30000000000001"/>
    <n v="0.65572672471533822"/>
    <n v="138.2218"/>
    <n v="-1.5901847610145432"/>
    <s v=""/>
    <s v=""/>
    <s v=""/>
    <m/>
  </r>
  <r>
    <x v="401"/>
    <x v="0"/>
    <n v="111.5"/>
    <n v="0.84394618834080715"/>
    <s v=""/>
    <s v=""/>
    <s v=""/>
    <s v=""/>
    <n v="149"/>
    <n v="0.65503355704697985"/>
    <n v="139.7475"/>
    <n v="-1.5619062952825629"/>
    <s v=""/>
    <s v=""/>
    <s v=""/>
    <m/>
  </r>
  <r>
    <x v="402"/>
    <x v="0"/>
    <n v="113.1"/>
    <n v="0.84615384615384615"/>
    <s v=""/>
    <s v=""/>
    <s v=""/>
    <s v=""/>
    <n v="149"/>
    <n v="0.65503355704697985"/>
    <n v="137.83000000000001"/>
    <n v="-1.5975477036929546"/>
    <s v=""/>
    <s v=""/>
    <s v=""/>
    <m/>
  </r>
  <r>
    <x v="403"/>
    <x v="0"/>
    <n v="112.5"/>
    <n v="0.84533333333333338"/>
    <s v=""/>
    <s v=""/>
    <s v=""/>
    <s v=""/>
    <n v="148.69999999999999"/>
    <n v="0.65433759246805645"/>
    <n v="136.81639999999999"/>
    <n v="-1.6167915542288793"/>
    <s v=""/>
    <s v=""/>
    <s v=""/>
    <m/>
  </r>
  <r>
    <x v="404"/>
    <x v="0"/>
    <n v="112.5"/>
    <n v="0.84533333333333338"/>
    <s v=""/>
    <s v=""/>
    <s v=""/>
    <s v=""/>
    <n v="148.69999999999999"/>
    <n v="0.65433759246805645"/>
    <n v="134.29949999999999"/>
    <n v="-1.6658327097271397"/>
    <s v=""/>
    <s v=""/>
    <s v=""/>
    <m/>
  </r>
  <r>
    <x v="405"/>
    <x v="0"/>
    <n v="107.9"/>
    <n v="0.83873957367933272"/>
    <s v=""/>
    <s v=""/>
    <s v=""/>
    <s v=""/>
    <n v="147.9"/>
    <n v="0.65246788370520625"/>
    <n v="130.7723"/>
    <n v="-1.7377357437316618"/>
    <s v=""/>
    <s v=""/>
    <s v=""/>
    <m/>
  </r>
  <r>
    <x v="406"/>
    <x v="0"/>
    <n v="103.5"/>
    <n v="0.8318840579710145"/>
    <s v=""/>
    <s v=""/>
    <s v=""/>
    <s v=""/>
    <n v="148"/>
    <n v="0.6527027027027027"/>
    <n v="129.63210000000001"/>
    <n v="-1.7618159391076742"/>
    <s v=""/>
    <s v=""/>
    <s v=""/>
    <m/>
  </r>
  <r>
    <x v="407"/>
    <x v="0"/>
    <n v="105.2"/>
    <n v="0.83460076045627374"/>
    <s v=""/>
    <s v=""/>
    <s v=""/>
    <s v=""/>
    <n v="147.9"/>
    <n v="0.65246788370520625"/>
    <n v="128.0395"/>
    <n v="-1.7961683699170958"/>
    <s v=""/>
    <s v=""/>
    <s v=""/>
    <m/>
  </r>
  <r>
    <x v="408"/>
    <x v="0"/>
    <n v="105.9"/>
    <n v="0.8356940509915014"/>
    <s v=""/>
    <s v=""/>
    <s v=""/>
    <s v=""/>
    <n v="148"/>
    <n v="0.6527027027027027"/>
    <n v="125.4614"/>
    <n v="-1.8536266931502436"/>
    <s v=""/>
    <s v=""/>
    <s v=""/>
    <m/>
  </r>
  <r>
    <x v="409"/>
    <x v="0"/>
    <n v="105.4"/>
    <n v="0.83491461100569264"/>
    <s v=""/>
    <s v=""/>
    <s v=""/>
    <s v=""/>
    <n v="148.30000000000001"/>
    <n v="0.65340525960890083"/>
    <n v="127.69889999999999"/>
    <n v="-1.8036263429050678"/>
    <s v=""/>
    <s v=""/>
    <s v=""/>
    <m/>
  </r>
  <r>
    <x v="410"/>
    <x v="0"/>
    <n v="105.7"/>
    <n v="0.83538315988647116"/>
    <s v=""/>
    <s v=""/>
    <s v=""/>
    <s v=""/>
    <n v="148.30000000000001"/>
    <n v="0.65340525960890083"/>
    <n v="132.86269999999999"/>
    <n v="-1.6946614813638443"/>
    <s v=""/>
    <s v=""/>
    <s v=""/>
    <m/>
  </r>
  <r>
    <x v="411"/>
    <x v="0"/>
    <n v="105"/>
    <n v="0.8342857142857143"/>
    <s v=""/>
    <s v=""/>
    <s v=""/>
    <s v=""/>
    <n v="148.30000000000001"/>
    <n v="0.65340525960890083"/>
    <n v="133.5395"/>
    <n v="-1.6810044967968278"/>
    <s v=""/>
    <s v=""/>
    <s v=""/>
    <m/>
  </r>
  <r>
    <x v="412"/>
    <x v="0"/>
    <n v="108"/>
    <n v="0.83888888888888891"/>
    <s v=""/>
    <s v=""/>
    <s v=""/>
    <s v=""/>
    <n v="148.6"/>
    <n v="0.65410497981157467"/>
    <n v="130.77099999999999"/>
    <n v="-1.7377629596776045"/>
    <s v=""/>
    <s v=""/>
    <s v=""/>
    <m/>
  </r>
  <r>
    <x v="413"/>
    <x v="0"/>
    <n v="113.3"/>
    <n v="0.84642541924095327"/>
    <s v=""/>
    <s v=""/>
    <s v=""/>
    <s v=""/>
    <n v="148.6"/>
    <n v="0.65410497981157467"/>
    <n v="126.8355"/>
    <n v="-1.8227113071655805"/>
    <s v=""/>
    <s v=""/>
    <s v=""/>
    <m/>
  </r>
  <r>
    <x v="414"/>
    <x v="0"/>
    <n v="114"/>
    <n v="0.84736842105263155"/>
    <s v=""/>
    <s v=""/>
    <s v=""/>
    <s v=""/>
    <n v="148.9"/>
    <n v="0.65480188045668242"/>
    <n v="125.8817"/>
    <n v="-1.8440988642511185"/>
    <s v=""/>
    <s v=""/>
    <s v=""/>
    <m/>
  </r>
  <r>
    <x v="415"/>
    <x v="0"/>
    <n v="113.6"/>
    <n v="0.846830985915493"/>
    <s v=""/>
    <s v=""/>
    <s v=""/>
    <s v=""/>
    <n v="150.30000000000001"/>
    <n v="0.65801729873586168"/>
    <n v="126.23099999999999"/>
    <n v="-1.8362288185944817"/>
    <s v=""/>
    <s v=""/>
    <s v=""/>
    <m/>
  </r>
  <r>
    <x v="416"/>
    <x v="0"/>
    <n v="114.3"/>
    <n v="0.84776902887139105"/>
    <s v=""/>
    <s v=""/>
    <s v=""/>
    <s v=""/>
    <n v="150.69999999999999"/>
    <n v="0.65892501658925018"/>
    <n v="122.5967"/>
    <n v="-1.9203069903186627"/>
    <s v=""/>
    <s v=""/>
    <s v=""/>
    <m/>
  </r>
  <r>
    <x v="417"/>
    <x v="0"/>
    <n v="110.3"/>
    <n v="0.84224841341795109"/>
    <s v=""/>
    <s v=""/>
    <s v=""/>
    <s v=""/>
    <n v="150.69999999999999"/>
    <n v="0.65892501658925018"/>
    <n v="121.1652"/>
    <n v="-1.9548088064889919"/>
    <s v=""/>
    <s v=""/>
    <s v=""/>
    <m/>
  </r>
  <r>
    <x v="418"/>
    <x v="0"/>
    <n v="105.5"/>
    <n v="0.83507109004739344"/>
    <s v=""/>
    <s v=""/>
    <s v=""/>
    <s v=""/>
    <n v="151"/>
    <n v="0.65960264900662247"/>
    <n v="123.88"/>
    <n v="-1.890054891830804"/>
    <s v=""/>
    <s v=""/>
    <s v=""/>
    <m/>
  </r>
  <r>
    <x v="419"/>
    <x v="0"/>
    <n v="106.6"/>
    <n v="0.83677298311444659"/>
    <s v=""/>
    <s v=""/>
    <s v=""/>
    <s v=""/>
    <n v="151.6"/>
    <n v="0.66094986807387857"/>
    <n v="124.04089999999999"/>
    <n v="-1.8863060490531751"/>
    <s v=""/>
    <s v=""/>
    <s v=""/>
    <m/>
  </r>
  <r>
    <x v="420"/>
    <x v="0"/>
    <n v="106.9"/>
    <n v="0.83723105706267542"/>
    <s v=""/>
    <s v=""/>
    <s v=""/>
    <s v=""/>
    <n v="151"/>
    <n v="0.65960264900662247"/>
    <n v="124.9932"/>
    <n v="-1.8643158187805415"/>
    <s v=""/>
    <s v=""/>
    <s v=""/>
    <m/>
  </r>
  <r>
    <x v="421"/>
    <x v="0"/>
    <n v="106.3"/>
    <n v="0.8363123236124177"/>
    <s v=""/>
    <s v=""/>
    <s v=""/>
    <s v=""/>
    <n v="151"/>
    <n v="0.65960264900662247"/>
    <n v="120.7595"/>
    <n v="-1.9647356936721332"/>
    <s v=""/>
    <s v=""/>
    <s v=""/>
    <m/>
  </r>
  <r>
    <x v="422"/>
    <x v="0"/>
    <n v="106.5"/>
    <n v="0.83661971830985915"/>
    <s v=""/>
    <s v=""/>
    <s v=""/>
    <s v=""/>
    <n v="151.1"/>
    <n v="0.65982792852415617"/>
    <n v="117.01739999999999"/>
    <n v="-2.0595449907449663"/>
    <s v=""/>
    <s v=""/>
    <s v=""/>
    <m/>
  </r>
  <r>
    <x v="423"/>
    <x v="0"/>
    <n v="106.7"/>
    <n v="0.83692596063730085"/>
    <s v=""/>
    <s v=""/>
    <s v=""/>
    <s v=""/>
    <n v="151.4"/>
    <n v="0.66050198150594452"/>
    <n v="112.4114"/>
    <n v="-2.1849082922194722"/>
    <s v=""/>
    <s v=""/>
    <s v=""/>
    <m/>
  </r>
  <r>
    <x v="424"/>
    <x v="0"/>
    <n v="107.2"/>
    <n v="0.83768656716417911"/>
    <s v=""/>
    <s v=""/>
    <s v=""/>
    <s v=""/>
    <n v="151.4"/>
    <n v="0.66050198150594452"/>
    <n v="110.343"/>
    <n v="-2.2446099888529401"/>
    <s v=""/>
    <s v=""/>
    <s v=""/>
    <m/>
  </r>
  <r>
    <x v="425"/>
    <x v="0"/>
    <n v="115.1"/>
    <n v="0.84882710686359686"/>
    <s v=""/>
    <s v=""/>
    <s v=""/>
    <s v=""/>
    <n v="151"/>
    <n v="0.65960264900662247"/>
    <n v="107.4118"/>
    <n v="-2.3331533406944116"/>
    <s v=""/>
    <s v=""/>
    <s v=""/>
    <m/>
  </r>
  <r>
    <x v="426"/>
    <x v="0"/>
    <n v="115.3"/>
    <n v="0.84908933217692972"/>
    <s v=""/>
    <s v=""/>
    <s v=""/>
    <s v=""/>
    <n v="151"/>
    <n v="0.65960264900662247"/>
    <n v="107.6914"/>
    <n v="-2.3244994493525013"/>
    <s v=""/>
    <s v=""/>
    <s v=""/>
    <m/>
  </r>
  <r>
    <x v="427"/>
    <x v="0"/>
    <n v="115.4"/>
    <n v="0.84922010398613523"/>
    <s v=""/>
    <s v=""/>
    <s v=""/>
    <s v=""/>
    <n v="151.1"/>
    <n v="0.65982792852415617"/>
    <n v="103.765"/>
    <n v="-2.4502963426974413"/>
    <s v=""/>
    <s v=""/>
    <s v=""/>
    <m/>
  </r>
  <r>
    <x v="428"/>
    <x v="0"/>
    <n v="115.7"/>
    <n v="0.8496110630942092"/>
    <s v=""/>
    <s v=""/>
    <s v=""/>
    <s v=""/>
    <n v="151.1"/>
    <n v="0.65982792852415617"/>
    <n v="105.5748"/>
    <n v="-2.3911501608338352"/>
    <s v=""/>
    <s v=""/>
    <s v=""/>
    <m/>
  </r>
  <r>
    <x v="429"/>
    <x v="0"/>
    <n v="110.9"/>
    <n v="0.84310189359783594"/>
    <s v=""/>
    <s v=""/>
    <s v=""/>
    <s v=""/>
    <n v="151.1"/>
    <n v="0.65982792852415617"/>
    <n v="107.02"/>
    <n v="-2.3453560082227622"/>
    <s v=""/>
    <s v=""/>
    <s v=""/>
    <m/>
  </r>
  <r>
    <x v="430"/>
    <x v="0"/>
    <n v="106.2"/>
    <n v="0.83615819209039555"/>
    <s v=""/>
    <s v=""/>
    <s v=""/>
    <s v=""/>
    <n v="151.4"/>
    <n v="0.66050198150594452"/>
    <n v="107.87649999999999"/>
    <n v="-2.3187951036602041"/>
    <s v=""/>
    <s v=""/>
    <s v=""/>
    <m/>
  </r>
  <r>
    <x v="431"/>
    <x v="0"/>
    <n v="106"/>
    <n v="0.83584905660377362"/>
    <s v=""/>
    <s v=""/>
    <s v=""/>
    <s v=""/>
    <n v="151.4"/>
    <n v="0.66050198150594452"/>
    <n v="109.913"/>
    <n v="-2.2573035036801832"/>
    <s v=""/>
    <s v=""/>
    <s v=""/>
    <m/>
  </r>
  <r>
    <x v="432"/>
    <x v="0"/>
    <n v="106.1"/>
    <n v="0.83600377002827519"/>
    <s v=""/>
    <s v=""/>
    <s v=""/>
    <s v=""/>
    <n v="151.5"/>
    <n v="0.66072607260726079"/>
    <n v="111.4415"/>
    <n v="-2.21262725286361"/>
    <s v=""/>
    <s v=""/>
    <n v="12500"/>
    <m/>
  </r>
  <r>
    <x v="433"/>
    <x v="0"/>
    <n v="105.9"/>
    <n v="0.8356940509915014"/>
    <s v=""/>
    <s v=""/>
    <s v=""/>
    <s v=""/>
    <n v="151.5"/>
    <n v="0.66072607260726079"/>
    <n v="106.30110000000001"/>
    <n v="-2.367980199640455"/>
    <s v=""/>
    <s v=""/>
    <s v=""/>
    <m/>
  </r>
  <r>
    <x v="434"/>
    <x v="0"/>
    <n v="105.8"/>
    <n v="0.83553875236294894"/>
    <s v=""/>
    <s v=""/>
    <s v=""/>
    <s v=""/>
    <n v="152.30000000000001"/>
    <n v="0.66250820748522654"/>
    <n v="105.09739999999999"/>
    <n v="-2.4065543010578758"/>
    <s v=""/>
    <s v=""/>
    <s v=""/>
    <m/>
  </r>
  <r>
    <x v="435"/>
    <x v="0"/>
    <n v="105.4"/>
    <n v="0.83491461100569264"/>
    <s v=""/>
    <s v=""/>
    <s v=""/>
    <s v=""/>
    <n v="152.30000000000001"/>
    <n v="0.66250820748522654"/>
    <n v="103.4843"/>
    <n v="-2.4596552327261234"/>
    <s v=""/>
    <s v=""/>
    <n v="12600"/>
    <m/>
  </r>
  <r>
    <x v="436"/>
    <x v="0"/>
    <n v="105.9"/>
    <n v="0.8356940509915014"/>
    <s v=""/>
    <s v=""/>
    <s v=""/>
    <s v=""/>
    <n v="152.19999999999999"/>
    <n v="0.66228646517739809"/>
    <n v="103.7533"/>
    <n v="-2.4506854239816951"/>
    <s v=""/>
    <s v=""/>
    <s v=""/>
    <m/>
  </r>
  <r>
    <x v="437"/>
    <x v="0"/>
    <n v="112.2"/>
    <n v="0.84491978609625673"/>
    <s v=""/>
    <s v=""/>
    <s v=""/>
    <s v=""/>
    <n v="152.30000000000001"/>
    <n v="0.66250820748522654"/>
    <n v="102.5264"/>
    <n v="-2.4919786513522371"/>
    <s v=""/>
    <s v=""/>
    <s v=""/>
    <m/>
  </r>
  <r>
    <x v="438"/>
    <x v="0"/>
    <n v="113.1"/>
    <n v="0.84615384615384615"/>
    <s v=""/>
    <s v=""/>
    <s v=""/>
    <s v=""/>
    <n v="153.6"/>
    <n v="0.66536458333333326"/>
    <n v="98.444999999999993"/>
    <n v="-2.636751485601097"/>
    <s v=""/>
    <s v=""/>
    <n v="13600"/>
    <m/>
  </r>
  <r>
    <x v="439"/>
    <x v="0"/>
    <n v="113.1"/>
    <n v="0.84615384615384615"/>
    <s v=""/>
    <s v=""/>
    <s v=""/>
    <s v=""/>
    <n v="154.5"/>
    <n v="0.66731391585760513"/>
    <n v="99.940399999999997"/>
    <n v="-2.5823350717027349"/>
    <s v=""/>
    <s v=""/>
    <s v=""/>
    <m/>
  </r>
  <r>
    <x v="440"/>
    <x v="0"/>
    <n v="113.4"/>
    <n v="0.84656084656084651"/>
    <s v=""/>
    <s v=""/>
    <s v=""/>
    <s v=""/>
    <n v="155.6"/>
    <n v="0.66966580976863754"/>
    <n v="98.774299999999997"/>
    <n v="-2.6246270537984069"/>
    <s v=""/>
    <s v=""/>
    <s v=""/>
    <m/>
  </r>
  <r>
    <x v="441"/>
    <x v="0"/>
    <n v="108.5"/>
    <n v="0.83963133640553"/>
    <s v=""/>
    <s v=""/>
    <s v=""/>
    <s v=""/>
    <n v="155.6"/>
    <n v="0.66966580976863754"/>
    <n v="98.352999999999994"/>
    <n v="-2.6401533252671499"/>
    <s v=""/>
    <s v=""/>
    <n v="14100"/>
    <m/>
  </r>
  <r>
    <x v="442"/>
    <x v="0"/>
    <n v="106.8"/>
    <n v="0.8370786516853933"/>
    <s v=""/>
    <s v=""/>
    <s v=""/>
    <s v=""/>
    <n v="155.9"/>
    <n v="0.67030147530468254"/>
    <n v="98.043999999999997"/>
    <n v="-2.6516258006609275"/>
    <s v=""/>
    <s v=""/>
    <s v=""/>
    <m/>
  </r>
  <r>
    <x v="443"/>
    <x v="0"/>
    <n v="107.2"/>
    <n v="0.83768656716417911"/>
    <s v=""/>
    <s v=""/>
    <s v=""/>
    <s v=""/>
    <n v="156"/>
    <n v="0.67051282051282057"/>
    <n v="100.1824"/>
    <n v="-2.5736816047529305"/>
    <s v=""/>
    <s v=""/>
    <s v=""/>
    <m/>
  </r>
  <r>
    <x v="444"/>
    <x v="0"/>
    <n v="107.3"/>
    <n v="0.83783783783783783"/>
    <s v=""/>
    <s v=""/>
    <s v=""/>
    <s v=""/>
    <n v="157.5"/>
    <n v="0.67365079365079361"/>
    <n v="99.766000000000005"/>
    <n v="-2.5885973177234725"/>
    <s v=""/>
    <s v=""/>
    <n v="14100"/>
    <m/>
  </r>
  <r>
    <x v="445"/>
    <x v="0"/>
    <n v="107.6"/>
    <n v="0.83828996282527879"/>
    <s v=""/>
    <s v=""/>
    <s v=""/>
    <s v=""/>
    <n v="158.69999999999999"/>
    <n v="0.67611846250787644"/>
    <n v="98.236800000000002"/>
    <n v="-2.6444591029023745"/>
    <s v=""/>
    <s v=""/>
    <s v=""/>
    <m/>
  </r>
  <r>
    <x v="446"/>
    <x v="0"/>
    <n v="107.9"/>
    <n v="0.83873957367933272"/>
    <s v=""/>
    <s v=""/>
    <s v=""/>
    <s v=""/>
    <n v="159.19999999999999"/>
    <n v="0.67713567839195976"/>
    <n v="90.519599999999997"/>
    <n v="-2.9551655111158244"/>
    <s v=""/>
    <s v=""/>
    <s v=""/>
    <m/>
  </r>
  <r>
    <x v="447"/>
    <x v="0"/>
    <n v="106.3"/>
    <n v="0.8363123236124177"/>
    <s v=""/>
    <s v=""/>
    <s v=""/>
    <s v=""/>
    <n v="159.30000000000001"/>
    <n v="0.67733835530445696"/>
    <n v="83.689499999999995"/>
    <n v="-3.2779560159876686"/>
    <s v=""/>
    <s v=""/>
    <n v="12800"/>
    <m/>
  </r>
  <r>
    <x v="448"/>
    <x v="0"/>
    <n v="109.5"/>
    <n v="0.84109589041095889"/>
    <s v=""/>
    <s v=""/>
    <s v=""/>
    <s v=""/>
    <n v="159.4"/>
    <n v="0.67754077791718947"/>
    <n v="85.112700000000004"/>
    <n v="-3.2064227782692827"/>
    <s v=""/>
    <s v=""/>
    <s v=""/>
    <m/>
  </r>
  <r>
    <x v="449"/>
    <x v="0"/>
    <n v="113.8"/>
    <n v="0.84710017574692442"/>
    <s v=""/>
    <s v=""/>
    <s v=""/>
    <s v=""/>
    <n v="160.5"/>
    <n v="0.67975077881619939"/>
    <n v="84.635499999999993"/>
    <n v="-3.2301398349392398"/>
    <s v=""/>
    <s v=""/>
    <s v=""/>
    <m/>
  </r>
  <r>
    <x v="450"/>
    <x v="0"/>
    <n v="114.9"/>
    <n v="0.84856396866840733"/>
    <s v=""/>
    <s v=""/>
    <s v=""/>
    <s v=""/>
    <n v="160.4"/>
    <n v="0.67955112219451375"/>
    <n v="87.397000000000006"/>
    <n v="-3.0964792841859552"/>
    <s v=""/>
    <s v=""/>
    <n v="13100"/>
    <m/>
  </r>
  <r>
    <x v="451"/>
    <x v="0"/>
    <n v="114.8"/>
    <n v="0.84843205574912894"/>
    <s v=""/>
    <s v=""/>
    <s v=""/>
    <s v=""/>
    <n v="160.69999999999999"/>
    <n v="0.68014934660858739"/>
    <n v="94.738299999999995"/>
    <n v="-2.7790418447449445"/>
    <s v=""/>
    <s v=""/>
    <s v=""/>
    <m/>
  </r>
  <r>
    <x v="452"/>
    <x v="0"/>
    <n v="112.4"/>
    <n v="0.84519572953736655"/>
    <s v=""/>
    <s v=""/>
    <s v=""/>
    <s v=""/>
    <n v="160.69999999999999"/>
    <n v="0.68014934660858739"/>
    <n v="100.5455"/>
    <n v="-2.5607759670994721"/>
    <s v=""/>
    <s v=""/>
    <s v=""/>
    <m/>
  </r>
  <r>
    <x v="453"/>
    <x v="0"/>
    <n v="110.5"/>
    <n v="0.84253393665158371"/>
    <s v=""/>
    <s v=""/>
    <s v=""/>
    <s v=""/>
    <n v="160.80000000000001"/>
    <n v="0.68034825870646776"/>
    <n v="100.839"/>
    <n v="-2.5504120429595689"/>
    <s v=""/>
    <s v=""/>
    <n v="13600"/>
    <m/>
  </r>
  <r>
    <x v="454"/>
    <x v="0"/>
    <n v="107.3"/>
    <n v="0.83783783783783783"/>
    <s v=""/>
    <s v=""/>
    <s v=""/>
    <s v=""/>
    <n v="160.5"/>
    <n v="0.67975077881619939"/>
    <n v="101.94"/>
    <n v="-2.5120659211300764"/>
    <s v=""/>
    <s v=""/>
    <s v=""/>
    <m/>
  </r>
  <r>
    <x v="455"/>
    <x v="0"/>
    <n v="107.4"/>
    <n v="0.83798882681564246"/>
    <s v=""/>
    <s v=""/>
    <s v=""/>
    <s v=""/>
    <n v="159.4"/>
    <n v="0.67754077791718947"/>
    <n v="101.84950000000001"/>
    <n v="-2.5151866234002127"/>
    <s v=""/>
    <s v=""/>
    <s v=""/>
    <m/>
  </r>
  <r>
    <x v="456"/>
    <x v="0"/>
    <n v="107.5"/>
    <n v="0.83813953488372095"/>
    <s v=""/>
    <s v=""/>
    <s v=""/>
    <s v=""/>
    <n v="159.69999999999999"/>
    <n v="0.67814652473387604"/>
    <n v="105.7514"/>
    <n v="-2.3854870952063041"/>
    <s v=""/>
    <s v=""/>
    <n v="14500"/>
    <m/>
  </r>
  <r>
    <x v="457"/>
    <x v="0"/>
    <n v="106.8"/>
    <n v="0.8370786516853933"/>
    <s v=""/>
    <s v=""/>
    <s v=""/>
    <s v=""/>
    <n v="159.9"/>
    <n v="0.67854909318323953"/>
    <n v="105.788"/>
    <n v="-2.3843158014141488"/>
    <s v=""/>
    <s v=""/>
    <s v=""/>
    <m/>
  </r>
  <r>
    <x v="458"/>
    <x v="0"/>
    <n v="107.4"/>
    <n v="0.83798882681564246"/>
    <s v=""/>
    <s v=""/>
    <s v=""/>
    <s v=""/>
    <n v="159.9"/>
    <n v="0.67854909318323953"/>
    <n v="105.94"/>
    <n v="-2.3794600717387198"/>
    <s v=""/>
    <s v=""/>
    <s v=""/>
    <m/>
  </r>
  <r>
    <x v="459"/>
    <x v="0"/>
    <n v="108.6"/>
    <n v="0.83977900552486184"/>
    <s v=""/>
    <s v=""/>
    <s v=""/>
    <s v=""/>
    <n v="160"/>
    <n v="0.67874999999999996"/>
    <n v="107.1995"/>
    <n v="-2.3397543831827572"/>
    <s v=""/>
    <s v=""/>
    <n v="16100"/>
    <m/>
  </r>
  <r>
    <x v="460"/>
    <x v="0"/>
    <n v="113.6"/>
    <n v="0.846830985915493"/>
    <s v=""/>
    <s v=""/>
    <s v=""/>
    <s v=""/>
    <n v="160.1"/>
    <n v="0.67895065584009995"/>
    <n v="106.34229999999999"/>
    <n v="-2.3666753493200732"/>
    <s v=""/>
    <s v=""/>
    <s v=""/>
    <m/>
  </r>
  <r>
    <x v="461"/>
    <x v="0"/>
    <n v="115.7"/>
    <n v="0.8496110630942092"/>
    <s v=""/>
    <s v=""/>
    <s v=""/>
    <s v=""/>
    <n v="160.4"/>
    <n v="0.67955112219451375"/>
    <n v="108.96"/>
    <n v="-2.28579295154185"/>
    <s v=""/>
    <s v=""/>
    <s v=""/>
    <m/>
  </r>
  <r>
    <x v="462"/>
    <x v="0"/>
    <n v="114.3"/>
    <n v="0.84776902887139105"/>
    <s v=""/>
    <s v=""/>
    <s v=""/>
    <s v=""/>
    <n v="160.5"/>
    <n v="0.67975077881619939"/>
    <n v="109.1909"/>
    <n v="-2.2788446656268975"/>
    <s v=""/>
    <s v=""/>
    <n v="16400"/>
    <m/>
  </r>
  <r>
    <x v="463"/>
    <x v="0"/>
    <n v="114.5"/>
    <n v="0.84803493449781664"/>
    <s v=""/>
    <s v=""/>
    <s v=""/>
    <s v=""/>
    <n v="161.1"/>
    <n v="0.68094351334574799"/>
    <n v="107.8659"/>
    <n v="-2.3191212422090763"/>
    <s v=""/>
    <s v=""/>
    <s v=""/>
    <m/>
  </r>
  <r>
    <x v="464"/>
    <x v="0"/>
    <n v="114.5"/>
    <n v="0.84803493449781664"/>
    <s v=""/>
    <s v=""/>
    <s v=""/>
    <s v=""/>
    <n v="161"/>
    <n v="0.68074534161490685"/>
    <n v="109.931"/>
    <n v="-2.2567701558250173"/>
    <s v=""/>
    <s v=""/>
    <s v=""/>
    <m/>
  </r>
  <r>
    <x v="465"/>
    <x v="0"/>
    <n v="110.3"/>
    <n v="0.84224841341795109"/>
    <s v=""/>
    <s v=""/>
    <s v=""/>
    <s v=""/>
    <n v="161.1"/>
    <n v="0.68094351334574799"/>
    <n v="112.4123"/>
    <n v="-2.1848827930751349"/>
    <s v=""/>
    <s v=""/>
    <n v="18900"/>
    <m/>
  </r>
  <r>
    <x v="466"/>
    <x v="0"/>
    <n v="106.8"/>
    <n v="0.8370786516853933"/>
    <s v=""/>
    <s v=""/>
    <s v=""/>
    <s v=""/>
    <n v="161.1"/>
    <n v="0.68094351334574799"/>
    <n v="112.2958"/>
    <n v="-2.1881869134909762"/>
    <s v=""/>
    <s v=""/>
    <s v=""/>
    <m/>
  </r>
  <r>
    <x v="467"/>
    <x v="0"/>
    <n v="107.4"/>
    <n v="0.83798882681564246"/>
    <s v=""/>
    <s v=""/>
    <s v=""/>
    <s v=""/>
    <n v="161.30000000000001"/>
    <n v="0.6813391196528209"/>
    <n v="113.98099999999999"/>
    <n v="-2.1410498240934892"/>
    <s v=""/>
    <s v=""/>
    <s v=""/>
    <m/>
  </r>
  <r>
    <x v="468"/>
    <x v="0"/>
    <n v="107.9"/>
    <n v="0.83873957367933272"/>
    <s v=""/>
    <s v=""/>
    <s v=""/>
    <s v=""/>
    <n v="161.6"/>
    <n v="0.68193069306930698"/>
    <n v="117.91240000000001"/>
    <n v="-2.0363218796326761"/>
    <s v=""/>
    <s v=""/>
    <n v="22100"/>
    <m/>
  </r>
  <r>
    <x v="469"/>
    <x v="0"/>
    <n v="107.7"/>
    <n v="0.83844011142061281"/>
    <s v=""/>
    <s v=""/>
    <s v=""/>
    <s v=""/>
    <n v="161.6"/>
    <n v="0.68193069306930698"/>
    <n v="122.96210000000001"/>
    <n v="-1.9116288677568125"/>
    <s v=""/>
    <s v=""/>
    <s v=""/>
    <m/>
  </r>
  <r>
    <x v="470"/>
    <x v="0"/>
    <n v="107.8"/>
    <n v="0.83858998144712427"/>
    <s v=""/>
    <s v=""/>
    <s v=""/>
    <s v=""/>
    <n v="161"/>
    <n v="0.68074534161490685"/>
    <n v="122.77379999999999"/>
    <n v="-1.9160944761830292"/>
    <s v=""/>
    <s v=""/>
    <s v=""/>
    <m/>
  </r>
  <r>
    <x v="471"/>
    <x v="0"/>
    <n v="107.1"/>
    <n v="0.83753501400560226"/>
    <s v=""/>
    <s v=""/>
    <s v=""/>
    <s v=""/>
    <n v="160.80000000000001"/>
    <n v="0.68034825870646776"/>
    <n v="125.6377"/>
    <n v="-1.8496223665348857"/>
    <s v=""/>
    <s v=""/>
    <n v="21100"/>
    <m/>
  </r>
  <r>
    <x v="472"/>
    <x v="0"/>
    <n v="109.1"/>
    <n v="0.84051329055912005"/>
    <s v=""/>
    <s v=""/>
    <s v=""/>
    <s v=""/>
    <n v="161.4"/>
    <n v="0.68153655514250311"/>
    <n v="119.19240000000001"/>
    <n v="-2.003715001963212"/>
    <s v=""/>
    <s v=""/>
    <s v=""/>
    <m/>
  </r>
  <r>
    <x v="473"/>
    <x v="0"/>
    <n v="113.6"/>
    <n v="0.846830985915493"/>
    <s v=""/>
    <s v=""/>
    <s v=""/>
    <s v=""/>
    <n v="160.80000000000001"/>
    <n v="0.68034825870646776"/>
    <n v="114.28570000000001"/>
    <n v="-2.1326753915844234"/>
    <s v=""/>
    <s v=""/>
    <s v=""/>
    <m/>
  </r>
  <r>
    <x v="474"/>
    <x v="0"/>
    <n v="114.3"/>
    <n v="0.84776902887139105"/>
    <s v=""/>
    <s v=""/>
    <s v=""/>
    <s v=""/>
    <n v="160.9"/>
    <n v="0.68054692355500312"/>
    <n v="115.3759"/>
    <n v="-2.1030743855519218"/>
    <s v=""/>
    <s v=""/>
    <n v="19200"/>
    <m/>
  </r>
  <r>
    <x v="475"/>
    <x v="0"/>
    <n v="113.2"/>
    <n v="0.8462897526501767"/>
    <s v=""/>
    <s v=""/>
    <s v=""/>
    <s v=""/>
    <n v="160.9"/>
    <n v="0.68054692355500312"/>
    <n v="117.9295"/>
    <n v="-2.0358816072314387"/>
    <s v=""/>
    <s v=""/>
    <s v=""/>
    <m/>
  </r>
  <r>
    <x v="476"/>
    <x v="0"/>
    <n v="114.4"/>
    <n v="0.84790209790209792"/>
    <s v=""/>
    <s v=""/>
    <s v=""/>
    <s v=""/>
    <n v="161.6"/>
    <n v="0.68193069306930698"/>
    <n v="120.89"/>
    <n v="-1.9615352800066175"/>
    <s v=""/>
    <s v=""/>
    <s v=""/>
    <m/>
  </r>
  <r>
    <x v="477"/>
    <x v="0"/>
    <n v="109.4"/>
    <n v="0.84095063985374774"/>
    <s v=""/>
    <s v=""/>
    <s v=""/>
    <s v=""/>
    <n v="161.4"/>
    <n v="0.68153655514250311"/>
    <n v="121.0605"/>
    <n v="-1.9573642930600812"/>
    <s v=""/>
    <s v=""/>
    <n v="20400"/>
    <m/>
  </r>
  <r>
    <x v="478"/>
    <x v="0"/>
    <n v="107.5"/>
    <n v="0.83813953488372095"/>
    <s v=""/>
    <s v=""/>
    <s v=""/>
    <s v=""/>
    <n v="161.6"/>
    <n v="0.68193069306930698"/>
    <n v="125.3817"/>
    <n v="-1.8554406265029106"/>
    <s v=""/>
    <s v=""/>
    <s v=""/>
    <m/>
  </r>
  <r>
    <x v="479"/>
    <x v="0"/>
    <n v="107.9"/>
    <n v="0.83873957367933272"/>
    <s v=""/>
    <s v=""/>
    <s v=""/>
    <s v=""/>
    <n v="161.80000000000001"/>
    <n v="0.68232385661310269"/>
    <n v="129.73410000000001"/>
    <n v="-1.7596445344747447"/>
    <s v=""/>
    <s v=""/>
    <s v=""/>
    <m/>
  </r>
  <r>
    <x v="480"/>
    <x v="0"/>
    <n v="107.1"/>
    <n v="0.83753501400560226"/>
    <s v=""/>
    <s v=""/>
    <s v=""/>
    <s v=""/>
    <n v="161.80000000000001"/>
    <n v="0.68232385661310269"/>
    <n v="129.54750000000001"/>
    <n v="-1.7636195217970236"/>
    <s v=""/>
    <s v=""/>
    <n v="18400"/>
    <m/>
  </r>
  <r>
    <x v="481"/>
    <x v="0"/>
    <n v="106.9"/>
    <n v="0.83723105706267542"/>
    <s v=""/>
    <s v=""/>
    <s v=""/>
    <s v=""/>
    <n v="161.80000000000001"/>
    <n v="0.68232385661310269"/>
    <n v="125.8516"/>
    <n v="-1.8447790890223086"/>
    <s v=""/>
    <s v=""/>
    <s v=""/>
    <m/>
  </r>
  <r>
    <x v="482"/>
    <x v="0"/>
    <n v="106.5"/>
    <n v="0.83661971830985915"/>
    <s v=""/>
    <s v=""/>
    <s v=""/>
    <s v=""/>
    <n v="161.69999999999999"/>
    <n v="0.68212739641311071"/>
    <n v="129.0823"/>
    <n v="-1.7735793365937851"/>
    <s v=""/>
    <s v=""/>
    <s v=""/>
    <m/>
  </r>
  <r>
    <x v="483"/>
    <x v="0"/>
    <n v="106.2"/>
    <n v="0.83615819209039555"/>
    <s v=""/>
    <s v=""/>
    <s v=""/>
    <s v=""/>
    <n v="161.69999999999999"/>
    <n v="0.68212739641311071"/>
    <n v="131.75360000000001"/>
    <n v="-1.7173451048016903"/>
    <s v=""/>
    <s v=""/>
    <n v="17100"/>
    <m/>
  </r>
  <r>
    <x v="484"/>
    <x v="0"/>
    <n v="108.6"/>
    <n v="0.83977900552486184"/>
    <s v=""/>
    <s v=""/>
    <s v=""/>
    <s v=""/>
    <n v="161.69999999999999"/>
    <n v="0.68212739641311071"/>
    <n v="134.89599999999999"/>
    <n v="-1.6540445973194164"/>
    <s v=""/>
    <s v=""/>
    <s v=""/>
    <m/>
  </r>
  <r>
    <x v="485"/>
    <x v="0"/>
    <n v="112.5"/>
    <n v="0.84533333333333338"/>
    <s v=""/>
    <s v=""/>
    <s v=""/>
    <s v=""/>
    <n v="161.9"/>
    <n v="0.68252007411982707"/>
    <n v="140.3305"/>
    <n v="-1.5512629114839611"/>
    <s v=""/>
    <s v=""/>
    <s v=""/>
    <m/>
  </r>
  <r>
    <x v="486"/>
    <x v="0"/>
    <n v="113.3"/>
    <n v="0.84642541924095327"/>
    <s v=""/>
    <s v=""/>
    <s v=""/>
    <s v=""/>
    <n v="162.1"/>
    <n v="0.68291178285009257"/>
    <n v="140.78739999999999"/>
    <n v="-1.5429832499215128"/>
    <s v=""/>
    <s v=""/>
    <n v="15900"/>
    <m/>
  </r>
  <r>
    <x v="487"/>
    <x v="0"/>
    <n v="113.7"/>
    <n v="0.84696569920844333"/>
    <s v=""/>
    <s v=""/>
    <s v=""/>
    <s v=""/>
    <n v="162.1"/>
    <n v="0.68291178285009257"/>
    <n v="144.68"/>
    <n v="-1.4745645562620955"/>
    <s v=""/>
    <s v=""/>
    <s v=""/>
    <m/>
  </r>
  <r>
    <x v="488"/>
    <x v="0"/>
    <n v="113.7"/>
    <n v="0.84696569920844333"/>
    <s v=""/>
    <s v=""/>
    <s v=""/>
    <s v=""/>
    <n v="162.1"/>
    <n v="0.68291178285009257"/>
    <n v="134.48050000000001"/>
    <n v="-1.6622447120586252"/>
    <s v=""/>
    <s v=""/>
    <s v=""/>
    <m/>
  </r>
  <r>
    <x v="489"/>
    <x v="0"/>
    <n v="109.6"/>
    <n v="0.84124087591240881"/>
    <s v=""/>
    <s v=""/>
    <s v=""/>
    <s v=""/>
    <n v="161.9"/>
    <n v="0.68252007411982707"/>
    <n v="121.04859999999999"/>
    <n v="-1.9576550245108164"/>
    <s v=""/>
    <s v=""/>
    <n v="14600"/>
    <m/>
  </r>
  <r>
    <x v="490"/>
    <x v="0"/>
    <n v="107.3"/>
    <n v="0.83783783783783783"/>
    <s v=""/>
    <s v=""/>
    <s v=""/>
    <s v=""/>
    <n v="161.9"/>
    <n v="0.68252007411982707"/>
    <n v="120.2895"/>
    <n v="-1.9763196288952898"/>
    <s v=""/>
    <s v=""/>
    <s v=""/>
    <m/>
  </r>
  <r>
    <x v="491"/>
    <x v="0"/>
    <n v="106.5"/>
    <n v="0.83661971830985915"/>
    <s v=""/>
    <s v=""/>
    <s v=""/>
    <s v=""/>
    <n v="161.9"/>
    <n v="0.68252007411982707"/>
    <n v="117.07089999999999"/>
    <n v="-2.0581468153059386"/>
    <s v=""/>
    <s v=""/>
    <s v=""/>
    <m/>
  </r>
  <r>
    <x v="492"/>
    <x v="0"/>
    <n v="106"/>
    <n v="0.83584905660377362"/>
    <s v=""/>
    <s v=""/>
    <s v=""/>
    <s v=""/>
    <n v="162"/>
    <n v="0.68271604938271602"/>
    <n v="113.29"/>
    <n v="-2.1602083149439486"/>
    <s v=""/>
    <s v=""/>
    <n v="12300"/>
    <m/>
  </r>
  <r>
    <x v="493"/>
    <x v="0"/>
    <n v="105.5"/>
    <n v="0.83507109004739344"/>
    <s v=""/>
    <s v=""/>
    <s v=""/>
    <s v=""/>
    <n v="161.9"/>
    <n v="0.68252007411982707"/>
    <n v="116.66840000000001"/>
    <n v="-2.0686972650692046"/>
    <s v=""/>
    <s v=""/>
    <s v=""/>
    <m/>
  </r>
  <r>
    <x v="494"/>
    <x v="0"/>
    <n v="105.6"/>
    <n v="0.83522727272727271"/>
    <s v=""/>
    <s v=""/>
    <s v=""/>
    <s v=""/>
    <n v="162.1"/>
    <n v="0.68291178285009257"/>
    <n v="119.473"/>
    <n v="-1.9966603332970627"/>
    <s v=""/>
    <s v=""/>
    <s v=""/>
    <m/>
  </r>
  <r>
    <x v="495"/>
    <x v="0"/>
    <n v="105.3"/>
    <n v="0.83475783475783483"/>
    <s v=""/>
    <s v=""/>
    <s v=""/>
    <s v=""/>
    <n v="161.9"/>
    <n v="0.68252007411982707"/>
    <n v="119.7723"/>
    <n v="-1.9891719537823018"/>
    <s v=""/>
    <s v=""/>
    <n v="14800"/>
    <m/>
  </r>
  <r>
    <x v="496"/>
    <x v="0"/>
    <n v="107.1"/>
    <n v="0.83753501400560226"/>
    <s v=""/>
    <s v=""/>
    <s v=""/>
    <s v=""/>
    <n v="161.1"/>
    <n v="0.68094351334574799"/>
    <n v="121.9995"/>
    <n v="-1.9346021909925861"/>
    <s v=""/>
    <s v=""/>
    <s v=""/>
    <m/>
  </r>
  <r>
    <x v="497"/>
    <x v="0"/>
    <n v="110.7"/>
    <n v="0.84281842818428188"/>
    <s v=""/>
    <s v=""/>
    <s v=""/>
    <s v=""/>
    <n v="162.6"/>
    <n v="0.68388683886838875"/>
    <n v="120.72450000000001"/>
    <n v="-1.9655952188660955"/>
    <s v=""/>
    <s v=""/>
    <s v=""/>
    <m/>
  </r>
  <r>
    <x v="498"/>
    <x v="0"/>
    <n v="112.6"/>
    <n v="0.84547069271758435"/>
    <s v=""/>
    <s v=""/>
    <s v=""/>
    <s v=""/>
    <n v="163.69999999999999"/>
    <n v="0.68601099572388513"/>
    <n v="119.3305"/>
    <n v="-2.0002388324862461"/>
    <s v=""/>
    <s v=""/>
    <n v="17700"/>
    <m/>
  </r>
  <r>
    <x v="499"/>
    <x v="0"/>
    <n v="112.6"/>
    <n v="0.84547069271758435"/>
    <s v=""/>
    <s v=""/>
    <s v=""/>
    <s v=""/>
    <n v="163.69999999999999"/>
    <n v="0.68601099572388513"/>
    <n v="113.2268"/>
    <n v="-2.1619722539186834"/>
    <s v=""/>
    <s v=""/>
    <s v=""/>
    <m/>
  </r>
  <r>
    <x v="500"/>
    <x v="0"/>
    <n v="112.7"/>
    <n v="0.84560780834072757"/>
    <s v=""/>
    <s v=""/>
    <s v=""/>
    <s v=""/>
    <n v="164.5"/>
    <n v="0.6875379939209727"/>
    <n v="106.87520000000001"/>
    <n v="-2.3498884680449716"/>
    <s v=""/>
    <s v=""/>
    <s v=""/>
    <m/>
  </r>
  <r>
    <x v="501"/>
    <x v="0"/>
    <n v="108.9"/>
    <n v="0.84022038567493118"/>
    <s v=""/>
    <s v=""/>
    <s v=""/>
    <s v=""/>
    <n v="165.4"/>
    <n v="0.68923821039903266"/>
    <n v="105.965"/>
    <n v="-2.3786627660076438"/>
    <s v=""/>
    <s v=""/>
    <n v="19100"/>
    <m/>
  </r>
  <r>
    <x v="502"/>
    <x v="0"/>
    <n v="107.2"/>
    <n v="0.83768656716417911"/>
    <s v=""/>
    <s v=""/>
    <s v=""/>
    <s v=""/>
    <n v="165.6"/>
    <n v="0.68961352657004826"/>
    <n v="104.6485"/>
    <n v="-2.4211670496949309"/>
    <s v=""/>
    <s v=""/>
    <s v=""/>
    <m/>
  </r>
  <r>
    <x v="503"/>
    <x v="0"/>
    <n v="106.4"/>
    <n v="0.83646616541353391"/>
    <s v=""/>
    <s v=""/>
    <s v=""/>
    <s v=""/>
    <n v="165.6"/>
    <n v="0.68961352657004826"/>
    <n v="102.5843"/>
    <n v="-2.4900077302277248"/>
    <s v=""/>
    <s v=""/>
    <s v=""/>
    <m/>
  </r>
  <r>
    <x v="504"/>
    <x v="0"/>
    <n v="106.6"/>
    <n v="0.83677298311444659"/>
    <s v=""/>
    <s v=""/>
    <s v=""/>
    <s v=""/>
    <n v="165.7"/>
    <n v="0.68980084490042248"/>
    <n v="105.29600000000001"/>
    <n v="-2.4001291597021726"/>
    <s v=""/>
    <s v=""/>
    <n v="20200"/>
    <m/>
  </r>
  <r>
    <x v="505"/>
    <x v="0"/>
    <n v="106.5"/>
    <n v="0.83661971830985915"/>
    <s v=""/>
    <s v=""/>
    <s v=""/>
    <s v=""/>
    <n v="167.2"/>
    <n v="0.69258373205741619"/>
    <n v="109.38849999999999"/>
    <n v="-2.2729217422306731"/>
    <s v=""/>
    <s v=""/>
    <s v=""/>
    <m/>
  </r>
  <r>
    <x v="506"/>
    <x v="0"/>
    <n v="106.5"/>
    <n v="0.83661971830985915"/>
    <s v=""/>
    <s v=""/>
    <s v=""/>
    <s v=""/>
    <n v="169.3"/>
    <n v="0.69639692852923807"/>
    <n v="106.3074"/>
    <n v="-2.3677806060537647"/>
    <s v=""/>
    <s v=""/>
    <s v=""/>
    <m/>
  </r>
  <r>
    <x v="507"/>
    <x v="0"/>
    <n v="106.6"/>
    <n v="0.83677298311444659"/>
    <s v=""/>
    <s v=""/>
    <s v=""/>
    <s v=""/>
    <n v="171.5"/>
    <n v="0.70029154518950443"/>
    <n v="105.627"/>
    <n v="-2.38947428214377"/>
    <s v=""/>
    <s v=""/>
    <n v="21700"/>
    <m/>
  </r>
  <r>
    <x v="508"/>
    <x v="0"/>
    <n v="108.1"/>
    <n v="0.8390379278445883"/>
    <s v=""/>
    <s v=""/>
    <s v=""/>
    <s v=""/>
    <n v="176.1"/>
    <n v="0.70812038614423622"/>
    <n v="108.3205"/>
    <n v="-2.3051915380745105"/>
    <s v=""/>
    <s v=""/>
    <s v=""/>
    <m/>
  </r>
  <r>
    <x v="509"/>
    <x v="0"/>
    <n v="112.3"/>
    <n v="0.84505788067675869"/>
    <s v=""/>
    <s v=""/>
    <s v=""/>
    <s v=""/>
    <n v="176.2"/>
    <n v="0.70828603859250849"/>
    <n v="106.1255"/>
    <n v="-2.3735530103509523"/>
    <s v=""/>
    <s v=""/>
    <s v=""/>
    <m/>
  </r>
  <r>
    <x v="510"/>
    <x v="0"/>
    <n v="114.5"/>
    <n v="0.84803493449781664"/>
    <s v=""/>
    <s v=""/>
    <s v=""/>
    <s v=""/>
    <n v="176.3"/>
    <n v="0.70845150311968241"/>
    <n v="108.2115"/>
    <n v="-2.3085208134070778"/>
    <s v=""/>
    <s v=""/>
    <n v="22700"/>
    <m/>
  </r>
  <r>
    <x v="511"/>
    <x v="0"/>
    <n v="115.5"/>
    <n v="0.8493506493506493"/>
    <s v=""/>
    <s v=""/>
    <s v=""/>
    <s v=""/>
    <n v="176.8"/>
    <n v="0.70927601809954754"/>
    <n v="108.0804"/>
    <n v="-2.3125340024648318"/>
    <s v=""/>
    <s v=""/>
    <s v=""/>
    <m/>
  </r>
  <r>
    <x v="512"/>
    <x v="0"/>
    <n v="115.8"/>
    <n v="0.84974093264248707"/>
    <s v=""/>
    <s v=""/>
    <s v=""/>
    <s v=""/>
    <n v="177.2"/>
    <n v="0.70993227990970653"/>
    <n v="106.83750000000001"/>
    <n v="-2.3510705510705505"/>
    <s v=""/>
    <s v=""/>
    <s v=""/>
    <m/>
  </r>
  <r>
    <x v="513"/>
    <x v="0"/>
    <n v="112.7"/>
    <n v="0.84560780834072757"/>
    <s v=""/>
    <s v=""/>
    <s v=""/>
    <s v=""/>
    <n v="178.1"/>
    <n v="0.71139809096013473"/>
    <n v="108.44289999999999"/>
    <n v="-2.301460953183657"/>
    <s v=""/>
    <s v=""/>
    <n v="25700"/>
    <m/>
  </r>
  <r>
    <x v="514"/>
    <x v="0"/>
    <n v="110"/>
    <n v="0.8418181818181818"/>
    <s v=""/>
    <s v=""/>
    <s v=""/>
    <s v=""/>
    <n v="181.1"/>
    <n v="0.7161789066813915"/>
    <n v="109.0095"/>
    <n v="-2.2843009095537541"/>
    <s v=""/>
    <s v=""/>
    <s v=""/>
    <m/>
  </r>
  <r>
    <x v="515"/>
    <x v="0"/>
    <n v="111.6"/>
    <n v="0.84408602150537637"/>
    <s v=""/>
    <s v=""/>
    <s v=""/>
    <s v=""/>
    <n v="181.7"/>
    <n v="0.717116125481563"/>
    <n v="112.209"/>
    <n v="-2.1906531561639437"/>
    <s v=""/>
    <s v=""/>
    <s v=""/>
    <m/>
  </r>
  <r>
    <x v="516"/>
    <x v="0"/>
    <n v="114.7"/>
    <n v="0.84829991281604189"/>
    <s v=""/>
    <s v=""/>
    <s v=""/>
    <s v=""/>
    <n v="181.7"/>
    <n v="0.717116125481563"/>
    <n v="116.67189999999999"/>
    <n v="-2.068605208280657"/>
    <s v=""/>
    <s v=""/>
    <n v="24000"/>
    <m/>
  </r>
  <r>
    <x v="517"/>
    <x v="0"/>
    <n v="114.7"/>
    <n v="0.84829991281604189"/>
    <s v=""/>
    <s v=""/>
    <s v=""/>
    <s v=""/>
    <n v="182.6"/>
    <n v="0.71851040525739318"/>
    <n v="116.2337"/>
    <n v="-2.0801738222219543"/>
    <s v=""/>
    <s v=""/>
    <s v=""/>
    <m/>
  </r>
  <r>
    <x v="518"/>
    <x v="0"/>
    <n v="114.8"/>
    <n v="0.84843205574912894"/>
    <s v=""/>
    <s v=""/>
    <s v=""/>
    <s v=""/>
    <n v="183.4"/>
    <n v="0.71973827699018544"/>
    <n v="121.505"/>
    <n v="-1.9465454096539236"/>
    <s v=""/>
    <s v=""/>
    <s v=""/>
    <m/>
  </r>
  <r>
    <x v="519"/>
    <x v="0"/>
    <n v="113.6"/>
    <n v="0.846830985915493"/>
    <s v=""/>
    <s v=""/>
    <s v=""/>
    <s v=""/>
    <n v="184.6"/>
    <n v="0.7215601300108343"/>
    <n v="123.771"/>
    <n v="-1.8926000436289598"/>
    <s v=""/>
    <s v=""/>
    <n v="25300"/>
    <m/>
  </r>
  <r>
    <x v="520"/>
    <x v="0"/>
    <n v="114.5"/>
    <n v="0.84803493449781664"/>
    <s v=""/>
    <s v=""/>
    <s v=""/>
    <s v=""/>
    <n v="184.6"/>
    <n v="0.7215601300108343"/>
    <n v="121.76819999999999"/>
    <n v="-1.9401764992830639"/>
    <s v=""/>
    <s v=""/>
    <s v=""/>
    <m/>
  </r>
  <r>
    <x v="521"/>
    <x v="0"/>
    <n v="124.8"/>
    <n v="0.86057692307692313"/>
    <s v=""/>
    <s v=""/>
    <s v=""/>
    <s v=""/>
    <n v="184.8"/>
    <n v="0.72186147186147187"/>
    <n v="122.351"/>
    <n v="-1.9261714248351054"/>
    <s v=""/>
    <s v=""/>
    <s v=""/>
    <m/>
  </r>
  <r>
    <x v="522"/>
    <x v="0"/>
    <n v="125.7"/>
    <n v="0.86157517899761338"/>
    <s v=""/>
    <s v=""/>
    <s v=""/>
    <s v=""/>
    <n v="186.6"/>
    <n v="0.72454448017148976"/>
    <n v="124.49809999999999"/>
    <n v="-1.8757065368869084"/>
    <s v=""/>
    <s v=""/>
    <n v="23600"/>
    <m/>
  </r>
  <r>
    <x v="523"/>
    <x v="0"/>
    <n v="125.2"/>
    <n v="0.86102236421725242"/>
    <s v=""/>
    <s v=""/>
    <s v=""/>
    <s v=""/>
    <n v="187.6"/>
    <n v="0.7260127931769722"/>
    <n v="121.367"/>
    <n v="-1.9498957706790145"/>
    <s v=""/>
    <s v=""/>
    <s v=""/>
    <m/>
  </r>
  <r>
    <x v="524"/>
    <x v="0"/>
    <n v="124.7"/>
    <n v="0.86046511627906974"/>
    <s v=""/>
    <s v=""/>
    <s v=""/>
    <s v=""/>
    <n v="188.1"/>
    <n v="0.7267410951621478"/>
    <n v="118.6117"/>
    <n v="-2.0184206111201508"/>
    <s v=""/>
    <s v=""/>
    <s v=""/>
    <m/>
  </r>
  <r>
    <x v="525"/>
    <x v="0"/>
    <n v="120.9"/>
    <n v="0.85607940446650121"/>
    <s v=""/>
    <s v=""/>
    <s v=""/>
    <s v=""/>
    <n v="188.2"/>
    <n v="0.72688629117959613"/>
    <n v="121.45359999999999"/>
    <n v="-1.9477924079648523"/>
    <s v=""/>
    <s v=""/>
    <n v="20000"/>
    <m/>
  </r>
  <r>
    <x v="526"/>
    <x v="0"/>
    <n v="115.5"/>
    <n v="0.8493506493506493"/>
    <s v=""/>
    <s v=""/>
    <s v=""/>
    <s v=""/>
    <n v="188.2"/>
    <n v="0.72688629117959613"/>
    <n v="122.4055"/>
    <n v="-1.9248685720821368"/>
    <s v=""/>
    <s v=""/>
    <s v=""/>
    <m/>
  </r>
  <r>
    <x v="527"/>
    <x v="0"/>
    <n v="115.1"/>
    <n v="0.84882710686359686"/>
    <s v=""/>
    <s v=""/>
    <s v=""/>
    <s v=""/>
    <n v="188.1"/>
    <n v="0.7267410951621478"/>
    <n v="127.5945"/>
    <n v="-1.8059203178820402"/>
    <s v=""/>
    <s v=""/>
    <s v=""/>
    <m/>
  </r>
  <r>
    <x v="528"/>
    <x v="0"/>
    <n v="114.6"/>
    <n v="0.84816753926701571"/>
    <s v=""/>
    <s v=""/>
    <s v=""/>
    <s v=""/>
    <n v="187.7"/>
    <n v="0.72615876398508261"/>
    <n v="132.6833"/>
    <n v="-1.6983049110174377"/>
    <s v=""/>
    <s v=""/>
    <n v="19300"/>
    <m/>
  </r>
  <r>
    <x v="529"/>
    <x v="0"/>
    <n v="113.9"/>
    <n v="0.84723441615452155"/>
    <s v=""/>
    <s v=""/>
    <s v=""/>
    <s v=""/>
    <n v="187.9"/>
    <n v="0.72645023948908993"/>
    <n v="133.64259999999999"/>
    <n v="-1.6789362074667808"/>
    <s v=""/>
    <s v=""/>
    <s v=""/>
    <m/>
  </r>
  <r>
    <x v="530"/>
    <x v="0"/>
    <n v="114.1"/>
    <n v="0.84750219106047331"/>
    <s v=""/>
    <s v=""/>
    <s v=""/>
    <s v=""/>
    <n v="187.8"/>
    <n v="0.72630457933972314"/>
    <n v="131.06100000000001"/>
    <n v="-1.731705083892233"/>
    <s v=""/>
    <s v=""/>
    <s v=""/>
    <m/>
  </r>
  <r>
    <x v="531"/>
    <x v="0"/>
    <n v="113.9"/>
    <n v="0.84723441615452155"/>
    <s v=""/>
    <s v=""/>
    <s v=""/>
    <s v=""/>
    <n v="187.7"/>
    <n v="0.72615876398508261"/>
    <n v="130.77180000000001"/>
    <n v="-1.7377462113391413"/>
    <s v=""/>
    <s v=""/>
    <n v="23400"/>
    <m/>
  </r>
  <r>
    <x v="532"/>
    <x v="0"/>
    <n v="115.9"/>
    <n v="0.84987057808455568"/>
    <s v=""/>
    <s v=""/>
    <s v=""/>
    <s v=""/>
    <n v="187.8"/>
    <n v="0.72630457933972314"/>
    <n v="126.375"/>
    <n v="-1.8329970326409493"/>
    <s v=""/>
    <s v=""/>
    <s v=""/>
    <m/>
  </r>
  <r>
    <x v="533"/>
    <x v="0"/>
    <n v="120.7"/>
    <n v="0.85584092792046396"/>
    <s v=""/>
    <s v=""/>
    <s v=""/>
    <s v=""/>
    <n v="187.9"/>
    <n v="0.72645023948908993"/>
    <n v="123.29049999999999"/>
    <n v="-1.9038733722387371"/>
    <s v=""/>
    <s v=""/>
    <s v=""/>
    <m/>
  </r>
  <r>
    <x v="534"/>
    <x v="0"/>
    <n v="121.8"/>
    <n v="0.85714285714285721"/>
    <s v=""/>
    <s v=""/>
    <s v=""/>
    <s v=""/>
    <n v="188"/>
    <n v="0.72659574468085109"/>
    <n v="117.8991"/>
    <n v="-2.0366644020183355"/>
    <s v=""/>
    <s v=""/>
    <n v="21800"/>
    <m/>
  </r>
  <r>
    <x v="535"/>
    <x v="0"/>
    <n v="122"/>
    <n v="0.85737704918032787"/>
    <s v=""/>
    <s v=""/>
    <s v=""/>
    <s v=""/>
    <n v="187.9"/>
    <n v="0.72645023948908993"/>
    <n v="118.9927"/>
    <n v="-2.008755999317605"/>
    <s v=""/>
    <s v=""/>
    <s v=""/>
    <m/>
  </r>
  <r>
    <x v="536"/>
    <x v="0"/>
    <n v="122.6"/>
    <n v="0.8580750407830342"/>
    <s v=""/>
    <s v=""/>
    <s v=""/>
    <s v=""/>
    <n v="188.1"/>
    <n v="0.7267410951621478"/>
    <n v="121.078"/>
    <n v="-1.9569368506252167"/>
    <s v=""/>
    <s v=""/>
    <s v=""/>
    <m/>
  </r>
  <r>
    <x v="537"/>
    <x v="0"/>
    <n v="117.7"/>
    <n v="0.85216652506372137"/>
    <s v=""/>
    <s v=""/>
    <s v=""/>
    <s v=""/>
    <n v="188.1"/>
    <n v="0.7267410951621478"/>
    <n v="123.90770000000001"/>
    <n v="-1.8894088099448214"/>
    <s v=""/>
    <s v=""/>
    <n v="23900"/>
    <m/>
  </r>
  <r>
    <x v="538"/>
    <x v="0"/>
    <n v="117.3"/>
    <n v="0.85166240409207161"/>
    <s v=""/>
    <s v=""/>
    <s v=""/>
    <s v=""/>
    <n v="188.4"/>
    <n v="0.727176220806794"/>
    <n v="121.6079"/>
    <n v="-1.9440521545064096"/>
    <s v=""/>
    <s v=""/>
    <s v=""/>
    <m/>
  </r>
  <r>
    <x v="539"/>
    <x v="0"/>
    <n v="117.4"/>
    <n v="0.85178875638841567"/>
    <s v=""/>
    <s v=""/>
    <s v=""/>
    <s v=""/>
    <n v="188.9"/>
    <n v="0.7278983589200636"/>
    <n v="121.8929"/>
    <n v="-1.9371686127740007"/>
    <s v=""/>
    <s v=""/>
    <s v=""/>
    <m/>
  </r>
  <r>
    <x v="540"/>
    <x v="0"/>
    <n v="118"/>
    <n v="0.85254237288135593"/>
    <s v=""/>
    <s v=""/>
    <s v=""/>
    <s v=""/>
    <n v="189"/>
    <n v="0.72804232804232805"/>
    <n v="118.8133"/>
    <n v="-2.0132990161875814"/>
    <s v=""/>
    <s v=""/>
    <n v="26700"/>
    <m/>
  </r>
  <r>
    <x v="541"/>
    <x v="0"/>
    <n v="118.2"/>
    <n v="0.85279187817258884"/>
    <s v=""/>
    <s v=""/>
    <s v=""/>
    <s v=""/>
    <n v="190.6"/>
    <n v="0.73032528856243439"/>
    <n v="119.3379"/>
    <n v="-2.0000527912758641"/>
    <s v=""/>
    <s v=""/>
    <s v=""/>
    <m/>
  </r>
  <r>
    <x v="542"/>
    <x v="0"/>
    <n v="120.5"/>
    <n v="0.85560165975103741"/>
    <s v=""/>
    <s v=""/>
    <s v=""/>
    <s v=""/>
    <n v="191.1"/>
    <n v="0.73103087388801669"/>
    <n v="118.6871"/>
    <n v="-2.0165030571982969"/>
    <s v=""/>
    <s v=""/>
    <s v=""/>
    <m/>
  </r>
  <r>
    <x v="543"/>
    <x v="0"/>
    <n v="121.3"/>
    <n v="0.85655399835119539"/>
    <s v=""/>
    <s v=""/>
    <s v=""/>
    <s v=""/>
    <n v="192"/>
    <n v="0.73229166666666667"/>
    <n v="119.895"/>
    <n v="-1.9861128487426498"/>
    <s v=""/>
    <s v=""/>
    <n v="26500"/>
    <m/>
  </r>
  <r>
    <x v="544"/>
    <x v="0"/>
    <n v="122"/>
    <n v="0.85737704918032787"/>
    <s v=""/>
    <s v=""/>
    <s v=""/>
    <s v=""/>
    <n v="194.3"/>
    <n v="0.73546062789500777"/>
    <n v="117.3681"/>
    <n v="-2.0504029629856833"/>
    <s v=""/>
    <s v=""/>
    <s v=""/>
    <m/>
  </r>
  <r>
    <x v="545"/>
    <x v="0"/>
    <n v="124.7"/>
    <n v="0.86046511627906974"/>
    <s v=""/>
    <s v=""/>
    <s v=""/>
    <s v=""/>
    <n v="194.9"/>
    <n v="0.73627501282709085"/>
    <n v="118.32899999999999"/>
    <n v="-2.0256319245493497"/>
    <s v=""/>
    <s v=""/>
    <s v=""/>
    <m/>
  </r>
  <r>
    <x v="546"/>
    <x v="0"/>
    <n v="127.5"/>
    <n v="0.86352941176470588"/>
    <s v=""/>
    <s v=""/>
    <s v=""/>
    <s v=""/>
    <n v="194.9"/>
    <n v="0.73627501282709085"/>
    <n v="118.69589999999999"/>
    <n v="-2.0162794165594597"/>
    <s v=""/>
    <s v=""/>
    <n v="24200"/>
    <m/>
  </r>
  <r>
    <x v="547"/>
    <x v="0"/>
    <n v="127.2"/>
    <n v="0.8632075471698113"/>
    <s v=""/>
    <s v=""/>
    <s v=""/>
    <s v=""/>
    <n v="195.4"/>
    <n v="0.73694984646878203"/>
    <n v="118.66240000000001"/>
    <n v="-2.0171309530230297"/>
    <s v=""/>
    <s v=""/>
    <s v=""/>
    <m/>
  </r>
  <r>
    <x v="548"/>
    <x v="0"/>
    <n v="127.8"/>
    <n v="0.863849765258216"/>
    <s v=""/>
    <s v=""/>
    <s v=""/>
    <s v=""/>
    <n v="195.5"/>
    <n v="0.73708439897698208"/>
    <n v="114.8"/>
    <n v="-2.1186411149825783"/>
    <s v=""/>
    <s v=""/>
    <s v=""/>
    <m/>
  </r>
  <r>
    <x v="549"/>
    <x v="0"/>
    <n v="124"/>
    <n v="0.85967741935483866"/>
    <s v=""/>
    <s v=""/>
    <s v=""/>
    <s v=""/>
    <n v="197"/>
    <n v="0.73908629441624374"/>
    <n v="109.49550000000001"/>
    <n v="-2.2697234132909569"/>
    <s v=""/>
    <s v=""/>
    <n v="24000"/>
    <m/>
  </r>
  <r>
    <x v="550"/>
    <x v="0"/>
    <n v="120"/>
    <n v="0.85499999999999998"/>
    <s v=""/>
    <s v=""/>
    <s v=""/>
    <s v=""/>
    <n v="197.2"/>
    <n v="0.73935091277890463"/>
    <n v="109.1778"/>
    <n v="-2.2792380868638125"/>
    <s v=""/>
    <s v=""/>
    <s v=""/>
    <m/>
  </r>
  <r>
    <x v="551"/>
    <x v="1"/>
    <n v="120.1"/>
    <n v="0.85512073272273104"/>
    <s v=""/>
    <s v=""/>
    <n v="100"/>
    <n v="0"/>
    <n v="197.1"/>
    <n v="0.73921867072552006"/>
    <n v="107.7377"/>
    <n v="-2.3230707542485125"/>
    <s v=""/>
    <s v=""/>
    <s v=""/>
    <m/>
  </r>
  <r>
    <x v="552"/>
    <x v="2"/>
    <n v="120.3"/>
    <n v="0.85536159600997508"/>
    <s v=""/>
    <s v=""/>
    <n v="103.9"/>
    <n v="3.7536092396535214E-2"/>
    <n v="198.1"/>
    <n v="0.74053508329126705"/>
    <n v="106.2685"/>
    <n v="-2.3690133953146977"/>
    <s v=""/>
    <s v=""/>
    <n v="27600"/>
    <m/>
  </r>
  <r>
    <x v="553"/>
    <x v="3"/>
    <n v="120.3"/>
    <n v="0.85536159600997508"/>
    <s v=""/>
    <s v=""/>
    <n v="104.8"/>
    <n v="4.5801526717557217E-2"/>
    <n v="199"/>
    <n v="0.7417085427135679"/>
    <n v="106.7079"/>
    <n v="-2.3551405284894558"/>
    <s v=""/>
    <s v=""/>
    <s v=""/>
    <m/>
  </r>
  <r>
    <x v="554"/>
    <x v="4"/>
    <n v="120.3"/>
    <n v="0.85536159600997508"/>
    <s v=""/>
    <s v=""/>
    <n v="102.4"/>
    <n v="2.34375E-2"/>
    <n v="199"/>
    <n v="0.7417085427135679"/>
    <n v="108.5157"/>
    <n v="-2.2992460998731059"/>
    <s v=""/>
    <s v=""/>
    <s v=""/>
    <m/>
  </r>
  <r>
    <x v="555"/>
    <x v="5"/>
    <n v="120.3"/>
    <n v="0.85536159600997508"/>
    <s v=""/>
    <s v=""/>
    <n v="103.1"/>
    <n v="3.0067895247332665E-2"/>
    <n v="198.8"/>
    <n v="0.74144869215291753"/>
    <n v="107.6564"/>
    <n v="-2.3255802720507091"/>
    <s v=""/>
    <s v=""/>
    <n v="29100"/>
    <m/>
  </r>
  <r>
    <x v="556"/>
    <x v="6"/>
    <n v="121.3"/>
    <n v="0.85655399835119539"/>
    <s v=""/>
    <s v=""/>
    <n v="104.6"/>
    <n v="4.3977055449330726E-2"/>
    <n v="199.8"/>
    <n v="0.74274274274274277"/>
    <n v="112.196"/>
    <n v="-2.1910228528646298"/>
    <s v=""/>
    <s v=""/>
    <s v=""/>
    <m/>
  </r>
  <r>
    <x v="557"/>
    <x v="7"/>
    <n v="128.1"/>
    <n v="0.86416861826697899"/>
    <s v=""/>
    <s v=""/>
    <n v="108.7"/>
    <n v="8.0036798528058894E-2"/>
    <n v="200.5"/>
    <n v="0.74364089775561104"/>
    <n v="109.4336"/>
    <n v="-2.2715728989999415"/>
    <s v=""/>
    <s v=""/>
    <s v=""/>
    <m/>
  </r>
  <r>
    <x v="558"/>
    <x v="8"/>
    <n v="128"/>
    <n v="0.86406249999999996"/>
    <s v=""/>
    <s v=""/>
    <n v="108.2"/>
    <n v="7.578558225508325E-2"/>
    <n v="201.1"/>
    <n v="0.74440576827449023"/>
    <n v="109.4871"/>
    <n v="-2.2699742709415083"/>
    <s v=""/>
    <s v=""/>
    <n v="31300"/>
    <m/>
  </r>
  <r>
    <x v="559"/>
    <x v="9"/>
    <n v="129.5"/>
    <n v="0.86563706563706566"/>
    <s v=""/>
    <s v=""/>
    <n v="107.9"/>
    <n v="7.3215940685820269E-2"/>
    <n v="201.8"/>
    <n v="0.74529236868186333"/>
    <n v="110.2336"/>
    <n v="-2.2478300627032048"/>
    <s v=""/>
    <s v=""/>
    <s v=""/>
    <m/>
  </r>
  <r>
    <x v="560"/>
    <x v="10"/>
    <n v="129.5"/>
    <n v="0.86563706563706566"/>
    <s v=""/>
    <s v=""/>
    <n v="104.4"/>
    <n v="4.2145593869731823E-2"/>
    <n v="201.6"/>
    <n v="0.74503968253968256"/>
    <n v="110.09139999999999"/>
    <n v="-2.2520251354783389"/>
    <s v=""/>
    <s v=""/>
    <s v=""/>
    <m/>
  </r>
  <r>
    <x v="561"/>
    <x v="11"/>
    <n v="122.6"/>
    <n v="0.8580750407830342"/>
    <s v=""/>
    <s v=""/>
    <n v="106.5"/>
    <n v="6.1032863849765251E-2"/>
    <n v="204.1"/>
    <n v="0.74816266536011766"/>
    <n v="108.7835"/>
    <n v="-2.2911241134914757"/>
    <s v=""/>
    <s v=""/>
    <n v="35000"/>
    <m/>
  </r>
  <r>
    <x v="562"/>
    <x v="12"/>
    <n v="121.8"/>
    <n v="0.85714285714285721"/>
    <s v=""/>
    <s v=""/>
    <n v="116.5"/>
    <n v="0.14163090128755362"/>
    <n v="208.4"/>
    <n v="0.75335892514395397"/>
    <n v="104.699"/>
    <n v="-2.4195169008299984"/>
    <s v=""/>
    <s v=""/>
    <s v=""/>
    <m/>
  </r>
  <r>
    <x v="563"/>
    <x v="13"/>
    <n v="122.9"/>
    <n v="0.85842148087876324"/>
    <s v=""/>
    <s v=""/>
    <n v="116.1"/>
    <n v="0.1386735572782084"/>
    <n v="209.8"/>
    <n v="0.75500476644423264"/>
    <n v="103.8104"/>
    <n v="-2.4487874047301617"/>
    <s v=""/>
    <s v=""/>
    <s v=""/>
    <m/>
  </r>
  <r>
    <x v="564"/>
    <x v="14"/>
    <n v="125.2"/>
    <n v="0.86102236421725242"/>
    <s v=""/>
    <s v=""/>
    <n v="114.2"/>
    <n v="0.12434325744308239"/>
    <n v="212.7"/>
    <n v="0.75834508697696279"/>
    <n v="103.34099999999999"/>
    <n v="-2.4644526373849684"/>
    <s v=""/>
    <s v=""/>
    <n v="33200"/>
    <m/>
  </r>
  <r>
    <x v="565"/>
    <x v="15"/>
    <n v="124.5"/>
    <n v="0.8602409638554217"/>
    <s v=""/>
    <s v=""/>
    <n v="113"/>
    <n v="0.11504424778761058"/>
    <n v="214.3"/>
    <n v="0.76014932337844143"/>
    <n v="104.9442"/>
    <n v="-2.4115272687771214"/>
    <s v=""/>
    <s v=""/>
    <s v=""/>
    <m/>
  </r>
  <r>
    <x v="566"/>
    <x v="16"/>
    <n v="124.6"/>
    <n v="0.8603531300160514"/>
    <s v=""/>
    <s v=""/>
    <n v="112.8"/>
    <n v="0.11347517730496448"/>
    <n v="218.7"/>
    <n v="0.76497485139460442"/>
    <n v="105.2543"/>
    <n v="-2.4014762342251097"/>
    <s v=""/>
    <s v=""/>
    <s v=""/>
    <m/>
  </r>
  <r>
    <x v="567"/>
    <x v="17"/>
    <n v="125"/>
    <n v="0.86080000000000001"/>
    <s v=""/>
    <s v=""/>
    <n v="118.5"/>
    <n v="0.15611814345991559"/>
    <n v="222.2"/>
    <n v="0.76867686768676868"/>
    <n v="107.1938"/>
    <n v="-2.3399319736775821"/>
    <s v=""/>
    <s v=""/>
    <n v="36900"/>
    <m/>
  </r>
  <r>
    <x v="568"/>
    <x v="18"/>
    <n v="127"/>
    <n v="0.86299212598425201"/>
    <s v=""/>
    <s v=""/>
    <n v="117.4"/>
    <n v="0.14821124361158433"/>
    <n v="229.2"/>
    <n v="0.77574171029668415"/>
    <n v="106.59520000000001"/>
    <n v="-2.3586878208399624"/>
    <s v=""/>
    <s v=""/>
    <s v=""/>
    <m/>
  </r>
  <r>
    <x v="569"/>
    <x v="19"/>
    <n v="134.19999999999999"/>
    <n v="0.87034277198211618"/>
    <s v=""/>
    <s v=""/>
    <n v="114.9"/>
    <n v="0.1296779808529156"/>
    <n v="228.9"/>
    <n v="0.77544779379641771"/>
    <n v="108.7473"/>
    <n v="-2.2922196689021246"/>
    <s v=""/>
    <s v=""/>
    <s v=""/>
    <m/>
  </r>
  <r>
    <x v="570"/>
    <x v="20"/>
    <n v="136.30000000000001"/>
    <n v="0.87234042553191493"/>
    <s v=""/>
    <s v=""/>
    <n v="119.2"/>
    <n v="0.16107382550335569"/>
    <n v="231.7"/>
    <n v="0.77816141562365126"/>
    <n v="111.95350000000001"/>
    <n v="-2.1979348568825445"/>
    <s v=""/>
    <s v=""/>
    <n v="39100"/>
    <m/>
  </r>
  <r>
    <x v="571"/>
    <x v="21"/>
    <n v="136.6"/>
    <n v="0.87262079062957543"/>
    <s v=""/>
    <s v=""/>
    <n v="121.5"/>
    <n v="0.17695473251028804"/>
    <n v="241"/>
    <n v="0.78672199170124479"/>
    <n v="110.6065"/>
    <n v="-2.236880291845416"/>
    <s v=""/>
    <s v=""/>
    <s v=""/>
    <m/>
  </r>
  <r>
    <x v="572"/>
    <x v="22"/>
    <n v="136.9"/>
    <n v="0.872899926953981"/>
    <s v=""/>
    <s v=""/>
    <n v="135.1"/>
    <n v="0.25980754996299038"/>
    <n v="247.9"/>
    <n v="0.79265832997176289"/>
    <n v="111.239"/>
    <n v="-2.2184755346596066"/>
    <s v=""/>
    <s v=""/>
    <s v=""/>
    <m/>
  </r>
  <r>
    <x v="573"/>
    <x v="23"/>
    <n v="134.19999999999999"/>
    <n v="0.87034277198211618"/>
    <s v=""/>
    <s v=""/>
    <n v="151.69999999999999"/>
    <n v="0.34080421885299927"/>
    <n v="252.2"/>
    <n v="0.79619349722442512"/>
    <n v="114.8695"/>
    <n v="-2.1167542297999034"/>
    <s v=""/>
    <s v=""/>
    <n v="47300"/>
    <m/>
  </r>
  <r>
    <x v="574"/>
    <x v="24"/>
    <n v="135.5"/>
    <n v="0.87158671586715863"/>
    <s v=""/>
    <s v=""/>
    <n v="153.6"/>
    <n v="0.34895833333333326"/>
    <n v="263.2"/>
    <n v="0.80471124620060785"/>
    <n v="118.45399999999999"/>
    <n v="-2.0224390902797711"/>
    <s v=""/>
    <s v=""/>
    <s v=""/>
    <m/>
  </r>
  <r>
    <x v="575"/>
    <x v="25"/>
    <n v="135.69999999999999"/>
    <n v="0.87177597641857041"/>
    <s v=""/>
    <s v=""/>
    <n v="146.80000000000001"/>
    <n v="0.31880108991825618"/>
    <n v="270.2"/>
    <n v="0.80977054034048856"/>
    <n v="118.4624"/>
    <n v="-2.022224773430219"/>
    <s v=""/>
    <s v=""/>
    <s v=""/>
    <m/>
  </r>
  <r>
    <x v="576"/>
    <x v="26"/>
    <n v="140.4"/>
    <n v="0.87606837606837606"/>
    <s v=""/>
    <s v=""/>
    <n v="150.9"/>
    <n v="0.33730947647448639"/>
    <n v="273.2"/>
    <n v="0.81185944363103957"/>
    <n v="115.4765"/>
    <n v="-2.1003710711703243"/>
    <s v=""/>
    <s v=""/>
    <n v="46100"/>
    <m/>
  </r>
  <r>
    <x v="577"/>
    <x v="27"/>
    <n v="141.80000000000001"/>
    <n v="0.87729196050775737"/>
    <s v=""/>
    <s v=""/>
    <n v="140.4"/>
    <n v="0.28774928774928776"/>
    <n v="270.10000000000002"/>
    <n v="0.80970011106997408"/>
    <n v="117.8605"/>
    <n v="-2.0376589272911616"/>
    <s v=""/>
    <s v=""/>
    <s v=""/>
    <m/>
  </r>
  <r>
    <x v="578"/>
    <x v="28"/>
    <n v="140.80000000000001"/>
    <n v="0.87642045454545459"/>
    <s v=""/>
    <s v=""/>
    <n v="133.5"/>
    <n v="0.25093632958801493"/>
    <n v="275.89999999999998"/>
    <n v="0.81370061616527722"/>
    <n v="117.2778"/>
    <n v="-2.0527516716718766"/>
    <s v=""/>
    <s v=""/>
    <s v=""/>
    <m/>
  </r>
  <r>
    <x v="579"/>
    <x v="29"/>
    <n v="142.6"/>
    <n v="0.87798036465638152"/>
    <s v=""/>
    <s v=""/>
    <n v="129.6"/>
    <n v="0.22839506172839508"/>
    <n v="284.10000000000002"/>
    <n v="0.81907778951073573"/>
    <n v="117.06950000000001"/>
    <n v="-2.0581833867916064"/>
    <s v=""/>
    <s v=""/>
    <n v="48800"/>
    <m/>
  </r>
  <r>
    <x v="580"/>
    <x v="30"/>
    <n v="143.6"/>
    <n v="0.87883008356545966"/>
    <s v=""/>
    <s v=""/>
    <n v="127.7"/>
    <n v="0.21691464369616287"/>
    <n v="286.89999999999998"/>
    <n v="0.82084349947716972"/>
    <n v="111.73050000000001"/>
    <n v="-2.204317531918321"/>
    <s v=""/>
    <s v=""/>
    <s v=""/>
    <m/>
  </r>
  <r>
    <x v="581"/>
    <x v="31"/>
    <n v="152.4"/>
    <n v="0.88582677165354329"/>
    <s v=""/>
    <s v=""/>
    <n v="122"/>
    <n v="0.18032786885245899"/>
    <n v="294.7"/>
    <n v="0.82558534102477099"/>
    <n v="114.625"/>
    <n v="-2.1234023991275897"/>
    <s v=""/>
    <s v=""/>
    <s v=""/>
    <m/>
  </r>
  <r>
    <x v="582"/>
    <x v="32"/>
    <n v="153"/>
    <n v="0.88627450980392153"/>
    <s v=""/>
    <s v=""/>
    <n v="122.4"/>
    <n v="0.18300653594771243"/>
    <n v="300.10000000000002"/>
    <n v="0.82872375874708437"/>
    <n v="115.767"/>
    <n v="-2.0925911529192258"/>
    <s v=""/>
    <s v=""/>
    <n v="54100"/>
    <m/>
  </r>
  <r>
    <x v="583"/>
    <x v="33"/>
    <n v="151.5"/>
    <n v="0.88514851485148516"/>
    <s v=""/>
    <s v=""/>
    <n v="125.2"/>
    <n v="0.20127795527156556"/>
    <n v="306"/>
    <n v="0.83202614379084971"/>
    <n v="115.9243"/>
    <n v="-2.0883947541628456"/>
    <s v=""/>
    <s v=""/>
    <s v=""/>
    <m/>
  </r>
  <r>
    <x v="584"/>
    <x v="34"/>
    <n v="152.19999999999999"/>
    <n v="0.88567674113009198"/>
    <s v=""/>
    <s v=""/>
    <n v="125.5"/>
    <n v="0.20318725099601598"/>
    <n v="307.60000000000002"/>
    <n v="0.8328998699609883"/>
    <n v="117.2145"/>
    <n v="-2.0544002661786722"/>
    <s v=""/>
    <s v=""/>
    <s v=""/>
    <m/>
  </r>
  <r>
    <x v="585"/>
    <x v="35"/>
    <n v="144"/>
    <n v="0.87916666666666665"/>
    <s v=""/>
    <s v=""/>
    <n v="115.3"/>
    <n v="0.13269731136166518"/>
    <n v="307.89999999999998"/>
    <n v="0.83306268268918482"/>
    <n v="118.60899999999999"/>
    <n v="-2.018489322058191"/>
    <s v=""/>
    <s v=""/>
    <n v="48100"/>
    <m/>
  </r>
  <r>
    <x v="586"/>
    <x v="36"/>
    <n v="140.6"/>
    <n v="0.87624466571834991"/>
    <s v=""/>
    <s v=""/>
    <n v="127.9"/>
    <n v="0.21813917122752158"/>
    <n v="309.8"/>
    <n v="0.83408650742414459"/>
    <n v="117.3205"/>
    <n v="-2.0516405913714992"/>
    <s v=""/>
    <s v=""/>
    <s v=""/>
    <m/>
  </r>
  <r>
    <x v="587"/>
    <x v="37"/>
    <n v="141.1"/>
    <n v="0.87668320340184269"/>
    <s v=""/>
    <s v=""/>
    <n v="131.30000000000001"/>
    <n v="0.23838537699923845"/>
    <n v="309.7"/>
    <n v="0.83403293509848242"/>
    <n v="117.322"/>
    <n v="-2.0516015751521453"/>
    <s v=""/>
    <s v=""/>
    <s v=""/>
    <m/>
  </r>
  <r>
    <x v="588"/>
    <x v="30"/>
    <n v="144.5"/>
    <n v="0.87958477508650523"/>
    <s v=""/>
    <s v=""/>
    <n v="127.7"/>
    <n v="0.21691464369616287"/>
    <n v="315.8"/>
    <n v="0.8372387587080431"/>
    <n v="120.44710000000001"/>
    <n v="-1.9724252389638268"/>
    <s v=""/>
    <s v=""/>
    <n v="48800"/>
    <m/>
  </r>
  <r>
    <x v="589"/>
    <x v="38"/>
    <n v="147.69999999999999"/>
    <n v="0.88219363574813814"/>
    <s v=""/>
    <s v=""/>
    <n v="128.1"/>
    <n v="0.21935987509757993"/>
    <n v="316.39999999999998"/>
    <n v="0.83754740834386854"/>
    <n v="120.5047"/>
    <n v="-1.9710044504488207"/>
    <s v=""/>
    <s v=""/>
    <s v=""/>
    <m/>
  </r>
  <r>
    <x v="590"/>
    <x v="39"/>
    <n v="144.69999999999999"/>
    <n v="0.87975120939875606"/>
    <s v=""/>
    <s v=""/>
    <n v="131.19999999999999"/>
    <n v="0.23780487804878048"/>
    <n v="315.60000000000002"/>
    <n v="0.8371356147021547"/>
    <n v="117.26"/>
    <n v="-2.0532150776053211"/>
    <s v=""/>
    <s v=""/>
    <s v=""/>
    <m/>
  </r>
  <r>
    <x v="591"/>
    <x v="40"/>
    <n v="145.6"/>
    <n v="0.88049450549450547"/>
    <s v=""/>
    <s v=""/>
    <n v="130.1"/>
    <n v="0.23136049192928509"/>
    <n v="315"/>
    <n v="0.83682539682539681"/>
    <n v="118.9324"/>
    <n v="-2.0102814708187169"/>
    <s v=""/>
    <s v=""/>
    <n v="57800"/>
    <m/>
  </r>
  <r>
    <x v="592"/>
    <x v="40"/>
    <n v="150.69999999999999"/>
    <n v="0.88453881884538821"/>
    <s v=""/>
    <s v=""/>
    <n v="130.1"/>
    <n v="0.23136049192928509"/>
    <n v="317.8"/>
    <n v="0.8382630585273757"/>
    <n v="120.7732"/>
    <n v="-1.9643993866188856"/>
    <s v=""/>
    <s v=""/>
    <s v=""/>
    <m/>
  </r>
  <r>
    <x v="593"/>
    <x v="41"/>
    <n v="157"/>
    <n v="0.88917197452229302"/>
    <s v=""/>
    <s v=""/>
    <n v="133"/>
    <n v="0.24812030075187974"/>
    <n v="316.60000000000002"/>
    <n v="0.83765003158559703"/>
    <n v="122.68859999999999"/>
    <n v="-1.9181195318880482"/>
    <s v=""/>
    <s v=""/>
    <s v=""/>
    <m/>
  </r>
  <r>
    <x v="594"/>
    <x v="42"/>
    <n v="157.19999999999999"/>
    <n v="0.88931297709923662"/>
    <s v=""/>
    <s v=""/>
    <n v="133.19999999999999"/>
    <n v="0.24924924924924918"/>
    <n v="312.8"/>
    <n v="0.83567774936061379"/>
    <n v="121.4148"/>
    <n v="-1.948734421174354"/>
    <s v=""/>
    <s v=""/>
    <n v="59700"/>
    <m/>
  </r>
  <r>
    <x v="595"/>
    <x v="43"/>
    <n v="157.80000000000001"/>
    <n v="0.88973384030418257"/>
    <s v=""/>
    <s v=""/>
    <n v="125.9"/>
    <n v="0.20571882446386025"/>
    <n v="315.2"/>
    <n v="0.83692893401015223"/>
    <n v="116.73350000000001"/>
    <n v="-2.0669859123559213"/>
    <s v=""/>
    <s v=""/>
    <s v=""/>
    <m/>
  </r>
  <r>
    <x v="596"/>
    <x v="44"/>
    <n v="158.4"/>
    <n v="0.89015151515151514"/>
    <s v=""/>
    <s v=""/>
    <n v="125.8"/>
    <n v="0.20508744038155802"/>
    <n v="313.5"/>
    <n v="0.8360446570972887"/>
    <n v="115.04349999999999"/>
    <n v="-2.1120402282614839"/>
    <s v=""/>
    <s v=""/>
    <s v=""/>
    <m/>
  </r>
  <r>
    <x v="597"/>
    <x v="45"/>
    <n v="153.6"/>
    <n v="0.88671875"/>
    <s v=""/>
    <s v=""/>
    <n v="124.8"/>
    <n v="0.19871794871794868"/>
    <n v="314"/>
    <n v="0.83630573248407647"/>
    <n v="115.8661"/>
    <n v="-2.0899460670549881"/>
    <s v=""/>
    <s v=""/>
    <n v="61600"/>
    <m/>
  </r>
  <r>
    <x v="598"/>
    <x v="46"/>
    <n v="151.6"/>
    <n v="0.88522427440633245"/>
    <s v=""/>
    <s v=""/>
    <n v="128.5"/>
    <n v="0.22178988326848248"/>
    <n v="317.8"/>
    <n v="0.8382630585273757"/>
    <n v="111.0729"/>
    <n v="-2.2232884889113365"/>
    <s v=""/>
    <s v=""/>
    <s v=""/>
    <m/>
  </r>
  <r>
    <x v="599"/>
    <x v="47"/>
    <n v="151.30000000000001"/>
    <n v="0.88499669530733649"/>
    <s v=""/>
    <s v=""/>
    <n v="129.4"/>
    <n v="0.22720247295208662"/>
    <n v="319.8"/>
    <n v="0.83927454659161982"/>
    <n v="112.449"/>
    <n v="-2.1838433423151828"/>
    <s v=""/>
    <s v=""/>
    <s v=""/>
    <m/>
  </r>
  <r>
    <x v="600"/>
    <x v="48"/>
    <n v="153"/>
    <n v="0.88627450980392153"/>
    <s v=""/>
    <s v=""/>
    <n v="128.80000000000001"/>
    <n v="0.22360248447204978"/>
    <n v="326.60000000000002"/>
    <n v="0.842620943049602"/>
    <n v="107.8181"/>
    <n v="-2.3205927390670023"/>
    <s v=""/>
    <s v=""/>
    <n v="66700"/>
    <m/>
  </r>
  <r>
    <x v="601"/>
    <x v="49"/>
    <n v="151.1"/>
    <n v="0.88484447385837195"/>
    <s v=""/>
    <s v=""/>
    <n v="132.19999999999999"/>
    <n v="0.24357034795763988"/>
    <n v="329"/>
    <n v="0.84376899696048635"/>
    <n v="107.03"/>
    <n v="-2.3450434457628702"/>
    <s v=""/>
    <s v=""/>
    <s v=""/>
    <m/>
  </r>
  <r>
    <x v="602"/>
    <x v="50"/>
    <n v="154.1"/>
    <n v="0.88708630759247242"/>
    <s v=""/>
    <s v=""/>
    <n v="137.1"/>
    <n v="0.2706053975200583"/>
    <n v="332.2"/>
    <n v="0.84527393136664664"/>
    <n v="100.75620000000001"/>
    <n v="-2.5533297206524259"/>
    <s v=""/>
    <s v=""/>
    <s v=""/>
    <m/>
  </r>
  <r>
    <x v="603"/>
    <x v="51"/>
    <n v="156.1"/>
    <n v="0.88853299167200517"/>
    <s v=""/>
    <s v=""/>
    <n v="141.6"/>
    <n v="0.29378531073446323"/>
    <n v="342.5"/>
    <n v="0.84992700729927007"/>
    <n v="102.6777"/>
    <n v="-2.4868330708615405"/>
    <s v=""/>
    <s v=""/>
    <n v="70900"/>
    <m/>
  </r>
  <r>
    <x v="604"/>
    <x v="52"/>
    <n v="159.69999999999999"/>
    <n v="0.89104571070757665"/>
    <s v=""/>
    <s v=""/>
    <n v="148.80000000000001"/>
    <n v="0.32795698924731187"/>
    <n v="345.1"/>
    <n v="0.85105766444508846"/>
    <n v="104.3595"/>
    <n v="-2.4306411970160839"/>
    <s v=""/>
    <s v=""/>
    <s v=""/>
    <m/>
  </r>
  <r>
    <x v="605"/>
    <x v="53"/>
    <n v="161.4"/>
    <n v="0.89219330855018586"/>
    <s v=""/>
    <s v=""/>
    <n v="154.30000000000001"/>
    <n v="0.35191186001296182"/>
    <n v="351.3"/>
    <n v="0.85368630799886136"/>
    <n v="106.9152"/>
    <n v="-2.348635180030529"/>
    <s v=""/>
    <s v=""/>
    <s v=""/>
    <m/>
  </r>
  <r>
    <x v="606"/>
    <x v="54"/>
    <n v="165.6"/>
    <n v="0.89492753623188404"/>
    <s v=""/>
    <s v=""/>
    <n v="165.7"/>
    <n v="0.3964996982498491"/>
    <n v="368.9"/>
    <n v="0.86066684738411492"/>
    <n v="106.8518"/>
    <n v="-2.3506220765583734"/>
    <s v=""/>
    <s v=""/>
    <n v="85800"/>
    <m/>
  </r>
  <r>
    <x v="607"/>
    <x v="55"/>
    <n v="166.3"/>
    <n v="0.89536981358989776"/>
    <s v=""/>
    <s v=""/>
    <n v="154.1"/>
    <n v="0.35107073329007132"/>
    <n v="394.3"/>
    <n v="0.86964240426071515"/>
    <n v="109.36239999999999"/>
    <n v="-2.2737028448534415"/>
    <s v=""/>
    <s v=""/>
    <s v=""/>
    <m/>
  </r>
  <r>
    <x v="608"/>
    <x v="56"/>
    <n v="165"/>
    <n v="0.89454545454545453"/>
    <s v=""/>
    <s v=""/>
    <n v="145.5"/>
    <n v="0.3127147766323024"/>
    <n v="414"/>
    <n v="0.87584541062801935"/>
    <n v="106.5748"/>
    <n v="-2.3593307235856882"/>
    <s v=""/>
    <s v=""/>
    <s v=""/>
    <m/>
  </r>
  <r>
    <x v="609"/>
    <x v="57"/>
    <n v="162.69999999999999"/>
    <n v="0.8930547019053473"/>
    <s v=""/>
    <s v=""/>
    <n v="136.19999999999999"/>
    <n v="0.26578560939794416"/>
    <n v="420.5"/>
    <n v="0.87776456599286568"/>
    <n v="99.965900000000005"/>
    <n v="-2.5814212646512456"/>
    <s v=""/>
    <s v=""/>
    <n v="52000"/>
    <m/>
  </r>
  <r>
    <x v="610"/>
    <x v="58"/>
    <n v="158.19999999999999"/>
    <n v="0.89001264222503162"/>
    <s v=""/>
    <s v=""/>
    <n v="135.6"/>
    <n v="0.26253687315634211"/>
    <n v="420.1"/>
    <n v="0.87764817900499881"/>
    <n v="96.965599999999995"/>
    <n v="-2.6922372470236868"/>
    <s v=""/>
    <s v=""/>
    <s v=""/>
    <m/>
  </r>
  <r>
    <x v="611"/>
    <x v="59"/>
    <n v="158.69999999999999"/>
    <n v="0.89035916824196604"/>
    <n v="100"/>
    <n v="0"/>
    <n v="135.5"/>
    <n v="0.26199261992619927"/>
    <n v="416.4"/>
    <n v="0.87656099903938522"/>
    <n v="91.275000000000006"/>
    <n v="-2.9224322103533273"/>
    <s v=""/>
    <s v=""/>
    <s v=""/>
    <m/>
  </r>
  <r>
    <x v="612"/>
    <x v="60"/>
    <n v="160"/>
    <n v="0.89124999999999999"/>
    <n v="94.3"/>
    <n v="-6.0445387062566303E-2"/>
    <n v="134.5"/>
    <n v="0.25650557620817849"/>
    <n v="403"/>
    <n v="0.87245657568238211"/>
    <n v="90.120500000000007"/>
    <n v="-2.972681021521185"/>
    <s v=""/>
    <s v=""/>
    <n v="27000"/>
    <m/>
  </r>
  <r>
    <x v="613"/>
    <x v="46"/>
    <n v="160"/>
    <n v="0.89124999999999999"/>
    <n v="96.1"/>
    <n v="-4.058272632674309E-2"/>
    <n v="128.5"/>
    <n v="0.22178988326848248"/>
    <n v="397.3"/>
    <n v="0.87062673043040528"/>
    <n v="92.915800000000004"/>
    <n v="-2.8531659846872111"/>
    <s v=""/>
    <s v=""/>
    <s v=""/>
    <m/>
  </r>
  <r>
    <x v="614"/>
    <x v="61"/>
    <n v="157.30000000000001"/>
    <n v="0.88938334392879848"/>
    <n v="86.5"/>
    <n v="-0.1560693641618498"/>
    <n v="123.7"/>
    <n v="0.19159256265157643"/>
    <n v="386.3"/>
    <n v="0.86694279057727153"/>
    <n v="97.855000000000004"/>
    <n v="-2.6586786571968726"/>
    <s v=""/>
    <s v=""/>
    <s v=""/>
    <m/>
  </r>
  <r>
    <x v="615"/>
    <x v="62"/>
    <n v="156.30000000000001"/>
    <n v="0.8886756238003839"/>
    <n v="86.5"/>
    <n v="-0.1560693641618498"/>
    <n v="117.9"/>
    <n v="0.15182357930449542"/>
    <n v="375.6"/>
    <n v="0.86315228966986157"/>
    <n v="98.92"/>
    <n v="-2.6192883137889202"/>
    <s v=""/>
    <s v=""/>
    <n v="33300"/>
    <m/>
  </r>
  <r>
    <x v="616"/>
    <x v="63"/>
    <n v="158.9"/>
    <n v="0.89049716803020773"/>
    <n v="84.7"/>
    <n v="-0.18063754427390788"/>
    <n v="112.4"/>
    <n v="0.11032028469750899"/>
    <n v="369.1"/>
    <n v="0.86074234624762935"/>
    <n v="96.644499999999994"/>
    <n v="-2.7045046536533377"/>
    <s v=""/>
    <s v=""/>
    <s v=""/>
    <m/>
  </r>
  <r>
    <x v="617"/>
    <x v="64"/>
    <n v="160.9"/>
    <n v="0.89185829707893105"/>
    <n v="78"/>
    <n v="-0.28205128205128216"/>
    <n v="111"/>
    <n v="9.9099099099099086E-2"/>
    <n v="355.1"/>
    <n v="0.85525204167840041"/>
    <n v="96.614500000000007"/>
    <n v="-2.7056549482738093"/>
    <s v=""/>
    <s v=""/>
    <s v=""/>
    <m/>
  </r>
  <r>
    <x v="618"/>
    <x v="65"/>
    <n v="163.5"/>
    <n v="0.89357798165137614"/>
    <n v="78.599999999999994"/>
    <n v="-0.27226463104325704"/>
    <n v="113.5"/>
    <n v="0.11894273127753308"/>
    <n v="356.5"/>
    <n v="0.85582047685834506"/>
    <n v="94.367000000000004"/>
    <n v="-2.7939110070257609"/>
    <s v=""/>
    <s v=""/>
    <n v="41200"/>
    <m/>
  </r>
  <r>
    <x v="619"/>
    <x v="66"/>
    <n v="161.9"/>
    <n v="0.89252625077208159"/>
    <n v="76.8"/>
    <n v="-0.30208333333333348"/>
    <n v="113.8"/>
    <n v="0.12126537785588754"/>
    <n v="360.2"/>
    <n v="0.85730149916712939"/>
    <n v="94.897099999999995"/>
    <n v="-2.7727180282642991"/>
    <s v=""/>
    <s v=""/>
    <s v=""/>
    <m/>
  </r>
  <r>
    <x v="620"/>
    <x v="67"/>
    <n v="162"/>
    <n v="0.8925925925925926"/>
    <n v="77.400000000000006"/>
    <n v="-0.29198966408268734"/>
    <n v="111.9"/>
    <n v="0.10634495084897233"/>
    <n v="358"/>
    <n v="0.8564245810055866"/>
    <n v="91.274799999999999"/>
    <n v="-2.9224408051291264"/>
    <s v=""/>
    <s v=""/>
    <s v=""/>
    <m/>
  </r>
  <r>
    <x v="621"/>
    <x v="65"/>
    <n v="158"/>
    <n v="0.88987341772151896"/>
    <n v="73.900000000000006"/>
    <n v="-0.35317997293640047"/>
    <n v="113.5"/>
    <n v="0.11894273127753308"/>
    <n v="364.5"/>
    <n v="0.85898491083676265"/>
    <n v="90.367099999999994"/>
    <n v="-2.9618400944591561"/>
    <s v=""/>
    <s v=""/>
    <n v="42500"/>
    <m/>
  </r>
  <r>
    <x v="622"/>
    <x v="18"/>
    <n v="155.19999999999999"/>
    <n v="0.88788659793814428"/>
    <n v="74.5"/>
    <n v="-0.34228187919463093"/>
    <n v="117.4"/>
    <n v="0.14821124361158433"/>
    <n v="361.4"/>
    <n v="0.85777531820697284"/>
    <n v="89.267399999999995"/>
    <n v="-3.010646663843688"/>
    <s v=""/>
    <s v=""/>
    <s v=""/>
    <m/>
  </r>
  <r>
    <x v="623"/>
    <x v="68"/>
    <n v="155.30000000000001"/>
    <n v="0.88795878943979401"/>
    <n v="80.3"/>
    <n v="-0.24533001245330022"/>
    <n v="117"/>
    <n v="0.14529914529914534"/>
    <n v="358.4"/>
    <n v="0.8565848214285714"/>
    <n v="89.950900000000004"/>
    <n v="-2.9801714046218546"/>
    <s v=""/>
    <s v=""/>
    <s v=""/>
    <m/>
  </r>
  <r>
    <x v="624"/>
    <x v="69"/>
    <n v="155.30000000000001"/>
    <n v="0.88795878943979401"/>
    <n v="79.3"/>
    <n v="-0.26103404791929385"/>
    <n v="123"/>
    <n v="0.18699186991869921"/>
    <n v="360.5"/>
    <n v="0.85742024965325936"/>
    <n v="91.101100000000002"/>
    <n v="-2.9299196167774042"/>
    <s v=""/>
    <s v=""/>
    <n v="47700"/>
    <m/>
  </r>
  <r>
    <x v="625"/>
    <x v="69"/>
    <n v="155.30000000000001"/>
    <n v="0.88795878943979401"/>
    <n v="73.8"/>
    <n v="-0.3550135501355014"/>
    <n v="123"/>
    <n v="0.18699186991869921"/>
    <n v="362.1"/>
    <n v="0.85805026235846449"/>
    <n v="90.139499999999998"/>
    <n v="-2.9718436423543508"/>
    <s v=""/>
    <s v=""/>
    <s v=""/>
    <m/>
  </r>
  <r>
    <x v="626"/>
    <x v="70"/>
    <n v="157.80000000000001"/>
    <n v="0.88973384030418257"/>
    <n v="77.3"/>
    <n v="-0.29366106080207"/>
    <n v="120.5"/>
    <n v="0.17012448132780078"/>
    <n v="370.7"/>
    <n v="0.86134340437011059"/>
    <n v="90.716099999999997"/>
    <n v="-2.946598233389663"/>
    <s v=""/>
    <s v=""/>
    <s v=""/>
    <m/>
  </r>
  <r>
    <x v="627"/>
    <x v="71"/>
    <n v="157.6"/>
    <n v="0.88959390862944165"/>
    <n v="78.2"/>
    <n v="-0.27877237851662406"/>
    <n v="117.1"/>
    <n v="0.1460290350128095"/>
    <n v="368.2"/>
    <n v="0.86040195545898968"/>
    <n v="93.452699999999993"/>
    <n v="-2.8310289590348914"/>
    <s v=""/>
    <s v=""/>
    <n v="49700"/>
    <m/>
  </r>
  <r>
    <x v="628"/>
    <x v="72"/>
    <n v="159.6"/>
    <n v="0.89097744360902253"/>
    <n v="77.5"/>
    <n v="-0.29032258064516125"/>
    <n v="116.3"/>
    <n v="0.14015477214101457"/>
    <n v="368.6"/>
    <n v="0.86055344546934354"/>
    <n v="91.972999999999999"/>
    <n v="-2.8926641514357474"/>
    <s v=""/>
    <s v=""/>
    <s v=""/>
    <m/>
  </r>
  <r>
    <x v="629"/>
    <x v="73"/>
    <n v="164.8"/>
    <n v="0.89441747572815533"/>
    <n v="79.400000000000006"/>
    <n v="-0.25944584382871527"/>
    <n v="117.6"/>
    <n v="0.14965986394557818"/>
    <n v="374"/>
    <n v="0.86256684491978608"/>
    <n v="90.805899999999994"/>
    <n v="-2.9426953534957532"/>
    <s v=""/>
    <s v=""/>
    <s v=""/>
    <m/>
  </r>
  <r>
    <x v="630"/>
    <x v="74"/>
    <n v="166"/>
    <n v="0.89518072289156625"/>
    <n v="79.2"/>
    <n v="-0.26262626262626254"/>
    <n v="121.7"/>
    <n v="0.17830731306491376"/>
    <n v="383"/>
    <n v="0.86579634464751964"/>
    <n v="87.500500000000002"/>
    <n v="-3.0916337620927878"/>
    <s v=""/>
    <s v=""/>
    <n v="42700"/>
    <m/>
  </r>
  <r>
    <x v="631"/>
    <x v="75"/>
    <n v="166.9"/>
    <n v="0.89574595566207316"/>
    <n v="80.5"/>
    <n v="-0.2422360248447204"/>
    <n v="122.1"/>
    <n v="0.180999180999181"/>
    <n v="388.8"/>
    <n v="0.86779835390946503"/>
    <n v="85.372699999999995"/>
    <n v="-3.1936122437266246"/>
    <s v=""/>
    <s v=""/>
    <s v=""/>
    <m/>
  </r>
  <r>
    <x v="632"/>
    <x v="76"/>
    <n v="166.3"/>
    <n v="0.89536981358989776"/>
    <n v="82.1"/>
    <n v="-0.21802679658952506"/>
    <n v="118.1"/>
    <n v="0.15325994919559693"/>
    <n v="387.9"/>
    <n v="0.86749162155194637"/>
    <n v="84.357100000000003"/>
    <n v="-3.2441003780357551"/>
    <s v=""/>
    <s v=""/>
    <s v=""/>
    <m/>
  </r>
  <r>
    <x v="633"/>
    <x v="12"/>
    <n v="162"/>
    <n v="0.8925925925925926"/>
    <n v="79.900000000000006"/>
    <n v="-0.25156445556946183"/>
    <n v="116.5"/>
    <n v="0.14163090128755362"/>
    <n v="389.1"/>
    <n v="0.86790028270367514"/>
    <n v="81.728499999999997"/>
    <n v="-3.3806016261157366"/>
    <s v=""/>
    <s v=""/>
    <n v="45100"/>
    <m/>
  </r>
  <r>
    <x v="634"/>
    <x v="77"/>
    <n v="158.9"/>
    <n v="0.89049716803020773"/>
    <n v="81.900000000000006"/>
    <n v="-0.22100122100122088"/>
    <n v="116.4"/>
    <n v="0.14089347079037806"/>
    <n v="390.1"/>
    <n v="0.86823891309920531"/>
    <n v="82.518000000000001"/>
    <n v="-3.3386897404202713"/>
    <s v=""/>
    <s v=""/>
    <s v=""/>
    <m/>
  </r>
  <r>
    <x v="635"/>
    <x v="78"/>
    <n v="159.4"/>
    <n v="0.89084065244667499"/>
    <n v="81.7"/>
    <n v="-0.22399020807833536"/>
    <n v="118.4"/>
    <n v="0.15540540540540548"/>
    <n v="395.9"/>
    <n v="0.8701692346552159"/>
    <n v="83.337599999999995"/>
    <n v="-3.2960200437737592"/>
    <s v=""/>
    <s v=""/>
    <s v=""/>
    <m/>
  </r>
  <r>
    <x v="636"/>
    <x v="79"/>
    <n v="160.80000000000001"/>
    <n v="0.89179104477611948"/>
    <n v="86.3"/>
    <n v="-0.15874855156431056"/>
    <n v="118.9"/>
    <n v="0.15895710681244746"/>
    <n v="408.4"/>
    <n v="0.87414299706170417"/>
    <n v="82.625"/>
    <n v="-3.333071104387292"/>
    <s v=""/>
    <s v=""/>
    <n v="52400"/>
    <m/>
  </r>
  <r>
    <x v="637"/>
    <x v="80"/>
    <n v="162.1"/>
    <n v="0.8926588525601481"/>
    <n v="86.9"/>
    <n v="-0.15074798619102414"/>
    <n v="119.4"/>
    <n v="0.16247906197654949"/>
    <n v="410.8"/>
    <n v="0.87487828627069131"/>
    <n v="82.536799999999999"/>
    <n v="-3.3377014858826604"/>
    <s v=""/>
    <s v=""/>
    <s v=""/>
    <m/>
  </r>
  <r>
    <x v="638"/>
    <x v="81"/>
    <n v="162.6"/>
    <n v="0.8929889298892989"/>
    <n v="87.1"/>
    <n v="-0.14810562571756614"/>
    <n v="117.5"/>
    <n v="0.14893617021276595"/>
    <n v="406.3"/>
    <n v="0.87349249323160227"/>
    <n v="81.647000000000006"/>
    <n v="-3.3849743407596113"/>
    <s v=""/>
    <s v=""/>
    <s v=""/>
    <m/>
  </r>
  <r>
    <x v="639"/>
    <x v="73"/>
    <n v="161.9"/>
    <n v="0.89252625077208159"/>
    <n v="88.7"/>
    <n v="-0.12739571589627952"/>
    <n v="117.6"/>
    <n v="0.14965986394557818"/>
    <n v="418.1"/>
    <n v="0.87706290361157624"/>
    <n v="83.177099999999996"/>
    <n v="-3.3043097198627986"/>
    <s v=""/>
    <s v=""/>
    <n v="59000"/>
    <m/>
  </r>
  <r>
    <x v="640"/>
    <x v="82"/>
    <n v="163.6"/>
    <n v="0.89364303178484106"/>
    <n v="90"/>
    <n v="-0.11111111111111116"/>
    <n v="115.9"/>
    <n v="0.13718723037100955"/>
    <n v="447.3"/>
    <n v="0.88508830762351887"/>
    <n v="81.125699999999995"/>
    <n v="-3.4131514427610483"/>
    <s v=""/>
    <s v=""/>
    <s v=""/>
    <m/>
  </r>
  <r>
    <x v="641"/>
    <x v="78"/>
    <n v="171"/>
    <n v="0.89824561403508774"/>
    <n v="91"/>
    <n v="-9.8901098901098994E-2"/>
    <n v="118.4"/>
    <n v="0.15540540540540548"/>
    <n v="451.7"/>
    <n v="0.88620765995129513"/>
    <n v="80.425899999999999"/>
    <n v="-3.4515510550705679"/>
    <s v=""/>
    <s v=""/>
    <s v=""/>
    <m/>
  </r>
  <r>
    <x v="642"/>
    <x v="76"/>
    <n v="179.2"/>
    <n v="0.9029017857142857"/>
    <n v="91.1"/>
    <n v="-9.7694840834248176E-2"/>
    <n v="118.1"/>
    <n v="0.15325994919559693"/>
    <n v="467.9"/>
    <n v="0.89014746740756567"/>
    <n v="79.242500000000007"/>
    <n v="-3.5180300974855658"/>
    <s v=""/>
    <s v=""/>
    <n v="54900"/>
    <m/>
  </r>
  <r>
    <x v="643"/>
    <x v="83"/>
    <n v="180.4"/>
    <n v="0.90354767184035478"/>
    <n v="91.5"/>
    <n v="-9.2896174863388081E-2"/>
    <n v="117.2"/>
    <n v="0.14675767918088745"/>
    <n v="474.1"/>
    <n v="0.89158405399704699"/>
    <n v="76.965699999999998"/>
    <n v="-3.6516825027252402"/>
    <s v=""/>
    <s v=""/>
    <s v=""/>
    <m/>
  </r>
  <r>
    <x v="644"/>
    <x v="72"/>
    <n v="179.6"/>
    <n v="0.9031180400890868"/>
    <n v="94.4"/>
    <n v="-5.9322033898304927E-2"/>
    <n v="116.3"/>
    <n v="0.14015477214101457"/>
    <n v="474.9"/>
    <n v="0.89176668772373135"/>
    <n v="76.795699999999997"/>
    <n v="-3.6619797723049601"/>
    <s v=""/>
    <s v=""/>
    <s v=""/>
    <m/>
  </r>
  <r>
    <x v="645"/>
    <x v="14"/>
    <n v="172.3"/>
    <n v="0.89901334881021477"/>
    <n v="95.4"/>
    <n v="-4.8218029350104663E-2"/>
    <n v="114.2"/>
    <n v="0.12434325744308239"/>
    <n v="476.4"/>
    <n v="0.89210747271200674"/>
    <n v="76.643000000000001"/>
    <n v="-3.6712680871051493"/>
    <s v=""/>
    <s v=""/>
    <n v="51700"/>
    <m/>
  </r>
  <r>
    <x v="646"/>
    <x v="19"/>
    <n v="170.5"/>
    <n v="0.89794721407624634"/>
    <n v="101.6"/>
    <n v="1.5748031496062964E-2"/>
    <n v="114.9"/>
    <n v="0.1296779808529156"/>
    <n v="474.1"/>
    <n v="0.89158405399704699"/>
    <n v="77.5595"/>
    <n v="-3.6160689535131088"/>
    <s v=""/>
    <s v=""/>
    <s v=""/>
    <m/>
  </r>
  <r>
    <x v="647"/>
    <x v="84"/>
    <n v="170.8"/>
    <n v="0.89812646370023419"/>
    <n v="104.4"/>
    <n v="4.2145593869731823E-2"/>
    <n v="114.1"/>
    <n v="0.12357581069237511"/>
    <n v="476.3"/>
    <n v="0.89208482049128701"/>
    <n v="77.796700000000001"/>
    <n v="-3.6019946861499266"/>
    <s v=""/>
    <s v=""/>
    <s v=""/>
    <m/>
  </r>
  <r>
    <x v="648"/>
    <x v="85"/>
    <n v="167.9"/>
    <n v="0.89636688505062534"/>
    <n v="110.3"/>
    <n v="9.3381686310063494E-2"/>
    <n v="112.6"/>
    <n v="0.11190053285968027"/>
    <n v="472.1"/>
    <n v="0.89112476170302901"/>
    <n v="76.963999999999999"/>
    <n v="-3.6517852502468688"/>
    <s v=""/>
    <s v=""/>
    <n v="54100"/>
    <m/>
  </r>
  <r>
    <x v="649"/>
    <x v="86"/>
    <n v="167.3"/>
    <n v="0.8959952181709504"/>
    <n v="107.6"/>
    <n v="7.0631970260223054E-2"/>
    <n v="110"/>
    <n v="9.0909090909090939E-2"/>
    <n v="469.3"/>
    <n v="0.89047517579373536"/>
    <n v="78.47"/>
    <n v="-3.5625079648273221"/>
    <s v=""/>
    <s v=""/>
    <s v=""/>
    <m/>
  </r>
  <r>
    <x v="650"/>
    <x v="87"/>
    <n v="166.8"/>
    <n v="0.89568345323741005"/>
    <n v="112.2"/>
    <n v="0.10873440285204994"/>
    <n v="109.4"/>
    <n v="8.5923217550274322E-2"/>
    <n v="471.8"/>
    <n v="0.89105553200508691"/>
    <n v="82.465900000000005"/>
    <n v="-3.341430821709336"/>
    <s v=""/>
    <s v=""/>
    <s v=""/>
    <m/>
  </r>
  <r>
    <x v="651"/>
    <x v="88"/>
    <n v="165.4"/>
    <n v="0.89480048367593712"/>
    <n v="109.1"/>
    <n v="8.3409715857011846E-2"/>
    <n v="105.1"/>
    <n v="4.8525214081826751E-2"/>
    <n v="472"/>
    <n v="0.89110169491525426"/>
    <n v="81.252399999999994"/>
    <n v="-3.406269845567639"/>
    <s v=""/>
    <s v=""/>
    <n v="60600"/>
    <m/>
  </r>
  <r>
    <x v="652"/>
    <x v="89"/>
    <n v="168.2"/>
    <n v="0.89655172413793105"/>
    <n v="111.7"/>
    <n v="0.10474485228290065"/>
    <n v="101.3"/>
    <n v="1.2833168805528095E-2"/>
    <n v="471.1"/>
    <n v="0.89089365315219704"/>
    <n v="79.666799999999995"/>
    <n v="-3.4939673741131818"/>
    <s v=""/>
    <s v=""/>
    <s v=""/>
    <m/>
  </r>
  <r>
    <x v="653"/>
    <x v="90"/>
    <n v="173.3"/>
    <n v="0.89959607616849391"/>
    <n v="111.8"/>
    <n v="0.10554561717352418"/>
    <n v="104.3"/>
    <n v="4.122722914669219E-2"/>
    <n v="475.8"/>
    <n v="0.89197141656158052"/>
    <n v="79.315200000000004"/>
    <n v="-3.5138888888888884"/>
    <s v=""/>
    <s v=""/>
    <s v=""/>
    <m/>
  </r>
  <r>
    <x v="654"/>
    <x v="91"/>
    <n v="185.2"/>
    <n v="0.90604751619870405"/>
    <n v="111.6"/>
    <n v="0.10394265232974909"/>
    <n v="106.1"/>
    <n v="5.7492931196983954E-2"/>
    <n v="474.4"/>
    <n v="0.89165261382799321"/>
    <n v="78.934799999999996"/>
    <n v="-3.5356420742182157"/>
    <s v=""/>
    <s v=""/>
    <n v="49800"/>
    <m/>
  </r>
  <r>
    <x v="655"/>
    <x v="92"/>
    <n v="185.6"/>
    <n v="0.90625"/>
    <n v="111.9"/>
    <n v="0.10634495084897233"/>
    <n v="107.1"/>
    <n v="6.629318394024275E-2"/>
    <n v="469.7"/>
    <n v="0.89056844794549717"/>
    <n v="78.690899999999999"/>
    <n v="-3.5497001559265424"/>
    <s v=""/>
    <s v=""/>
    <s v=""/>
    <m/>
  </r>
  <r>
    <x v="656"/>
    <x v="93"/>
    <n v="186.2"/>
    <n v="0.90655209452201935"/>
    <n v="113.3"/>
    <n v="0.11738746690202995"/>
    <n v="105.4"/>
    <n v="5.1233396584440261E-2"/>
    <n v="469.4"/>
    <n v="0.89049850873455472"/>
    <n v="78.135300000000001"/>
    <n v="-3.582051902277203"/>
    <s v=""/>
    <s v=""/>
    <s v=""/>
    <m/>
  </r>
  <r>
    <x v="657"/>
    <x v="94"/>
    <n v="179.2"/>
    <n v="0.9029017857142857"/>
    <n v="116.2"/>
    <n v="0.13941480206540446"/>
    <n v="106.8"/>
    <n v="6.367041198501866E-2"/>
    <n v="468.9"/>
    <n v="0.890381744508424"/>
    <n v="79.013199999999998"/>
    <n v="-3.5311416320311038"/>
    <s v=""/>
    <s v=""/>
    <n v="55800"/>
    <m/>
  </r>
  <r>
    <x v="658"/>
    <x v="95"/>
    <n v="177.7"/>
    <n v="0.9020821609454136"/>
    <n v="113.5"/>
    <n v="0.11894273127753308"/>
    <n v="111.4"/>
    <n v="0.10233393177737882"/>
    <n v="467.8"/>
    <n v="0.89012398460880715"/>
    <n v="81.030500000000004"/>
    <n v="-3.4183363054652256"/>
    <s v=""/>
    <s v=""/>
    <s v=""/>
    <m/>
  </r>
  <r>
    <x v="659"/>
    <x v="16"/>
    <n v="178.9"/>
    <n v="0.90273896031302403"/>
    <n v="112.7"/>
    <n v="0.11268855368234254"/>
    <n v="112.8"/>
    <n v="0.11347517730496448"/>
    <n v="462.6"/>
    <n v="0.88888888888888884"/>
    <n v="83.790499999999994"/>
    <n v="-3.2727994223688848"/>
    <s v=""/>
    <s v=""/>
    <s v=""/>
    <m/>
  </r>
  <r>
    <x v="660"/>
    <x v="96"/>
    <n v="166.2"/>
    <n v="0.89530685920577613"/>
    <n v="112.7"/>
    <n v="0.11268855368234254"/>
    <n v="112.3"/>
    <n v="0.10952804986642917"/>
    <n v="456.3"/>
    <n v="0.88735481043173348"/>
    <n v="89.058099999999996"/>
    <n v="-3.0200722898871639"/>
    <s v=""/>
    <s v=""/>
    <n v="63800"/>
    <m/>
  </r>
  <r>
    <x v="661"/>
    <x v="85"/>
    <n v="166.3"/>
    <n v="0.89536981358989776"/>
    <n v="112.5"/>
    <n v="0.11111111111111116"/>
    <n v="112.6"/>
    <n v="0.11190053285968027"/>
    <n v="454.6"/>
    <n v="0.88693356797184342"/>
    <n v="93.001599999999996"/>
    <n v="-2.8496111894849121"/>
    <s v=""/>
    <s v=""/>
    <s v=""/>
    <m/>
  </r>
  <r>
    <x v="662"/>
    <x v="97"/>
    <n v="166"/>
    <n v="0.89518072289156625"/>
    <n v="112.8"/>
    <n v="0.11347517730496448"/>
    <n v="111.8"/>
    <n v="0.10554561717352418"/>
    <n v="453.6"/>
    <n v="0.88668430335097004"/>
    <n v="94.77"/>
    <n v="-2.7777777777777777"/>
    <s v=""/>
    <s v=""/>
    <s v=""/>
    <m/>
  </r>
  <r>
    <x v="663"/>
    <x v="98"/>
    <n v="165.8"/>
    <n v="0.89505428226779249"/>
    <n v="112.4"/>
    <n v="0.11032028469750899"/>
    <n v="115.8"/>
    <n v="0.13644214162348878"/>
    <n v="454.5"/>
    <n v="0.88690869086908686"/>
    <n v="97.758200000000002"/>
    <n v="-2.6623014744543165"/>
    <s v=""/>
    <s v=""/>
    <n v="65500"/>
    <m/>
  </r>
  <r>
    <x v="664"/>
    <x v="99"/>
    <n v="169.7"/>
    <n v="0.8974661166764879"/>
    <n v="113.3"/>
    <n v="0.11738746690202995"/>
    <n v="117.3"/>
    <n v="0.14748508098891733"/>
    <n v="454.3"/>
    <n v="0.88685890380805632"/>
    <n v="100.9186"/>
    <n v="-2.5476116394797392"/>
    <s v=""/>
    <s v=""/>
    <s v=""/>
    <m/>
  </r>
  <r>
    <x v="665"/>
    <x v="18"/>
    <n v="176.6"/>
    <n v="0.90147225368063422"/>
    <n v="111.8"/>
    <n v="0.10554561717352418"/>
    <n v="117.4"/>
    <n v="0.14821124361158433"/>
    <n v="457.3"/>
    <n v="0.8876011371091187"/>
    <n v="97.234999999999999"/>
    <n v="-2.6820075075847174"/>
    <s v=""/>
    <s v=""/>
    <s v=""/>
    <m/>
  </r>
  <r>
    <x v="666"/>
    <x v="100"/>
    <n v="176"/>
    <n v="0.90113636363636362"/>
    <n v="111.1"/>
    <n v="9.9909990999099918E-2"/>
    <n v="115.6"/>
    <n v="0.13494809688581311"/>
    <n v="456"/>
    <n v="0.887280701754386"/>
    <n v="99.672700000000006"/>
    <n v="-2.591956473537889"/>
    <s v=""/>
    <s v=""/>
    <n v="63900"/>
    <m/>
  </r>
  <r>
    <x v="667"/>
    <x v="101"/>
    <n v="175.2"/>
    <n v="0.90068493150684936"/>
    <n v="109.5"/>
    <n v="8.6757990867579959E-2"/>
    <n v="113.2"/>
    <n v="0.11660777385159016"/>
    <n v="447.4"/>
    <n v="0.88511399195350915"/>
    <n v="97.812299999999993"/>
    <n v="-2.6602758548771472"/>
    <s v=""/>
    <s v=""/>
    <s v=""/>
    <m/>
  </r>
  <r>
    <x v="668"/>
    <x v="16"/>
    <n v="175.2"/>
    <n v="0.90068493150684936"/>
    <n v="110.7"/>
    <n v="9.6657633242999141E-2"/>
    <n v="112.8"/>
    <n v="0.11347517730496448"/>
    <n v="446.2"/>
    <n v="0.88480502017032725"/>
    <n v="99.21"/>
    <n v="-2.6087087995161777"/>
    <s v=""/>
    <s v=""/>
    <s v=""/>
    <m/>
  </r>
  <r>
    <x v="669"/>
    <x v="102"/>
    <n v="167.8"/>
    <n v="0.89630512514898686"/>
    <n v="103.3"/>
    <n v="3.1945788964181987E-2"/>
    <n v="113.7"/>
    <n v="0.12049252418645562"/>
    <n v="449.1"/>
    <n v="0.88554887552883543"/>
    <n v="97.77"/>
    <n v="-2.6618594660938939"/>
    <s v=""/>
    <s v=""/>
    <n v="67800"/>
    <m/>
  </r>
  <r>
    <x v="670"/>
    <x v="103"/>
    <n v="166"/>
    <n v="0.89518072289156625"/>
    <n v="99.5"/>
    <n v="-5.0251256281406143E-3"/>
    <n v="116.2"/>
    <n v="0.13941480206540446"/>
    <n v="450.5"/>
    <n v="0.88590455049944505"/>
    <n v="100.0737"/>
    <n v="-2.5775633358214991"/>
    <s v=""/>
    <s v=""/>
    <s v=""/>
    <m/>
  </r>
  <r>
    <x v="671"/>
    <x v="104"/>
    <n v="167.2"/>
    <n v="0.89593301435406703"/>
    <n v="95.8"/>
    <n v="-4.3841336116910323E-2"/>
    <n v="116.8"/>
    <n v="0.14383561643835618"/>
    <n v="452.5"/>
    <n v="0.88640883977900553"/>
    <n v="103.46"/>
    <n v="-2.4604678136477864"/>
    <s v=""/>
    <s v=""/>
    <s v=""/>
    <m/>
  </r>
  <r>
    <x v="672"/>
    <x v="105"/>
    <n v="179.5"/>
    <n v="0.90306406685236773"/>
    <n v="94.6"/>
    <n v="-5.7082452431289621E-2"/>
    <n v="120.4"/>
    <n v="0.16943521594684385"/>
    <n v="450.5"/>
    <n v="0.88590455049944505"/>
    <n v="103.76139999999999"/>
    <n v="-2.4504160506700949"/>
    <s v=""/>
    <s v=""/>
    <n v="72000"/>
    <m/>
  </r>
  <r>
    <x v="673"/>
    <x v="106"/>
    <n v="178.9"/>
    <n v="0.90273896031302403"/>
    <n v="95.3"/>
    <n v="-4.9317943336831149E-2"/>
    <n v="126.4"/>
    <n v="0.20886075949367089"/>
    <n v="451.6"/>
    <n v="0.88618246235606735"/>
    <n v="102.1253"/>
    <n v="-2.5056934961268169"/>
    <s v=""/>
    <s v=""/>
    <s v=""/>
    <m/>
  </r>
  <r>
    <x v="674"/>
    <x v="107"/>
    <n v="179.3"/>
    <n v="0.90295593976575572"/>
    <n v="95.9"/>
    <n v="-4.2752867570385655E-2"/>
    <n v="133.30000000000001"/>
    <n v="0.24981245311327838"/>
    <n v="449.8"/>
    <n v="0.8857269897732325"/>
    <n v="102.3395"/>
    <n v="-2.4983559622628602"/>
    <s v=""/>
    <s v=""/>
    <s v=""/>
    <m/>
  </r>
  <r>
    <x v="675"/>
    <x v="108"/>
    <n v="176"/>
    <n v="0.90113636363636362"/>
    <n v="94.6"/>
    <n v="-5.7082452431289621E-2"/>
    <n v="130.19999999999999"/>
    <n v="0.23195084485407058"/>
    <n v="453.3"/>
    <n v="0.88660930950805206"/>
    <n v="102.45820000000001"/>
    <n v="-2.494303042606643"/>
    <s v=""/>
    <s v=""/>
    <n v="0"/>
    <m/>
  </r>
  <r>
    <x v="676"/>
    <x v="109"/>
    <n v="179.6"/>
    <n v="0.9031180400890868"/>
    <n v="95.2"/>
    <n v="-5.0420168067226934E-2"/>
    <n v="126.2"/>
    <n v="0.20760697305863707"/>
    <n v="452.5"/>
    <n v="0.88640883977900553"/>
    <n v="101.77379999999999"/>
    <n v="-2.5178012415769087"/>
    <s v=""/>
    <s v=""/>
    <s v=""/>
    <m/>
  </r>
  <r>
    <x v="677"/>
    <x v="110"/>
    <n v="186.8"/>
    <n v="0.90685224839400425"/>
    <n v="96.9"/>
    <n v="-3.1991744066047323E-2"/>
    <n v="124.1"/>
    <n v="0.19419822723609992"/>
    <n v="451.3"/>
    <n v="0.88610680257035235"/>
    <n v="102.0629"/>
    <n v="-2.5078368339523958"/>
    <s v=""/>
    <s v=""/>
    <s v=""/>
    <m/>
  </r>
  <r>
    <x v="678"/>
    <x v="61"/>
    <n v="189.8"/>
    <n v="0.90832455216016861"/>
    <n v="99.7"/>
    <n v="-3.0090270812437314E-3"/>
    <n v="123.7"/>
    <n v="0.19159256265157643"/>
    <n v="454.4"/>
    <n v="0.88688380281690138"/>
    <n v="101.74"/>
    <n v="-2.5189699233339886"/>
    <s v=""/>
    <s v=""/>
    <n v="70900"/>
    <m/>
  </r>
  <r>
    <x v="679"/>
    <x v="111"/>
    <n v="190"/>
    <n v="0.90842105263157891"/>
    <n v="99.9"/>
    <n v="-1.0010010010008674E-3"/>
    <n v="119.3"/>
    <n v="0.16177703269069565"/>
    <n v="454.5"/>
    <n v="0.88690869086908686"/>
    <n v="102.9438"/>
    <n v="-2.4778199367033276"/>
    <s v=""/>
    <s v=""/>
    <s v=""/>
    <m/>
  </r>
  <r>
    <x v="680"/>
    <x v="112"/>
    <n v="187.8"/>
    <n v="0.90734824281150162"/>
    <n v="102.2"/>
    <n v="2.1526418786692814E-2"/>
    <n v="119"/>
    <n v="0.15966386554621848"/>
    <n v="454.4"/>
    <n v="0.88688380281690138"/>
    <n v="107.42570000000001"/>
    <n v="-2.332722058129479"/>
    <s v=""/>
    <s v=""/>
    <s v=""/>
    <m/>
  </r>
  <r>
    <x v="681"/>
    <x v="113"/>
    <n v="181.3"/>
    <n v="0.90402647545504689"/>
    <n v="104.1"/>
    <n v="3.9385206532180583E-2"/>
    <n v="118.6"/>
    <n v="0.15682967959527816"/>
    <n v="454.1"/>
    <n v="0.88680907289143363"/>
    <n v="108.0264"/>
    <n v="-2.3141898646997401"/>
    <s v=""/>
    <s v=""/>
    <n v="66000"/>
    <m/>
  </r>
  <r>
    <x v="682"/>
    <x v="73"/>
    <n v="176"/>
    <n v="0.90113636363636362"/>
    <n v="101.7"/>
    <n v="1.6715830875122961E-2"/>
    <n v="117.6"/>
    <n v="0.14965986394557818"/>
    <n v="451.1"/>
    <n v="0.88605630680558634"/>
    <n v="116.29940000000001"/>
    <n v="-2.0784337666402402"/>
    <s v=""/>
    <s v=""/>
    <s v=""/>
    <m/>
  </r>
  <r>
    <x v="683"/>
    <x v="21"/>
    <n v="178.6"/>
    <n v="0.90257558790593506"/>
    <n v="104.9"/>
    <n v="4.6711153479504386E-2"/>
    <n v="121.5"/>
    <n v="0.17695473251028804"/>
    <n v="451.3"/>
    <n v="0.88610680257035235"/>
    <n v="119.3233"/>
    <n v="-2.0004198677039602"/>
    <s v=""/>
    <s v=""/>
    <s v=""/>
    <m/>
  </r>
  <r>
    <x v="684"/>
    <x v="62"/>
    <n v="185.9"/>
    <n v="0.90640129101667566"/>
    <n v="104.1"/>
    <n v="3.9385206532180583E-2"/>
    <n v="117.9"/>
    <n v="0.15182357930449542"/>
    <n v="448.3"/>
    <n v="0.88534463528886909"/>
    <n v="118.25"/>
    <n v="-2.0276532769556024"/>
    <s v=""/>
    <s v=""/>
    <n v="47000"/>
    <m/>
  </r>
  <r>
    <x v="685"/>
    <x v="114"/>
    <n v="184.7"/>
    <n v="0.90579317812669191"/>
    <n v="102"/>
    <n v="1.9607843137254943E-2"/>
    <n v="114.8"/>
    <n v="0.12891986062717764"/>
    <n v="442.9"/>
    <n v="0.8839467148340483"/>
    <n v="118.76"/>
    <n v="-2.0146513977770288"/>
    <s v=""/>
    <s v=""/>
    <s v=""/>
    <m/>
  </r>
  <r>
    <x v="686"/>
    <x v="115"/>
    <n v="182.4"/>
    <n v="0.90460526315789469"/>
    <n v="98.8"/>
    <n v="-1.2145748987854255E-2"/>
    <n v="113.6"/>
    <n v="0.11971830985915488"/>
    <n v="440.5"/>
    <n v="0.8833144154370034"/>
    <n v="120.39449999999999"/>
    <n v="-1.973723882735507"/>
    <s v=""/>
    <s v=""/>
    <s v=""/>
    <m/>
  </r>
  <r>
    <x v="687"/>
    <x v="116"/>
    <n v="178.4"/>
    <n v="0.90246636771300448"/>
    <n v="99"/>
    <n v="-1.0101010101010166E-2"/>
    <n v="109.3"/>
    <n v="8.5086916742909358E-2"/>
    <n v="441.8"/>
    <n v="0.88365776369397919"/>
    <n v="119.5095"/>
    <n v="-1.995745108129479"/>
    <s v=""/>
    <s v=""/>
    <n v="48800"/>
    <m/>
  </r>
  <r>
    <x v="688"/>
    <x v="117"/>
    <n v="181.5"/>
    <n v="0.90413223140495869"/>
    <n v="99"/>
    <n v="-1.0101010101010166E-2"/>
    <n v="106.4"/>
    <n v="6.0150375939849621E-2"/>
    <n v="441.8"/>
    <n v="0.88365776369397919"/>
    <n v="120.798"/>
    <n v="-1.9637907912382655"/>
    <s v=""/>
    <s v=""/>
    <s v=""/>
    <m/>
  </r>
  <r>
    <x v="689"/>
    <x v="118"/>
    <n v="197.8"/>
    <n v="0.91203235591506571"/>
    <n v="97.1"/>
    <n v="-2.9866117404737436E-2"/>
    <n v="109"/>
    <n v="8.256880733944949E-2"/>
    <n v="439.1"/>
    <n v="0.88294238214529719"/>
    <n v="123.7186"/>
    <n v="-1.8938251806923132"/>
    <s v=""/>
    <s v=""/>
    <s v=""/>
    <m/>
  </r>
  <r>
    <x v="690"/>
    <x v="7"/>
    <n v="197.7"/>
    <n v="0.91198786039453716"/>
    <n v="96.7"/>
    <n v="-3.4126163391933861E-2"/>
    <n v="108.7"/>
    <n v="8.0036798528058894E-2"/>
    <n v="435.4"/>
    <n v="0.88194763435920986"/>
    <n v="123.3109"/>
    <n v="-1.9033929685048117"/>
    <s v=""/>
    <s v=""/>
    <n v="47200"/>
    <m/>
  </r>
  <r>
    <x v="691"/>
    <x v="119"/>
    <n v="197.3"/>
    <n v="0.91180942726811964"/>
    <n v="97"/>
    <n v="-3.0927835051546282E-2"/>
    <n v="109.1"/>
    <n v="8.3409715857011846E-2"/>
    <n v="439.7"/>
    <n v="0.88310211507846259"/>
    <n v="123.0038"/>
    <n v="-1.9106417850505428"/>
    <s v=""/>
    <s v=""/>
    <s v=""/>
    <m/>
  </r>
  <r>
    <x v="692"/>
    <x v="120"/>
    <n v="195.1"/>
    <n v="0.91081496668375195"/>
    <n v="95.4"/>
    <n v="-4.8218029350104663E-2"/>
    <n v="107.5"/>
    <n v="6.9767441860465129E-2"/>
    <n v="436.7"/>
    <n v="0.88229906114037093"/>
    <n v="120.1476"/>
    <n v="-1.9798348031920736"/>
    <s v=""/>
    <s v=""/>
    <s v=""/>
    <m/>
  </r>
  <r>
    <x v="693"/>
    <x v="121"/>
    <n v="182.1"/>
    <n v="0.90444810543657328"/>
    <n v="96.8"/>
    <n v="-3.3057851239669533E-2"/>
    <n v="107.8"/>
    <n v="7.2356215213357999E-2"/>
    <n v="431.3"/>
    <n v="0.88082541154648741"/>
    <n v="120.04810000000001"/>
    <n v="-1.9823045929090086"/>
    <s v=""/>
    <s v=""/>
    <n v="40900"/>
    <m/>
  </r>
  <r>
    <x v="694"/>
    <x v="117"/>
    <n v="178.1"/>
    <n v="0.90230207748455926"/>
    <n v="96.5"/>
    <n v="-3.6269430051813378E-2"/>
    <n v="106.4"/>
    <n v="6.0150375939849621E-2"/>
    <n v="430.2"/>
    <n v="0.88052068805206885"/>
    <n v="122.64319999999999"/>
    <n v="-1.9191997599540782"/>
    <s v=""/>
    <s v=""/>
    <s v=""/>
    <m/>
  </r>
  <r>
    <x v="695"/>
    <x v="94"/>
    <n v="179.2"/>
    <n v="0.9029017857142857"/>
    <n v="95.6"/>
    <n v="-4.6025104602510414E-2"/>
    <n v="106.8"/>
    <n v="6.367041198501866E-2"/>
    <n v="427.2"/>
    <n v="0.87968164794007486"/>
    <n v="121.63500000000001"/>
    <n v="-1.9433962264150941"/>
    <s v=""/>
    <s v=""/>
    <s v=""/>
    <m/>
  </r>
  <r>
    <x v="696"/>
    <x v="87"/>
    <n v="171"/>
    <n v="0.89824561403508774"/>
    <n v="95.7"/>
    <n v="-4.4932079414838011E-2"/>
    <n v="109.4"/>
    <n v="8.5923217550274322E-2"/>
    <n v="433.2"/>
    <n v="0.88134810710987999"/>
    <n v="118.22580000000001"/>
    <n v="-2.0282730165496869"/>
    <s v=""/>
    <s v=""/>
    <n v="34300"/>
    <m/>
  </r>
  <r>
    <x v="697"/>
    <x v="92"/>
    <n v="170.2"/>
    <n v="0.89776733254994123"/>
    <n v="94.8"/>
    <n v="-5.4852320675105481E-2"/>
    <n v="107.1"/>
    <n v="6.629318394024275E-2"/>
    <n v="428.2"/>
    <n v="0.87996263428304533"/>
    <n v="114.6155"/>
    <n v="-2.1236612849047467"/>
    <s v=""/>
    <s v=""/>
    <s v=""/>
    <m/>
  </r>
  <r>
    <x v="698"/>
    <x v="122"/>
    <n v="170.4"/>
    <n v="0.897887323943662"/>
    <n v="95.4"/>
    <n v="-4.8218029350104663E-2"/>
    <n v="104.7"/>
    <n v="4.4890162368672382E-2"/>
    <n v="424"/>
    <n v="0.87877358490566038"/>
    <n v="112.93170000000001"/>
    <n v="-2.1702347525097023"/>
    <s v=""/>
    <s v=""/>
    <s v=""/>
    <m/>
  </r>
  <r>
    <x v="699"/>
    <x v="123"/>
    <n v="168.6"/>
    <n v="0.89679715302491103"/>
    <n v="94.1"/>
    <n v="-6.2699256110520851E-2"/>
    <n v="104.5"/>
    <n v="4.3062200956937802E-2"/>
    <n v="420.2"/>
    <n v="0.87767729652546411"/>
    <n v="109.5519"/>
    <n v="-2.2680400796334883"/>
    <s v=""/>
    <s v=""/>
    <n v="31600"/>
    <m/>
  </r>
  <r>
    <x v="700"/>
    <x v="124"/>
    <n v="171.8"/>
    <n v="0.89871944121071012"/>
    <n v="92.1"/>
    <n v="-8.5776330076004381E-2"/>
    <n v="104.2"/>
    <n v="4.0307101727447225E-2"/>
    <n v="421.9"/>
    <n v="0.87817018250770329"/>
    <n v="108.8481"/>
    <n v="-2.2891708720685062"/>
    <s v=""/>
    <s v=""/>
    <s v=""/>
    <m/>
  </r>
  <r>
    <x v="701"/>
    <x v="122"/>
    <n v="183.2"/>
    <n v="0.90502183406113534"/>
    <n v="90"/>
    <n v="-0.11111111111111116"/>
    <n v="104.7"/>
    <n v="4.4890162368672382E-2"/>
    <n v="422.4"/>
    <n v="0.87831439393939392"/>
    <n v="105.3509"/>
    <n v="-2.398357299273191"/>
    <s v=""/>
    <s v=""/>
    <s v=""/>
    <m/>
  </r>
  <r>
    <x v="702"/>
    <x v="125"/>
    <n v="188.3"/>
    <n v="0.90759426447158786"/>
    <n v="86.4"/>
    <n v="-0.15740740740740744"/>
    <n v="109.2"/>
    <n v="8.4249084249084283E-2"/>
    <n v="423.4"/>
    <n v="0.87860179499291446"/>
    <n v="104.191"/>
    <n v="-2.4361893061780764"/>
    <s v=""/>
    <s v=""/>
    <n v="31300"/>
    <m/>
  </r>
  <r>
    <x v="703"/>
    <x v="126"/>
    <n v="189.2"/>
    <n v="0.90803382663847776"/>
    <n v="84.6"/>
    <n v="-0.1820330969267141"/>
    <n v="111.1"/>
    <n v="9.9909990999099918E-2"/>
    <n v="426.6"/>
    <n v="0.8795124238162213"/>
    <n v="101.2383"/>
    <n v="-2.5364086516664148"/>
    <s v=""/>
    <s v=""/>
    <s v=""/>
    <m/>
  </r>
  <r>
    <x v="704"/>
    <x v="127"/>
    <n v="189.9"/>
    <n v="0.90837282780410744"/>
    <n v="81.900000000000006"/>
    <n v="-0.22100122100122088"/>
    <n v="111.6"/>
    <n v="0.10394265232974909"/>
    <n v="427"/>
    <n v="0.87962529274004686"/>
    <n v="101.7843"/>
    <n v="-2.5174383475644082"/>
    <s v=""/>
    <s v=""/>
    <s v=""/>
    <m/>
  </r>
  <r>
    <x v="705"/>
    <x v="128"/>
    <n v="179.2"/>
    <n v="0.9029017857142857"/>
    <n v="81.599999999999994"/>
    <n v="-0.22549019607843146"/>
    <n v="112.9"/>
    <n v="0.1142604074402126"/>
    <n v="428.2"/>
    <n v="0.87996263428304533"/>
    <n v="103.9075"/>
    <n v="-2.445564564636816"/>
    <s v=""/>
    <s v=""/>
    <n v="34000"/>
    <m/>
  </r>
  <r>
    <x v="706"/>
    <x v="96"/>
    <n v="176.2"/>
    <n v="0.90124858115777529"/>
    <n v="81.8"/>
    <n v="-0.22249388753056243"/>
    <n v="112.3"/>
    <n v="0.10952804986642917"/>
    <n v="428.8"/>
    <n v="0.88013059701492535"/>
    <n v="108.443"/>
    <n v="-2.3014579087631288"/>
    <s v=""/>
    <s v=""/>
    <s v=""/>
    <m/>
  </r>
  <r>
    <x v="707"/>
    <x v="129"/>
    <n v="176.5"/>
    <n v="0.90141643059490084"/>
    <n v="82"/>
    <n v="-0.21951219512195119"/>
    <n v="114.5"/>
    <n v="0.1266375545851528"/>
    <n v="427.8"/>
    <n v="0.87985039738195425"/>
    <n v="115.99809999999999"/>
    <n v="-2.0864298639374264"/>
    <s v=""/>
    <s v=""/>
    <s v=""/>
    <m/>
  </r>
  <r>
    <x v="708"/>
    <x v="130"/>
    <n v="193.8"/>
    <n v="0.91021671826625394"/>
    <n v="81.099999999999994"/>
    <n v="-0.23304562268803952"/>
    <n v="121.2"/>
    <n v="0.17491749174917492"/>
    <n v="426.9"/>
    <n v="0.87959709533848673"/>
    <n v="114.8721"/>
    <n v="-2.116683685594674"/>
    <s v=""/>
    <s v=""/>
    <n v="41800"/>
    <m/>
  </r>
  <r>
    <x v="709"/>
    <x v="78"/>
    <n v="194.7"/>
    <n v="0.91063174114021572"/>
    <n v="81"/>
    <n v="-0.23456790123456783"/>
    <n v="118.4"/>
    <n v="0.15540540540540548"/>
    <n v="426.7"/>
    <n v="0.87954066088586824"/>
    <n v="112.91160000000001"/>
    <n v="-2.1707991030151019"/>
    <s v=""/>
    <s v=""/>
    <s v=""/>
    <m/>
  </r>
  <r>
    <x v="710"/>
    <x v="128"/>
    <n v="195.9"/>
    <n v="0.9111791730474732"/>
    <n v="80.7"/>
    <n v="-0.23915737298636919"/>
    <n v="112.9"/>
    <n v="0.1142604074402126"/>
    <n v="429"/>
    <n v="0.88018648018648016"/>
    <n v="112.9165"/>
    <n v="-2.1706615065114487"/>
    <s v=""/>
    <s v=""/>
    <s v=""/>
    <m/>
  </r>
  <r>
    <x v="711"/>
    <x v="131"/>
    <n v="196"/>
    <n v="0.91122448979591841"/>
    <n v="80.400000000000006"/>
    <n v="-0.24378109452736307"/>
    <n v="116.6"/>
    <n v="0.14236706689536871"/>
    <n v="434.1"/>
    <n v="0.8815941027413039"/>
    <n v="110.09099999999999"/>
    <n v="-2.2520369512494209"/>
    <s v=""/>
    <s v=""/>
    <n v="39100"/>
    <m/>
  </r>
  <r>
    <x v="712"/>
    <x v="131"/>
    <n v="198.2"/>
    <n v="0.91220988900100908"/>
    <n v="81"/>
    <n v="-0.23456790123456783"/>
    <n v="116.6"/>
    <n v="0.14236706689536871"/>
    <n v="434.9"/>
    <n v="0.88181191078408827"/>
    <n v="112.2436"/>
    <n v="-2.189669611452234"/>
    <s v=""/>
    <s v=""/>
    <s v=""/>
    <m/>
  </r>
  <r>
    <x v="713"/>
    <x v="79"/>
    <n v="209.8"/>
    <n v="0.91706387035271686"/>
    <n v="83.9"/>
    <n v="-0.19189511323003572"/>
    <n v="118.9"/>
    <n v="0.15895710681244746"/>
    <n v="435.8"/>
    <n v="0.88205598898577331"/>
    <n v="110.9141"/>
    <n v="-2.2279033955105794"/>
    <s v=""/>
    <s v=""/>
    <s v=""/>
    <m/>
  </r>
  <r>
    <x v="714"/>
    <x v="132"/>
    <n v="211.8"/>
    <n v="0.9178470254957507"/>
    <n v="85.3"/>
    <n v="-0.17233294255568588"/>
    <n v="117.7"/>
    <n v="0.15038232795242146"/>
    <n v="438.4"/>
    <n v="0.88275547445255476"/>
    <n v="112.417"/>
    <n v="-2.1847496375103406"/>
    <s v=""/>
    <s v=""/>
    <n v="36100"/>
    <m/>
  </r>
  <r>
    <x v="715"/>
    <x v="103"/>
    <n v="209.9"/>
    <n v="0.91710338256312529"/>
    <n v="86.5"/>
    <n v="-0.1560693641618498"/>
    <n v="116.2"/>
    <n v="0.13941480206540446"/>
    <n v="436.8"/>
    <n v="0.8823260073260073"/>
    <n v="109.827"/>
    <n v="-2.2598541342292879"/>
    <s v=""/>
    <s v=""/>
    <s v=""/>
    <m/>
  </r>
  <r>
    <x v="716"/>
    <x v="133"/>
    <n v="208.1"/>
    <n v="0.91638635271504087"/>
    <n v="86.2"/>
    <n v="-0.16009280742459397"/>
    <n v="115.5"/>
    <n v="0.13419913419913421"/>
    <n v="440"/>
    <n v="0.88318181818181818"/>
    <n v="110.776"/>
    <n v="-2.2319274933198527"/>
    <s v=""/>
    <s v=""/>
    <s v=""/>
    <m/>
  </r>
  <r>
    <x v="717"/>
    <x v="35"/>
    <n v="199.6"/>
    <n v="0.91282565130260518"/>
    <n v="87.9"/>
    <n v="-0.13765642775881681"/>
    <n v="115.3"/>
    <n v="0.13269731136166518"/>
    <n v="439"/>
    <n v="0.88291571753986331"/>
    <n v="112.9148"/>
    <n v="-2.1707092427210601"/>
    <s v=""/>
    <s v=""/>
    <n v="44600"/>
    <m/>
  </r>
  <r>
    <x v="718"/>
    <x v="98"/>
    <n v="197.9"/>
    <n v="0.91207680646791311"/>
    <n v="92.7"/>
    <n v="-7.8748651564185534E-2"/>
    <n v="115.8"/>
    <n v="0.13644214162348878"/>
    <n v="437"/>
    <n v="0.88237986270022883"/>
    <n v="112.819"/>
    <n v="-2.1734016433402172"/>
    <s v=""/>
    <s v=""/>
    <s v=""/>
    <m/>
  </r>
  <r>
    <x v="719"/>
    <x v="134"/>
    <n v="198.4"/>
    <n v="0.91229838709677424"/>
    <n v="95.5"/>
    <n v="-4.7120418848167533E-2"/>
    <n v="118"/>
    <n v="0.15254237288135597"/>
    <n v="446.8"/>
    <n v="0.88495971351835268"/>
    <n v="112.9405"/>
    <n v="-2.1699877369057159"/>
    <s v=""/>
    <s v=""/>
    <s v=""/>
    <m/>
  </r>
  <r>
    <x v="720"/>
    <x v="103"/>
    <n v="203.5"/>
    <n v="0.91449631449631452"/>
    <n v="95.1"/>
    <n v="-5.1524710830704645E-2"/>
    <n v="116.2"/>
    <n v="0.13941480206540446"/>
    <n v="446.3"/>
    <n v="0.88483083127940843"/>
    <n v="110.871"/>
    <n v="-2.2291582108937416"/>
    <s v=""/>
    <s v=""/>
    <n v="47900"/>
    <m/>
  </r>
  <r>
    <x v="721"/>
    <x v="135"/>
    <n v="205"/>
    <n v="0.91512195121951223"/>
    <n v="97.6"/>
    <n v="-2.4590163934426368E-2"/>
    <n v="124.4"/>
    <n v="0.1961414790996785"/>
    <n v="449.2"/>
    <n v="0.88557435440783616"/>
    <n v="107.97"/>
    <n v="-2.3159210891914421"/>
    <s v=""/>
    <s v=""/>
    <s v=""/>
    <m/>
  </r>
  <r>
    <x v="722"/>
    <x v="136"/>
    <n v="201.4"/>
    <n v="0.91360476663356505"/>
    <n v="105"/>
    <n v="4.7619047619047672E-2"/>
    <n v="116.7"/>
    <n v="0.14310197086546705"/>
    <n v="455"/>
    <n v="0.88703296703296708"/>
    <n v="106.0468"/>
    <n v="-2.3760566089688702"/>
    <s v=""/>
    <s v=""/>
    <s v=""/>
    <m/>
  </r>
  <r>
    <x v="723"/>
    <x v="100"/>
    <n v="198.6"/>
    <n v="0.91238670694864044"/>
    <n v="104.7"/>
    <n v="4.4890162368672382E-2"/>
    <n v="115.6"/>
    <n v="0.13494809688581311"/>
    <n v="461.3"/>
    <n v="0.88857576414480821"/>
    <n v="107.6562"/>
    <n v="-2.3255864501998027"/>
    <s v=""/>
    <s v=""/>
    <n v="48700"/>
    <m/>
  </r>
  <r>
    <x v="724"/>
    <x v="19"/>
    <n v="201.6"/>
    <n v="0.91369047619047616"/>
    <n v="104.8"/>
    <n v="4.5801526717557217E-2"/>
    <n v="114.9"/>
    <n v="0.1296779808529156"/>
    <n v="465.9"/>
    <n v="0.88967589611504616"/>
    <n v="109.68819999999999"/>
    <n v="-2.2639791700474619"/>
    <s v=""/>
    <s v=""/>
    <s v=""/>
    <m/>
  </r>
  <r>
    <x v="725"/>
    <x v="137"/>
    <n v="213.3"/>
    <n v="0.91842475386779188"/>
    <n v="105.2"/>
    <n v="4.9429657794676785E-2"/>
    <n v="115.2"/>
    <n v="0.13194444444444442"/>
    <n v="470.1"/>
    <n v="0.89066156136992136"/>
    <n v="110.0638"/>
    <n v="-2.2528406251646769"/>
    <s v=""/>
    <s v=""/>
    <s v=""/>
    <m/>
  </r>
  <r>
    <x v="726"/>
    <x v="138"/>
    <n v="216.3"/>
    <n v="0.91955617198335649"/>
    <n v="108.2"/>
    <n v="7.578558225508325E-2"/>
    <n v="116"/>
    <n v="0.13793103448275867"/>
    <n v="475.7"/>
    <n v="0.89194870716838348"/>
    <n v="111.521"/>
    <n v="-2.2103370665614546"/>
    <s v=""/>
    <s v=""/>
    <n v="53500"/>
    <m/>
  </r>
  <r>
    <x v="727"/>
    <x v="13"/>
    <n v="216.2"/>
    <n v="0.91951896392229415"/>
    <n v="105.8"/>
    <n v="5.4820415879016982E-2"/>
    <n v="116.1"/>
    <n v="0.1386735572782084"/>
    <n v="478.7"/>
    <n v="0.89262586170879465"/>
    <n v="110.9965"/>
    <n v="-2.2255071105845681"/>
    <s v=""/>
    <s v=""/>
    <s v=""/>
    <m/>
  </r>
  <r>
    <x v="728"/>
    <x v="100"/>
    <n v="213.5"/>
    <n v="0.91850117096018735"/>
    <n v="106.6"/>
    <n v="6.1913696060037493E-2"/>
    <n v="115.6"/>
    <n v="0.13494809688581311"/>
    <n v="478.5"/>
    <n v="0.89258098223615467"/>
    <n v="112.09739999999999"/>
    <n v="-2.1938296517135991"/>
    <s v=""/>
    <s v=""/>
    <s v=""/>
    <m/>
  </r>
  <r>
    <x v="729"/>
    <x v="13"/>
    <n v="206.1"/>
    <n v="0.9155749636098981"/>
    <n v="107.9"/>
    <n v="7.3215940685820269E-2"/>
    <n v="116.1"/>
    <n v="0.1386735572782084"/>
    <n v="479.6"/>
    <n v="0.89282735613010844"/>
    <n v="112.7218"/>
    <n v="-2.1761380673481083"/>
    <s v=""/>
    <s v=""/>
    <n v="54200"/>
    <m/>
  </r>
  <r>
    <x v="730"/>
    <x v="80"/>
    <n v="200.7"/>
    <n v="0.91330343796711511"/>
    <n v="108.7"/>
    <n v="8.0036798528058894E-2"/>
    <n v="119.4"/>
    <n v="0.16247906197654949"/>
    <n v="478.7"/>
    <n v="0.89262586170879465"/>
    <n v="113.33799999999999"/>
    <n v="-2.1588699288852813"/>
    <s v=""/>
    <s v=""/>
    <s v=""/>
    <m/>
  </r>
  <r>
    <x v="731"/>
    <x v="139"/>
    <n v="201.4"/>
    <n v="0.91360476663356505"/>
    <n v="110.6"/>
    <n v="9.5840867992766698E-2"/>
    <n v="130.6"/>
    <n v="0.23430321592649306"/>
    <n v="480.2"/>
    <n v="0.89296126613910864"/>
    <n v="112.1994"/>
    <n v="-2.1909261546853189"/>
    <s v=""/>
    <s v=""/>
    <s v=""/>
    <m/>
  </r>
  <r>
    <x v="732"/>
    <x v="109"/>
    <n v="204.7"/>
    <n v="0.91499755740107469"/>
    <n v="111.2"/>
    <n v="0.10071942446043169"/>
    <n v="126.2"/>
    <n v="0.20760697305863707"/>
    <n v="481.2"/>
    <n v="0.89318370739817121"/>
    <n v="108.9605"/>
    <n v="-2.2857778736331054"/>
    <s v=""/>
    <s v=""/>
    <n v="41200"/>
    <m/>
  </r>
  <r>
    <x v="733"/>
    <x v="21"/>
    <n v="203.9"/>
    <n v="0.91466405100539483"/>
    <n v="112.3"/>
    <n v="0.10952804986642917"/>
    <n v="121.5"/>
    <n v="0.17695473251028804"/>
    <n v="480.7"/>
    <n v="0.89307260245475351"/>
    <n v="110.44"/>
    <n v="-2.2417602318000722"/>
    <s v=""/>
    <s v=""/>
    <s v=""/>
    <m/>
  </r>
  <r>
    <x v="734"/>
    <x v="111"/>
    <n v="201.9"/>
    <n v="0.91381872213967308"/>
    <n v="110.4"/>
    <n v="9.4202898550724723E-2"/>
    <n v="119.3"/>
    <n v="0.16177703269069565"/>
    <n v="477.3"/>
    <n v="0.89231091556672948"/>
    <n v="111.1443"/>
    <n v="-2.2212178222364978"/>
    <s v=""/>
    <s v=""/>
    <s v=""/>
    <m/>
  </r>
  <r>
    <x v="735"/>
    <x v="140"/>
    <n v="199.5"/>
    <n v="0.91278195488721803"/>
    <n v="111.4"/>
    <n v="0.10233393177737882"/>
    <n v="118.3"/>
    <n v="0.15469146238377007"/>
    <n v="476.3"/>
    <n v="0.89208482049128701"/>
    <n v="111.6414"/>
    <n v="-2.2068748690002091"/>
    <s v=""/>
    <s v=""/>
    <n v="45400"/>
    <m/>
  </r>
  <r>
    <x v="736"/>
    <x v="141"/>
    <n v="201.5"/>
    <n v="0.91364764267990073"/>
    <n v="109.5"/>
    <n v="8.6757990867579959E-2"/>
    <n v="115.4"/>
    <n v="0.13344887348353562"/>
    <n v="478.1"/>
    <n v="0.89249111064630826"/>
    <n v="109.9714"/>
    <n v="-2.2555737218949652"/>
    <s v=""/>
    <s v=""/>
    <s v=""/>
    <m/>
  </r>
  <r>
    <x v="737"/>
    <x v="141"/>
    <n v="209.5"/>
    <n v="0.91694510739856805"/>
    <n v="108.4"/>
    <n v="7.7490774907749138E-2"/>
    <n v="115.4"/>
    <n v="0.13344887348353562"/>
    <n v="487.1"/>
    <n v="0.89447752001642378"/>
    <n v="108.0685"/>
    <n v="-2.312898763284398"/>
    <s v=""/>
    <s v=""/>
    <s v=""/>
    <m/>
  </r>
  <r>
    <x v="738"/>
    <x v="115"/>
    <n v="211.7"/>
    <n v="0.9178082191780822"/>
    <n v="106.8"/>
    <n v="6.367041198501866E-2"/>
    <n v="113.6"/>
    <n v="0.11971830985915488"/>
    <n v="487.2"/>
    <n v="0.89449917898193765"/>
    <n v="108.2864"/>
    <n v="-2.3062323615892666"/>
    <s v=""/>
    <s v=""/>
    <n v="40200"/>
    <m/>
  </r>
  <r>
    <x v="739"/>
    <x v="15"/>
    <n v="214.9"/>
    <n v="0.91903210795718937"/>
    <n v="105"/>
    <n v="4.7619047619047672E-2"/>
    <n v="113"/>
    <n v="0.11504424778761058"/>
    <n v="488.2"/>
    <n v="0.89471528062269567"/>
    <n v="106.18859999999999"/>
    <n v="-2.3715483582983485"/>
    <s v=""/>
    <s v=""/>
    <s v=""/>
    <m/>
  </r>
  <r>
    <x v="740"/>
    <x v="85"/>
    <n v="212.6"/>
    <n v="0.91815616180620885"/>
    <n v="105.3"/>
    <n v="5.0332383665717018E-2"/>
    <n v="112.6"/>
    <n v="0.11190053285968027"/>
    <n v="487.7"/>
    <n v="0.89460734057822433"/>
    <n v="107.54"/>
    <n v="-2.3291798400595125"/>
    <s v=""/>
    <s v=""/>
    <s v=""/>
    <m/>
  </r>
  <r>
    <x v="741"/>
    <x v="142"/>
    <n v="193.4"/>
    <n v="0.91003102378490175"/>
    <n v="104.9"/>
    <n v="4.6711153479504386E-2"/>
    <n v="114"/>
    <n v="0.1228070175438597"/>
    <n v="489.2"/>
    <n v="0.89493049877350772"/>
    <n v="108.13679999999999"/>
    <n v="-2.3108063120047939"/>
    <s v=""/>
    <s v=""/>
    <n v="41300"/>
    <m/>
  </r>
  <r>
    <x v="742"/>
    <x v="12"/>
    <n v="192.4"/>
    <n v="0.90956340956340953"/>
    <n v="102.3"/>
    <n v="2.2482893450635366E-2"/>
    <n v="116.5"/>
    <n v="0.14163090128755362"/>
    <n v="489.4"/>
    <n v="0.89497343686146302"/>
    <n v="108.8579"/>
    <n v="-2.2888747624196313"/>
    <s v=""/>
    <s v=""/>
    <s v=""/>
    <m/>
  </r>
  <r>
    <x v="743"/>
    <x v="138"/>
    <n v="194.3"/>
    <n v="0.91044776119402981"/>
    <n v="95.3"/>
    <n v="-4.9317943336831149E-2"/>
    <n v="116"/>
    <n v="0.13793103448275867"/>
    <n v="490.1"/>
    <n v="0.89512344419506218"/>
    <n v="109.101"/>
    <n v="-2.2815464569527317"/>
    <s v=""/>
    <s v=""/>
    <s v=""/>
    <m/>
  </r>
  <r>
    <x v="744"/>
    <x v="141"/>
    <n v="194.6"/>
    <n v="0.91058581706063724"/>
    <n v="92"/>
    <n v="-8.6956521739130377E-2"/>
    <n v="115.4"/>
    <n v="0.13344887348353562"/>
    <n v="490.3"/>
    <n v="0.89516622476035079"/>
    <n v="109.2667"/>
    <n v="-2.2765700803630016"/>
    <s v=""/>
    <s v=""/>
    <n v="44800"/>
    <m/>
  </r>
  <r>
    <x v="745"/>
    <x v="16"/>
    <n v="195.8"/>
    <n v="0.91113381001021454"/>
    <n v="91.7"/>
    <n v="-9.0512540894220228E-2"/>
    <n v="112.8"/>
    <n v="0.11347517730496448"/>
    <n v="490.8"/>
    <n v="0.89527302363488181"/>
    <n v="110.0295"/>
    <n v="-2.2538546480716533"/>
    <s v=""/>
    <s v=""/>
    <s v=""/>
    <m/>
  </r>
  <r>
    <x v="746"/>
    <x v="97"/>
    <n v="194.9"/>
    <n v="0.91072344792201132"/>
    <n v="82.6"/>
    <n v="-0.21065375302663436"/>
    <n v="111.8"/>
    <n v="0.10554561717352418"/>
    <n v="489.9"/>
    <n v="0.89508062869973459"/>
    <n v="107.6673"/>
    <n v="-2.3252435976382801"/>
    <s v=""/>
    <s v=""/>
    <s v=""/>
    <m/>
  </r>
  <r>
    <x v="747"/>
    <x v="125"/>
    <n v="194.7"/>
    <n v="0.91063174114021572"/>
    <n v="77.5"/>
    <n v="-0.29032258064516125"/>
    <n v="109.2"/>
    <n v="8.4249084249084283E-2"/>
    <n v="489.6"/>
    <n v="0.89501633986928109"/>
    <n v="107.73860000000001"/>
    <n v="-2.3230429948040903"/>
    <s v=""/>
    <s v=""/>
    <n v="25000"/>
    <m/>
  </r>
  <r>
    <x v="748"/>
    <x v="143"/>
    <n v="194.6"/>
    <n v="0.91058581706063724"/>
    <n v="76"/>
    <n v="-0.31578947368421062"/>
    <n v="110.2"/>
    <n v="9.2558983666061745E-2"/>
    <n v="486.9"/>
    <n v="0.89443417539535841"/>
    <n v="107.2"/>
    <n v="-2.3397388059701489"/>
    <s v=""/>
    <s v=""/>
    <s v=""/>
    <m/>
  </r>
  <r>
    <x v="749"/>
    <x v="86"/>
    <n v="209.2"/>
    <n v="0.91682600382409174"/>
    <n v="78.900000000000006"/>
    <n v="-0.26742712294043081"/>
    <n v="110"/>
    <n v="9.0909090909090939E-2"/>
    <n v="486.5"/>
    <n v="0.89434737923946561"/>
    <n v="107.5782"/>
    <n v="-2.3279976798273254"/>
    <s v=""/>
    <s v=""/>
    <s v=""/>
    <m/>
  </r>
  <r>
    <x v="750"/>
    <x v="144"/>
    <n v="211.9"/>
    <n v="0.91788579518640867"/>
    <n v="78.599999999999994"/>
    <n v="-0.27226463104325704"/>
    <n v="108.4"/>
    <n v="7.7490774907749138E-2"/>
    <n v="483.4"/>
    <n v="0.8936698386429458"/>
    <n v="106.6818"/>
    <n v="-2.3559613729802082"/>
    <s v=""/>
    <s v=""/>
    <n v="30200"/>
    <m/>
  </r>
  <r>
    <x v="751"/>
    <x v="145"/>
    <n v="211.9"/>
    <n v="0.91788579518640867"/>
    <n v="76.5"/>
    <n v="-0.30718954248366015"/>
    <n v="111.2"/>
    <n v="0.10071942446043169"/>
    <n v="484.2"/>
    <n v="0.89384551838083437"/>
    <n v="106.0129"/>
    <n v="-2.3771361787103267"/>
    <s v=""/>
    <s v=""/>
    <s v=""/>
    <m/>
  </r>
  <r>
    <x v="752"/>
    <x v="136"/>
    <n v="214.1"/>
    <n v="0.91872956562354036"/>
    <n v="76.099999999999994"/>
    <n v="-0.31406044678055189"/>
    <n v="116.7"/>
    <n v="0.14310197086546705"/>
    <n v="484.4"/>
    <n v="0.89388934764657302"/>
    <n v="105.589"/>
    <n v="-2.3906941063936582"/>
    <s v=""/>
    <s v=""/>
    <s v=""/>
    <m/>
  </r>
  <r>
    <x v="753"/>
    <x v="146"/>
    <n v="197.6"/>
    <n v="0.91194331983805665"/>
    <n v="76.400000000000006"/>
    <n v="-0.30890052356020936"/>
    <n v="127.5"/>
    <n v="0.21568627450980393"/>
    <n v="484.5"/>
    <n v="0.89391124871001026"/>
    <n v="105.20950000000001"/>
    <n v="-2.4029246408356655"/>
    <s v=""/>
    <s v=""/>
    <n v="31300"/>
    <m/>
  </r>
  <r>
    <x v="754"/>
    <x v="147"/>
    <n v="194.9"/>
    <n v="0.91072344792201132"/>
    <n v="76.599999999999994"/>
    <n v="-0.30548302872062671"/>
    <n v="136"/>
    <n v="0.26470588235294112"/>
    <n v="486.7"/>
    <n v="0.89439079515101705"/>
    <n v="104.4061"/>
    <n v="-2.4291099849529862"/>
    <s v=""/>
    <s v=""/>
    <s v=""/>
    <m/>
  </r>
  <r>
    <x v="755"/>
    <x v="108"/>
    <n v="194.6"/>
    <n v="0.91058581706063724"/>
    <n v="77.400000000000006"/>
    <n v="-0.29198966408268734"/>
    <n v="130.19999999999999"/>
    <n v="0.23195084485407058"/>
    <n v="486.3"/>
    <n v="0.89430392761669752"/>
    <n v="103.79519999999999"/>
    <n v="-2.4492924528301887"/>
    <s v=""/>
    <s v=""/>
    <s v=""/>
    <m/>
  </r>
  <r>
    <x v="756"/>
    <x v="21"/>
    <n v="196.1"/>
    <n v="0.91126976032636409"/>
    <n v="77.5"/>
    <n v="-0.29032258064516125"/>
    <n v="121.5"/>
    <n v="0.17695473251028804"/>
    <n v="489.5"/>
    <n v="0.89499489274770172"/>
    <n v="103.78830000000001"/>
    <n v="-2.4495217669043616"/>
    <s v=""/>
    <s v=""/>
    <n v="38800"/>
    <m/>
  </r>
  <r>
    <x v="757"/>
    <x v="148"/>
    <n v="196.6"/>
    <n v="0.91149542217700918"/>
    <n v="79.8"/>
    <n v="-0.25313283208020065"/>
    <n v="123.6"/>
    <n v="0.19093851132686079"/>
    <n v="491.2"/>
    <n v="0.89535830618892509"/>
    <n v="105.37739999999999"/>
    <n v="-2.3975026903301848"/>
    <s v=""/>
    <s v=""/>
    <s v=""/>
    <m/>
  </r>
  <r>
    <x v="758"/>
    <x v="149"/>
    <n v="211.6"/>
    <n v="0.91776937618147447"/>
    <n v="81"/>
    <n v="-0.23456790123456783"/>
    <n v="126"/>
    <n v="0.20634920634920639"/>
    <n v="502.2"/>
    <n v="0.89765033851055354"/>
    <n v="108.6991"/>
    <n v="-2.2936795244854831"/>
    <s v=""/>
    <s v=""/>
    <s v=""/>
    <m/>
  </r>
  <r>
    <x v="759"/>
    <x v="30"/>
    <n v="198.1"/>
    <n v="0.91216557294295808"/>
    <n v="82.9"/>
    <n v="-0.20627261761158011"/>
    <n v="127.7"/>
    <n v="0.21691464369616287"/>
    <n v="514.5"/>
    <n v="0.90009718172983477"/>
    <n v="109.0445"/>
    <n v="-2.2832467478873304"/>
    <s v=""/>
    <s v=""/>
    <n v="47700"/>
    <m/>
  </r>
  <r>
    <x v="760"/>
    <x v="150"/>
    <n v="199.9"/>
    <n v="0.91295647823911952"/>
    <n v="98.7"/>
    <n v="-1.3171225937183451E-2"/>
    <n v="138.9"/>
    <n v="0.28005759539236863"/>
    <n v="515.6"/>
    <n v="0.9003103180760279"/>
    <n v="109.11199999999999"/>
    <n v="-2.2812156316445487"/>
    <s v=""/>
    <s v=""/>
    <s v=""/>
    <m/>
  </r>
  <r>
    <x v="761"/>
    <x v="151"/>
    <n v="217.1"/>
    <n v="0.91985260248733303"/>
    <n v="101.6"/>
    <n v="1.5748031496062964E-2"/>
    <n v="134.19999999999999"/>
    <n v="0.2548435171385991"/>
    <n v="518.6"/>
    <n v="0.90088700347088313"/>
    <n v="110.1073"/>
    <n v="-2.2515555281075823"/>
    <s v=""/>
    <s v=""/>
    <s v=""/>
    <m/>
  </r>
  <r>
    <x v="762"/>
    <x v="152"/>
    <n v="221.232"/>
    <n v="0.92134953352137128"/>
    <n v="106.782"/>
    <n v="6.3512577026090478E-2"/>
    <n v="141.714"/>
    <n v="0.294353416035113"/>
    <n v="527.17999999999995"/>
    <n v="0.90250009484426574"/>
    <n v="110.21429999999999"/>
    <n v="-2.2483988012444844"/>
    <s v=""/>
    <s v=""/>
    <n v="53500"/>
    <m/>
  </r>
  <r>
    <x v="763"/>
    <x v="153"/>
    <n v="222.61500000000001"/>
    <n v="0.92183815106798739"/>
    <n v="105.745"/>
    <n v="5.4328809872807304E-2"/>
    <n v="145.68100000000001"/>
    <n v="0.31356868774926039"/>
    <n v="535.18799999999999"/>
    <n v="0.90395898263787677"/>
    <n v="109.8527"/>
    <n v="-2.2590914925167973"/>
    <s v=""/>
    <s v=""/>
    <s v=""/>
    <m/>
  </r>
  <r>
    <x v="764"/>
    <x v="154"/>
    <n v="219.977"/>
    <n v="0.92090082144951513"/>
    <n v="105.26600000000001"/>
    <n v="5.0025649307468778E-2"/>
    <n v="149.16900000000001"/>
    <n v="0.32961942494754282"/>
    <n v="536.46500000000003"/>
    <n v="0.90418759844537855"/>
    <n v="110.161"/>
    <n v="-2.2499704977260553"/>
    <s v=""/>
    <s v=""/>
    <s v=""/>
    <m/>
  </r>
  <r>
    <x v="765"/>
    <x v="155"/>
    <n v="213.345"/>
    <n v="0.91844196020530133"/>
    <n v="107.027"/>
    <n v="6.5656329711194394E-2"/>
    <n v="163.68100000000001"/>
    <n v="0.38905554096077133"/>
    <n v="555.524"/>
    <n v="0.90747474456549138"/>
    <n v="113.1215"/>
    <n v="-2.1649155995986615"/>
    <s v=""/>
    <s v=""/>
    <n v="60700"/>
    <m/>
  </r>
  <r>
    <x v="766"/>
    <x v="156"/>
    <n v="211.864"/>
    <n v="0.91787184231393726"/>
    <n v="107.54900000000001"/>
    <n v="7.0191261657477133E-2"/>
    <n v="181.01499999999999"/>
    <n v="0.44755959450874228"/>
    <n v="555.41300000000001"/>
    <n v="0.90745625327459023"/>
    <n v="113.965"/>
    <n v="-2.1414908085815818"/>
    <s v=""/>
    <s v=""/>
    <s v=""/>
    <m/>
  </r>
  <r>
    <x v="767"/>
    <x v="157"/>
    <n v="210.08199999999999"/>
    <n v="0.91717519825591909"/>
    <n v="118.152"/>
    <n v="0.15363260884284646"/>
    <n v="178.464"/>
    <n v="0.43966290120136275"/>
    <n v="556.33199999999999"/>
    <n v="0.90760912548622041"/>
    <n v="113.8329"/>
    <n v="-2.1451364236525645"/>
    <s v=""/>
    <s v=""/>
    <s v=""/>
    <m/>
  </r>
  <r>
    <x v="768"/>
    <x v="158"/>
    <n v="220.00800000000001"/>
    <n v="0.9209119668375696"/>
    <n v="121.119"/>
    <n v="0.1743657064539833"/>
    <n v="174.83500000000001"/>
    <n v="0.42803214459347383"/>
    <n v="561.06200000000001"/>
    <n v="0.90838802128819984"/>
    <n v="114.82550000000001"/>
    <n v="-2.1179485393052935"/>
    <s v=""/>
    <s v=""/>
    <n v="64600"/>
    <m/>
  </r>
  <r>
    <x v="769"/>
    <x v="159"/>
    <n v="224.99799999999999"/>
    <n v="0.92266597925314886"/>
    <n v="129.065"/>
    <n v="0.22519660636113581"/>
    <n v="171.477"/>
    <n v="0.41683141179283523"/>
    <n v="563.44299999999998"/>
    <n v="0.90877515560580213"/>
    <n v="115.27630000000001"/>
    <n v="-2.1057554761906823"/>
    <s v=""/>
    <s v=""/>
    <s v=""/>
    <m/>
  </r>
  <r>
    <x v="770"/>
    <x v="160"/>
    <n v="221.40199999999999"/>
    <n v="0.92140992402959321"/>
    <n v="131.875"/>
    <n v="0.24170616113744081"/>
    <n v="159.255"/>
    <n v="0.37207622994568457"/>
    <n v="569.94399999999996"/>
    <n v="0.90981570119169608"/>
    <n v="118.5774"/>
    <n v="-2.0192937271351874"/>
    <s v=""/>
    <s v=""/>
    <s v=""/>
    <m/>
  </r>
  <r>
    <x v="771"/>
    <x v="161"/>
    <n v="219.76400000000001"/>
    <n v="0.92082415682277352"/>
    <n v="137.83099999999999"/>
    <n v="0.27447381213224886"/>
    <n v="165.28100000000001"/>
    <n v="0.39496977874044814"/>
    <n v="597.36500000000001"/>
    <n v="0.91395545437044357"/>
    <n v="126.37430000000001"/>
    <n v="-1.833012724897388"/>
    <n v="7.3481652808650217"/>
    <n v="-1.6295811869867977E-2"/>
    <n v="86100"/>
    <m/>
  </r>
  <r>
    <x v="772"/>
    <x v="162"/>
    <n v="223.78800000000001"/>
    <n v="0.92224784170733021"/>
    <n v="163.72900000000001"/>
    <n v="0.38923464993983969"/>
    <n v="184.58199999999999"/>
    <n v="0.45823536422836464"/>
    <n v="596.49"/>
    <n v="0.91382923435430607"/>
    <n v="128.8486"/>
    <n v="-1.7786099344501993"/>
    <n v="8.4824246302878752"/>
    <n v="0.11764749356136329"/>
    <s v=""/>
    <m/>
  </r>
  <r>
    <x v="773"/>
    <x v="163"/>
    <n v="237.71799999999999"/>
    <n v="0.92680402830244235"/>
    <n v="171.95400000000001"/>
    <n v="0.41844912011351876"/>
    <n v="203.37700000000001"/>
    <n v="0.50830231540439685"/>
    <n v="633.42399999999998"/>
    <n v="0.91885372199348303"/>
    <n v="133.96190000000001"/>
    <n v="-1.672550926793364"/>
    <n v="8.7052369468193422"/>
    <n v="0.1412159783449306"/>
    <s v=""/>
    <m/>
  </r>
  <r>
    <x v="774"/>
    <x v="164"/>
    <n v="248.316"/>
    <n v="0.92992799497414591"/>
    <n v="165.876"/>
    <n v="0.39714003231329431"/>
    <n v="186.20599999999999"/>
    <n v="0.46296037721663097"/>
    <n v="652.29600000000005"/>
    <n v="0.92120141776126174"/>
    <n v="136.709"/>
    <n v="-1.6188473326554944"/>
    <n v="10.407837549127276"/>
    <n v="0.28234323836039255"/>
    <n v="81400"/>
    <m/>
  </r>
  <r>
    <x v="775"/>
    <x v="165"/>
    <n v="251.47800000000001"/>
    <n v="0.93080905685586812"/>
    <n v="151.453"/>
    <n v="0.33972915690016048"/>
    <n v="192.55600000000001"/>
    <n v="0.48067055817528415"/>
    <n v="655.67100000000005"/>
    <n v="0.92160702547466644"/>
    <n v="135.2835"/>
    <n v="-1.6464424708112961"/>
    <n v="9.0019245698184776"/>
    <n v="0.16995940027201661"/>
    <s v=""/>
    <m/>
  </r>
  <r>
    <x v="776"/>
    <x v="166"/>
    <n v="254.327"/>
    <n v="0.931584141675874"/>
    <n v="153.60300000000001"/>
    <n v="0.34897104874253759"/>
    <n v="196.261"/>
    <n v="0.49047441926821933"/>
    <n v="673.96900000000005"/>
    <n v="0.92373536468294537"/>
    <n v="143.2843"/>
    <n v="-1.4986687306285473"/>
    <n v="10.220569517532436"/>
    <n v="0.26810325754059527"/>
    <s v=""/>
    <m/>
  </r>
  <r>
    <x v="777"/>
    <x v="167"/>
    <n v="238.315"/>
    <n v="0.92698739063844071"/>
    <n v="153.137"/>
    <n v="0.34698995017533318"/>
    <n v="188.66399999999999"/>
    <n v="0.46995717253954117"/>
    <n v="684.56399999999996"/>
    <n v="0.92491571277484641"/>
    <n v="147.0515"/>
    <n v="-1.4346572459308473"/>
    <n v="10.820248982550481"/>
    <n v="0.31008405465326044"/>
    <n v="72500"/>
    <m/>
  </r>
  <r>
    <x v="778"/>
    <x v="168"/>
    <n v="228.934"/>
    <n v="0.92399556203971445"/>
    <n v="121.44799999999999"/>
    <n v="0.17660233186219609"/>
    <n v="184.45400000000001"/>
    <n v="0.4578594121027465"/>
    <n v="686.822"/>
    <n v="0.92516256031402611"/>
    <n v="142.44499999999999"/>
    <n v="-1.5133911334199164"/>
    <n v="10.982321954131869"/>
    <n v="0.31983911873296617"/>
    <s v=""/>
    <m/>
  </r>
  <r>
    <x v="779"/>
    <x v="169"/>
    <n v="234.03"/>
    <n v="0.92565055762081783"/>
    <n v="119.12"/>
    <n v="0.16051040967092012"/>
    <n v="188.68199999999999"/>
    <n v="0.47000773788702677"/>
    <n v="686.55600000000004"/>
    <n v="0.92513356521536483"/>
    <n v="134.91480000000001"/>
    <n v="-1.6536747636286009"/>
    <n v="10.313448056202981"/>
    <n v="0.25724717339519759"/>
    <s v=""/>
    <m/>
  </r>
  <r>
    <x v="780"/>
    <x v="170"/>
    <n v="255.50200000000001"/>
    <n v="0.9318987718295747"/>
    <n v="119.242"/>
    <n v="0.1613693161805404"/>
    <n v="202.40100000000001"/>
    <n v="0.50593129480585575"/>
    <n v="682.928"/>
    <n v="0.92473584330998293"/>
    <n v="130.44749999999999"/>
    <n v="-1.7445524061404014"/>
    <n v="9.8547264346742249"/>
    <n v="0.23237678018111727"/>
    <n v="60000"/>
    <m/>
  </r>
  <r>
    <x v="781"/>
    <x v="171"/>
    <n v="245.154"/>
    <n v="0.92902420519347029"/>
    <n v="118.568"/>
    <n v="0.15660211861547801"/>
    <n v="188.57599999999999"/>
    <n v="0.4697098252163584"/>
    <n v="678.94299999999998"/>
    <n v="0.92429408654334755"/>
    <n v="133.0463"/>
    <n v="-1.6909429273869319"/>
    <n v="10.215999456893478"/>
    <n v="0.26815236194895914"/>
    <s v=""/>
    <m/>
  </r>
  <r>
    <x v="782"/>
    <x v="0"/>
    <s v=""/>
    <s v=""/>
    <s v=""/>
    <s v=""/>
    <s v=""/>
    <s v=""/>
    <s v=""/>
    <s v=""/>
    <n v="133.6643"/>
    <n v="-1.6785012901724694"/>
    <n v="10.837633591958465"/>
    <n v="0.31097204375207038"/>
    <s v=""/>
    <m/>
  </r>
  <r>
    <x v="783"/>
    <x v="0"/>
    <s v=""/>
    <s v=""/>
    <s v=""/>
    <s v=""/>
    <s v=""/>
    <s v=""/>
    <s v=""/>
    <s v=""/>
    <s v=""/>
    <s v=""/>
    <n v="11.03293679131675"/>
    <n v="0.32354436658929975"/>
    <n v="0"/>
    <m/>
  </r>
  <r>
    <x v="784"/>
    <x v="0"/>
    <s v=""/>
    <s v=""/>
    <s v=""/>
    <s v=""/>
    <s v=""/>
    <s v=""/>
    <s v=""/>
    <s v=""/>
    <s v=""/>
    <s v=""/>
    <s v=""/>
    <s v=""/>
    <s v=""/>
    <m/>
  </r>
  <r>
    <x v="785"/>
    <x v="0"/>
    <s v=""/>
    <s v=""/>
    <s v=""/>
    <s v=""/>
    <s v=""/>
    <s v=""/>
    <s v=""/>
    <s v=""/>
    <s v=""/>
    <s v=""/>
    <s v=""/>
    <s v=""/>
    <s v=""/>
    <m/>
  </r>
  <r>
    <x v="786"/>
    <x v="0"/>
    <s v=""/>
    <s v=""/>
    <s v=""/>
    <s v=""/>
    <s v=""/>
    <s v=""/>
    <s v=""/>
    <s v=""/>
    <s v=""/>
    <s v=""/>
    <s v=""/>
    <s v=""/>
    <n v="0"/>
    <m/>
  </r>
  <r>
    <x v="787"/>
    <x v="0"/>
    <s v=""/>
    <s v=""/>
    <s v=""/>
    <s v=""/>
    <s v=""/>
    <s v=""/>
    <s v=""/>
    <s v=""/>
    <s v=""/>
    <s v=""/>
    <s v=""/>
    <s v=""/>
    <s v=""/>
    <m/>
  </r>
  <r>
    <x v="788"/>
    <x v="0"/>
    <s v=""/>
    <s v=""/>
    <s v=""/>
    <s v=""/>
    <s v=""/>
    <s v=""/>
    <s v=""/>
    <s v=""/>
    <s v=""/>
    <s v=""/>
    <s v=""/>
    <s v=""/>
    <s v=""/>
    <m/>
  </r>
  <r>
    <x v="789"/>
    <x v="0"/>
    <s v=""/>
    <s v=""/>
    <s v=""/>
    <s v=""/>
    <s v=""/>
    <s v=""/>
    <s v=""/>
    <s v=""/>
    <s v=""/>
    <s v=""/>
    <s v=""/>
    <s v=""/>
    <n v="0"/>
    <m/>
  </r>
  <r>
    <x v="790"/>
    <x v="0"/>
    <s v=""/>
    <s v=""/>
    <s v=""/>
    <s v=""/>
    <s v=""/>
    <s v=""/>
    <s v=""/>
    <s v=""/>
    <s v=""/>
    <s v=""/>
    <s v=""/>
    <s v=""/>
    <s v=""/>
    <m/>
  </r>
  <r>
    <x v="791"/>
    <x v="0"/>
    <s v=""/>
    <s v=""/>
    <s v=""/>
    <s v=""/>
    <s v=""/>
    <s v=""/>
    <s v=""/>
    <s v=""/>
    <s v=""/>
    <s v=""/>
    <s v=""/>
    <s v=""/>
    <s v=""/>
    <m/>
  </r>
  <r>
    <x v="792"/>
    <x v="0"/>
    <s v=""/>
    <s v=""/>
    <s v=""/>
    <s v=""/>
    <s v=""/>
    <s v=""/>
    <s v=""/>
    <s v=""/>
    <s v=""/>
    <s v=""/>
    <s v=""/>
    <s v=""/>
    <s v=""/>
    <m/>
  </r>
  <r>
    <x v="793"/>
    <x v="0"/>
    <s v=""/>
    <s v=""/>
    <s v=""/>
    <s v=""/>
    <s v=""/>
    <s v=""/>
    <s v=""/>
    <s v=""/>
    <s v=""/>
    <s v=""/>
    <s v=""/>
    <s v=""/>
    <s v=""/>
    <m/>
  </r>
  <r>
    <x v="794"/>
    <x v="0"/>
    <s v=""/>
    <s v=""/>
    <s v=""/>
    <s v=""/>
    <s v=""/>
    <s v=""/>
    <s v=""/>
    <s v=""/>
    <s v=""/>
    <s v=""/>
    <s v=""/>
    <s v=""/>
    <s v=""/>
    <m/>
  </r>
  <r>
    <x v="795"/>
    <x v="0"/>
    <s v=""/>
    <s v=""/>
    <s v=""/>
    <s v=""/>
    <s v=""/>
    <s v=""/>
    <s v=""/>
    <s v=""/>
    <s v=""/>
    <s v=""/>
    <s v=""/>
    <s v=""/>
    <s v=""/>
    <m/>
  </r>
  <r>
    <x v="796"/>
    <x v="0"/>
    <s v=""/>
    <s v=""/>
    <s v=""/>
    <s v=""/>
    <s v=""/>
    <s v=""/>
    <s v=""/>
    <s v=""/>
    <s v=""/>
    <s v=""/>
    <s v=""/>
    <s v=""/>
    <s v=""/>
    <m/>
  </r>
  <r>
    <x v="797"/>
    <x v="0"/>
    <s v=""/>
    <s v=""/>
    <s v=""/>
    <s v=""/>
    <s v=""/>
    <s v=""/>
    <s v=""/>
    <s v=""/>
    <s v=""/>
    <s v=""/>
    <s v=""/>
    <s v=""/>
    <s v=""/>
    <m/>
  </r>
  <r>
    <x v="798"/>
    <x v="0"/>
    <s v=""/>
    <s v=""/>
    <s v=""/>
    <s v=""/>
    <s v=""/>
    <s v=""/>
    <s v=""/>
    <s v=""/>
    <s v=""/>
    <s v=""/>
    <s v=""/>
    <s v=""/>
    <s v=""/>
    <m/>
  </r>
  <r>
    <x v="799"/>
    <x v="0"/>
    <s v=""/>
    <s v=""/>
    <s v=""/>
    <s v=""/>
    <s v=""/>
    <s v=""/>
    <s v=""/>
    <s v=""/>
    <s v=""/>
    <s v=""/>
    <s v=""/>
    <s v=""/>
    <s v=""/>
    <m/>
  </r>
  <r>
    <x v="800"/>
    <x v="0"/>
    <s v=""/>
    <s v=""/>
    <s v=""/>
    <s v=""/>
    <s v=""/>
    <s v=""/>
    <s v=""/>
    <s v=""/>
    <s v=""/>
    <s v=""/>
    <s v=""/>
    <s v=""/>
    <s v=""/>
    <m/>
  </r>
  <r>
    <x v="801"/>
    <x v="0"/>
    <s v=""/>
    <s v=""/>
    <s v=""/>
    <s v=""/>
    <s v=""/>
    <s v=""/>
    <s v=""/>
    <s v=""/>
    <s v=""/>
    <s v=""/>
    <s v=""/>
    <s v=""/>
    <s v=""/>
    <m/>
  </r>
  <r>
    <x v="802"/>
    <x v="0"/>
    <s v=""/>
    <s v=""/>
    <s v=""/>
    <s v=""/>
    <s v=""/>
    <s v=""/>
    <s v=""/>
    <s v=""/>
    <s v=""/>
    <s v=""/>
    <s v=""/>
    <s v=""/>
    <s v=""/>
    <m/>
  </r>
  <r>
    <x v="803"/>
    <x v="0"/>
    <s v=""/>
    <s v=""/>
    <s v=""/>
    <s v=""/>
    <s v=""/>
    <s v=""/>
    <s v=""/>
    <s v=""/>
    <s v=""/>
    <s v=""/>
    <s v=""/>
    <s v=""/>
    <s v=""/>
    <m/>
  </r>
  <r>
    <x v="804"/>
    <x v="0"/>
    <s v=""/>
    <s v=""/>
    <s v=""/>
    <s v=""/>
    <s v=""/>
    <s v=""/>
    <s v=""/>
    <s v=""/>
    <s v=""/>
    <s v=""/>
    <s v=""/>
    <s v=""/>
    <s v=""/>
    <m/>
  </r>
  <r>
    <x v="805"/>
    <x v="0"/>
    <s v=""/>
    <s v=""/>
    <s v=""/>
    <s v=""/>
    <s v=""/>
    <s v=""/>
    <s v=""/>
    <s v=""/>
    <s v=""/>
    <s v=""/>
    <s v=""/>
    <s v=""/>
    <s v=""/>
    <m/>
  </r>
  <r>
    <x v="806"/>
    <x v="0"/>
    <s v=""/>
    <s v=""/>
    <s v=""/>
    <s v=""/>
    <s v=""/>
    <s v=""/>
    <s v=""/>
    <s v=""/>
    <s v=""/>
    <s v=""/>
    <s v=""/>
    <s v=""/>
    <s v=""/>
    <m/>
  </r>
  <r>
    <x v="807"/>
    <x v="0"/>
    <s v=""/>
    <s v=""/>
    <s v=""/>
    <s v=""/>
    <s v=""/>
    <s v=""/>
    <s v=""/>
    <s v=""/>
    <s v=""/>
    <s v=""/>
    <s v=""/>
    <s v=""/>
    <s v=""/>
    <m/>
  </r>
  <r>
    <x v="808"/>
    <x v="0"/>
    <s v=""/>
    <s v=""/>
    <s v=""/>
    <s v=""/>
    <s v=""/>
    <s v=""/>
    <s v=""/>
    <s v=""/>
    <s v=""/>
    <s v=""/>
    <s v=""/>
    <s v=""/>
    <s v=""/>
    <m/>
  </r>
  <r>
    <x v="809"/>
    <x v="0"/>
    <s v=""/>
    <s v=""/>
    <s v=""/>
    <s v=""/>
    <s v=""/>
    <s v=""/>
    <s v=""/>
    <s v=""/>
    <s v=""/>
    <s v=""/>
    <s v=""/>
    <s v=""/>
    <s v=""/>
    <m/>
  </r>
  <r>
    <x v="810"/>
    <x v="0"/>
    <s v=""/>
    <s v=""/>
    <s v=""/>
    <s v=""/>
    <s v=""/>
    <s v=""/>
    <s v=""/>
    <s v=""/>
    <s v=""/>
    <s v=""/>
    <s v=""/>
    <s v=""/>
    <s v=""/>
    <m/>
  </r>
  <r>
    <x v="811"/>
    <x v="0"/>
    <s v=""/>
    <s v=""/>
    <s v=""/>
    <s v=""/>
    <s v=""/>
    <s v=""/>
    <s v=""/>
    <s v=""/>
    <s v=""/>
    <s v=""/>
    <s v=""/>
    <s v=""/>
    <s v=""/>
    <m/>
  </r>
  <r>
    <x v="812"/>
    <x v="0"/>
    <s v=""/>
    <s v=""/>
    <s v=""/>
    <s v=""/>
    <s v=""/>
    <s v=""/>
    <s v=""/>
    <s v=""/>
    <s v=""/>
    <s v=""/>
    <s v=""/>
    <s v=""/>
    <s v=""/>
    <m/>
  </r>
  <r>
    <x v="813"/>
    <x v="0"/>
    <s v=""/>
    <s v=""/>
    <s v=""/>
    <s v=""/>
    <s v=""/>
    <s v=""/>
    <s v=""/>
    <s v=""/>
    <s v=""/>
    <s v=""/>
    <s v=""/>
    <s v=""/>
    <s v=""/>
    <m/>
  </r>
  <r>
    <x v="814"/>
    <x v="0"/>
    <s v=""/>
    <s v=""/>
    <s v=""/>
    <s v=""/>
    <s v=""/>
    <s v=""/>
    <s v=""/>
    <s v=""/>
    <s v=""/>
    <s v=""/>
    <s v=""/>
    <s v=""/>
    <s v=""/>
    <m/>
  </r>
  <r>
    <x v="815"/>
    <x v="0"/>
    <s v=""/>
    <s v=""/>
    <s v=""/>
    <s v=""/>
    <s v=""/>
    <s v=""/>
    <s v=""/>
    <s v=""/>
    <s v=""/>
    <s v=""/>
    <s v=""/>
    <s v=""/>
    <s v=""/>
    <m/>
  </r>
  <r>
    <x v="816"/>
    <x v="0"/>
    <s v=""/>
    <s v=""/>
    <s v=""/>
    <s v=""/>
    <s v=""/>
    <s v=""/>
    <s v=""/>
    <s v=""/>
    <s v=""/>
    <s v=""/>
    <s v=""/>
    <s v=""/>
    <s v=""/>
    <m/>
  </r>
  <r>
    <x v="817"/>
    <x v="0"/>
    <s v=""/>
    <s v=""/>
    <s v=""/>
    <s v=""/>
    <s v=""/>
    <s v=""/>
    <s v=""/>
    <s v=""/>
    <s v=""/>
    <s v=""/>
    <s v=""/>
    <s v=""/>
    <s v=""/>
    <m/>
  </r>
  <r>
    <x v="818"/>
    <x v="0"/>
    <s v=""/>
    <s v=""/>
    <s v=""/>
    <s v=""/>
    <s v=""/>
    <s v=""/>
    <s v=""/>
    <s v=""/>
    <s v=""/>
    <s v=""/>
    <s v=""/>
    <s v=""/>
    <s v=""/>
    <m/>
  </r>
  <r>
    <x v="819"/>
    <x v="0"/>
    <s v=""/>
    <s v=""/>
    <s v=""/>
    <s v=""/>
    <s v=""/>
    <s v=""/>
    <s v=""/>
    <s v=""/>
    <s v=""/>
    <s v=""/>
    <s v=""/>
    <s v=""/>
    <s v=""/>
    <m/>
  </r>
  <r>
    <x v="820"/>
    <x v="0"/>
    <s v=""/>
    <s v=""/>
    <s v=""/>
    <s v=""/>
    <s v=""/>
    <s v=""/>
    <s v=""/>
    <s v=""/>
    <s v=""/>
    <s v=""/>
    <s v=""/>
    <s v=""/>
    <s v=""/>
    <m/>
  </r>
  <r>
    <x v="821"/>
    <x v="0"/>
    <s v=""/>
    <s v=""/>
    <s v=""/>
    <s v=""/>
    <s v=""/>
    <s v=""/>
    <s v=""/>
    <s v=""/>
    <s v=""/>
    <s v=""/>
    <s v=""/>
    <s v=""/>
    <s v=""/>
    <m/>
  </r>
  <r>
    <x v="822"/>
    <x v="0"/>
    <s v=""/>
    <s v=""/>
    <s v=""/>
    <s v=""/>
    <s v=""/>
    <s v=""/>
    <s v=""/>
    <s v=""/>
    <s v=""/>
    <s v=""/>
    <s v=""/>
    <s v=""/>
    <s v=""/>
    <m/>
  </r>
  <r>
    <x v="823"/>
    <x v="0"/>
    <s v=""/>
    <s v=""/>
    <s v=""/>
    <s v=""/>
    <s v=""/>
    <s v=""/>
    <s v=""/>
    <s v=""/>
    <s v=""/>
    <s v=""/>
    <s v=""/>
    <s v=""/>
    <s v=""/>
    <m/>
  </r>
  <r>
    <x v="824"/>
    <x v="0"/>
    <s v=""/>
    <s v=""/>
    <s v=""/>
    <s v=""/>
    <s v=""/>
    <s v=""/>
    <s v=""/>
    <s v=""/>
    <s v=""/>
    <s v=""/>
    <s v=""/>
    <s v=""/>
    <s v=""/>
    <m/>
  </r>
  <r>
    <x v="825"/>
    <x v="0"/>
    <s v=""/>
    <s v=""/>
    <s v=""/>
    <s v=""/>
    <s v=""/>
    <s v=""/>
    <s v=""/>
    <s v=""/>
    <s v=""/>
    <s v=""/>
    <s v=""/>
    <s v=""/>
    <s v=""/>
    <m/>
  </r>
  <r>
    <x v="826"/>
    <x v="0"/>
    <s v=""/>
    <s v=""/>
    <s v=""/>
    <s v=""/>
    <s v=""/>
    <s v=""/>
    <s v=""/>
    <s v=""/>
    <s v=""/>
    <s v=""/>
    <s v=""/>
    <s v=""/>
    <s v=""/>
    <m/>
  </r>
  <r>
    <x v="827"/>
    <x v="0"/>
    <s v=""/>
    <s v=""/>
    <s v=""/>
    <s v=""/>
    <s v=""/>
    <s v=""/>
    <s v=""/>
    <s v=""/>
    <s v=""/>
    <s v=""/>
    <s v=""/>
    <s v=""/>
    <s v=""/>
    <m/>
  </r>
  <r>
    <x v="828"/>
    <x v="0"/>
    <s v=""/>
    <s v=""/>
    <s v=""/>
    <s v=""/>
    <s v=""/>
    <s v=""/>
    <s v=""/>
    <s v=""/>
    <s v=""/>
    <s v=""/>
    <s v=""/>
    <s v=""/>
    <s v=""/>
    <m/>
  </r>
  <r>
    <x v="829"/>
    <x v="0"/>
    <s v=""/>
    <s v=""/>
    <s v=""/>
    <s v=""/>
    <s v=""/>
    <s v=""/>
    <s v=""/>
    <s v=""/>
    <s v=""/>
    <s v=""/>
    <s v=""/>
    <s v=""/>
    <s v=""/>
    <m/>
  </r>
  <r>
    <x v="830"/>
    <x v="0"/>
    <s v=""/>
    <s v=""/>
    <s v=""/>
    <s v=""/>
    <s v=""/>
    <s v=""/>
    <s v=""/>
    <s v=""/>
    <s v=""/>
    <s v=""/>
    <s v=""/>
    <s v=""/>
    <s v=""/>
    <m/>
  </r>
  <r>
    <x v="831"/>
    <x v="0"/>
    <s v=""/>
    <s v=""/>
    <s v=""/>
    <s v=""/>
    <s v=""/>
    <s v=""/>
    <s v=""/>
    <s v=""/>
    <s v=""/>
    <s v=""/>
    <s v=""/>
    <s v=""/>
    <s v=""/>
    <m/>
  </r>
  <r>
    <x v="832"/>
    <x v="0"/>
    <s v=""/>
    <s v=""/>
    <s v=""/>
    <s v=""/>
    <s v=""/>
    <s v=""/>
    <s v=""/>
    <s v=""/>
    <s v=""/>
    <s v=""/>
    <s v=""/>
    <s v=""/>
    <s v=""/>
    <m/>
  </r>
  <r>
    <x v="833"/>
    <x v="0"/>
    <s v=""/>
    <s v=""/>
    <s v=""/>
    <s v=""/>
    <s v=""/>
    <s v=""/>
    <s v=""/>
    <s v=""/>
    <s v=""/>
    <s v=""/>
    <s v=""/>
    <s v=""/>
    <s v=""/>
    <m/>
  </r>
  <r>
    <x v="834"/>
    <x v="0"/>
    <s v=""/>
    <s v=""/>
    <s v=""/>
    <s v=""/>
    <s v=""/>
    <s v=""/>
    <s v=""/>
    <s v=""/>
    <s v=""/>
    <s v=""/>
    <s v=""/>
    <s v=""/>
    <s v=""/>
    <m/>
  </r>
  <r>
    <x v="835"/>
    <x v="0"/>
    <s v=""/>
    <s v=""/>
    <s v=""/>
    <s v=""/>
    <s v=""/>
    <s v=""/>
    <s v=""/>
    <s v=""/>
    <s v=""/>
    <s v=""/>
    <s v=""/>
    <s v=""/>
    <s v=""/>
    <m/>
  </r>
  <r>
    <x v="836"/>
    <x v="0"/>
    <s v=""/>
    <s v=""/>
    <s v=""/>
    <s v=""/>
    <s v=""/>
    <s v=""/>
    <s v=""/>
    <s v=""/>
    <s v=""/>
    <s v=""/>
    <s v=""/>
    <s v=""/>
    <s v=""/>
    <m/>
  </r>
  <r>
    <x v="837"/>
    <x v="0"/>
    <s v=""/>
    <s v=""/>
    <s v=""/>
    <s v=""/>
    <s v=""/>
    <s v=""/>
    <s v=""/>
    <s v=""/>
    <s v=""/>
    <s v=""/>
    <s v=""/>
    <s v=""/>
    <s v=""/>
    <m/>
  </r>
  <r>
    <x v="838"/>
    <x v="0"/>
    <s v=""/>
    <s v=""/>
    <s v=""/>
    <s v=""/>
    <s v=""/>
    <s v=""/>
    <s v=""/>
    <s v=""/>
    <s v=""/>
    <s v=""/>
    <s v=""/>
    <s v=""/>
    <s v=""/>
    <m/>
  </r>
  <r>
    <x v="839"/>
    <x v="0"/>
    <s v=""/>
    <s v=""/>
    <s v=""/>
    <s v=""/>
    <s v=""/>
    <s v=""/>
    <s v=""/>
    <s v=""/>
    <s v=""/>
    <s v=""/>
    <s v=""/>
    <s v=""/>
    <s v=""/>
    <m/>
  </r>
  <r>
    <x v="840"/>
    <x v="0"/>
    <s v=""/>
    <s v=""/>
    <s v=""/>
    <s v=""/>
    <s v=""/>
    <s v=""/>
    <s v=""/>
    <s v=""/>
    <s v=""/>
    <s v=""/>
    <s v=""/>
    <s v=""/>
    <s v=""/>
    <m/>
  </r>
  <r>
    <x v="841"/>
    <x v="0"/>
    <s v=""/>
    <s v=""/>
    <s v=""/>
    <s v=""/>
    <s v=""/>
    <s v=""/>
    <s v=""/>
    <s v=""/>
    <s v=""/>
    <s v=""/>
    <s v=""/>
    <s v=""/>
    <s v=""/>
    <m/>
  </r>
  <r>
    <x v="842"/>
    <x v="0"/>
    <s v=""/>
    <s v=""/>
    <s v=""/>
    <s v=""/>
    <s v=""/>
    <s v=""/>
    <s v=""/>
    <s v=""/>
    <s v=""/>
    <s v=""/>
    <s v=""/>
    <s v=""/>
    <s v=""/>
    <m/>
  </r>
  <r>
    <x v="843"/>
    <x v="0"/>
    <s v=""/>
    <s v=""/>
    <s v=""/>
    <s v=""/>
    <s v=""/>
    <s v=""/>
    <s v=""/>
    <s v=""/>
    <s v=""/>
    <s v=""/>
    <s v=""/>
    <s v=""/>
    <s v=""/>
    <m/>
  </r>
  <r>
    <x v="844"/>
    <x v="0"/>
    <s v=""/>
    <s v=""/>
    <s v=""/>
    <s v=""/>
    <s v=""/>
    <s v=""/>
    <s v=""/>
    <s v=""/>
    <s v=""/>
    <s v=""/>
    <s v=""/>
    <s v=""/>
    <s v=""/>
    <m/>
  </r>
  <r>
    <x v="845"/>
    <x v="0"/>
    <s v=""/>
    <s v=""/>
    <s v=""/>
    <s v=""/>
    <s v=""/>
    <s v=""/>
    <s v=""/>
    <s v=""/>
    <s v=""/>
    <s v=""/>
    <s v=""/>
    <s v=""/>
    <s v=""/>
    <m/>
  </r>
  <r>
    <x v="846"/>
    <x v="0"/>
    <s v=""/>
    <s v=""/>
    <s v=""/>
    <s v=""/>
    <s v=""/>
    <s v=""/>
    <s v=""/>
    <s v=""/>
    <s v=""/>
    <s v=""/>
    <s v=""/>
    <s v=""/>
    <s v=""/>
    <m/>
  </r>
  <r>
    <x v="847"/>
    <x v="0"/>
    <s v=""/>
    <s v=""/>
    <s v=""/>
    <s v=""/>
    <s v=""/>
    <s v=""/>
    <s v=""/>
    <s v=""/>
    <s v=""/>
    <s v=""/>
    <s v=""/>
    <s v=""/>
    <s v=""/>
    <m/>
  </r>
  <r>
    <x v="848"/>
    <x v="0"/>
    <s v=""/>
    <s v=""/>
    <s v=""/>
    <s v=""/>
    <s v=""/>
    <s v=""/>
    <s v=""/>
    <s v=""/>
    <s v=""/>
    <s v=""/>
    <s v=""/>
    <s v=""/>
    <s v=""/>
    <m/>
  </r>
  <r>
    <x v="849"/>
    <x v="0"/>
    <s v=""/>
    <s v=""/>
    <s v=""/>
    <s v=""/>
    <s v=""/>
    <s v=""/>
    <s v=""/>
    <s v=""/>
    <s v=""/>
    <s v=""/>
    <s v=""/>
    <s v=""/>
    <s v=""/>
    <m/>
  </r>
  <r>
    <x v="850"/>
    <x v="0"/>
    <s v=""/>
    <s v=""/>
    <s v=""/>
    <s v=""/>
    <s v=""/>
    <s v=""/>
    <s v=""/>
    <s v=""/>
    <s v=""/>
    <s v=""/>
    <s v=""/>
    <s v=""/>
    <s v=""/>
    <m/>
  </r>
  <r>
    <x v="851"/>
    <x v="0"/>
    <s v=""/>
    <s v=""/>
    <s v=""/>
    <s v=""/>
    <s v=""/>
    <s v=""/>
    <s v=""/>
    <s v=""/>
    <s v=""/>
    <s v=""/>
    <s v=""/>
    <s v=""/>
    <s v=""/>
    <m/>
  </r>
  <r>
    <x v="852"/>
    <x v="0"/>
    <s v=""/>
    <s v=""/>
    <s v=""/>
    <s v=""/>
    <s v=""/>
    <s v=""/>
    <s v=""/>
    <s v=""/>
    <s v=""/>
    <s v=""/>
    <s v=""/>
    <s v=""/>
    <s v=""/>
    <m/>
  </r>
  <r>
    <x v="853"/>
    <x v="0"/>
    <s v=""/>
    <s v=""/>
    <s v=""/>
    <s v=""/>
    <s v=""/>
    <s v=""/>
    <s v=""/>
    <s v=""/>
    <s v=""/>
    <s v=""/>
    <s v=""/>
    <s v=""/>
    <s v=""/>
    <m/>
  </r>
  <r>
    <x v="854"/>
    <x v="0"/>
    <s v=""/>
    <s v=""/>
    <s v=""/>
    <s v=""/>
    <s v=""/>
    <s v=""/>
    <s v=""/>
    <s v=""/>
    <s v=""/>
    <s v=""/>
    <s v=""/>
    <s v=""/>
    <s v=""/>
    <m/>
  </r>
  <r>
    <x v="855"/>
    <x v="0"/>
    <s v=""/>
    <s v=""/>
    <s v=""/>
    <s v=""/>
    <s v=""/>
    <s v=""/>
    <s v=""/>
    <s v=""/>
    <s v=""/>
    <s v=""/>
    <s v=""/>
    <s v=""/>
    <s v=""/>
    <m/>
  </r>
  <r>
    <x v="856"/>
    <x v="0"/>
    <s v=""/>
    <s v=""/>
    <s v=""/>
    <s v=""/>
    <s v=""/>
    <s v=""/>
    <s v=""/>
    <s v=""/>
    <s v=""/>
    <s v=""/>
    <s v=""/>
    <s v=""/>
    <s v=""/>
    <m/>
  </r>
  <r>
    <x v="857"/>
    <x v="0"/>
    <s v=""/>
    <s v=""/>
    <s v=""/>
    <s v=""/>
    <s v=""/>
    <s v=""/>
    <s v=""/>
    <s v=""/>
    <s v=""/>
    <s v=""/>
    <s v=""/>
    <s v=""/>
    <s v=""/>
    <m/>
  </r>
  <r>
    <x v="858"/>
    <x v="0"/>
    <s v=""/>
    <s v=""/>
    <s v=""/>
    <s v=""/>
    <s v=""/>
    <s v=""/>
    <s v=""/>
    <s v=""/>
    <s v=""/>
    <s v=""/>
    <s v=""/>
    <s v=""/>
    <s v=""/>
    <m/>
  </r>
  <r>
    <x v="859"/>
    <x v="0"/>
    <s v=""/>
    <s v=""/>
    <s v=""/>
    <s v=""/>
    <s v=""/>
    <s v=""/>
    <s v=""/>
    <s v=""/>
    <s v=""/>
    <s v=""/>
    <s v=""/>
    <s v=""/>
    <s v=""/>
    <m/>
  </r>
  <r>
    <x v="860"/>
    <x v="0"/>
    <s v=""/>
    <s v=""/>
    <s v=""/>
    <s v=""/>
    <s v=""/>
    <s v=""/>
    <s v=""/>
    <s v=""/>
    <s v=""/>
    <s v=""/>
    <s v=""/>
    <s v=""/>
    <s v=""/>
    <m/>
  </r>
  <r>
    <x v="861"/>
    <x v="0"/>
    <s v=""/>
    <s v=""/>
    <s v=""/>
    <s v=""/>
    <s v=""/>
    <s v=""/>
    <s v=""/>
    <s v=""/>
    <s v=""/>
    <s v=""/>
    <s v=""/>
    <s v=""/>
    <s v=""/>
    <m/>
  </r>
  <r>
    <x v="862"/>
    <x v="0"/>
    <s v=""/>
    <s v=""/>
    <s v=""/>
    <s v=""/>
    <s v=""/>
    <s v=""/>
    <s v=""/>
    <s v=""/>
    <s v=""/>
    <s v=""/>
    <s v=""/>
    <s v=""/>
    <s v=""/>
    <m/>
  </r>
  <r>
    <x v="863"/>
    <x v="0"/>
    <s v=""/>
    <s v=""/>
    <s v=""/>
    <s v=""/>
    <s v=""/>
    <s v=""/>
    <s v=""/>
    <s v=""/>
    <s v=""/>
    <s v=""/>
    <s v=""/>
    <s v=""/>
    <s v=""/>
    <m/>
  </r>
  <r>
    <x v="864"/>
    <x v="0"/>
    <s v=""/>
    <s v=""/>
    <s v=""/>
    <s v=""/>
    <s v=""/>
    <s v=""/>
    <s v=""/>
    <s v=""/>
    <s v=""/>
    <s v=""/>
    <s v=""/>
    <s v=""/>
    <s v=""/>
    <m/>
  </r>
  <r>
    <x v="865"/>
    <x v="0"/>
    <s v=""/>
    <s v=""/>
    <s v=""/>
    <s v=""/>
    <s v=""/>
    <s v=""/>
    <s v=""/>
    <s v=""/>
    <s v=""/>
    <s v=""/>
    <s v=""/>
    <s v=""/>
    <s v=""/>
    <m/>
  </r>
  <r>
    <x v="866"/>
    <x v="0"/>
    <s v=""/>
    <s v=""/>
    <s v=""/>
    <s v=""/>
    <s v=""/>
    <s v=""/>
    <s v=""/>
    <s v=""/>
    <s v=""/>
    <s v=""/>
    <s v=""/>
    <s v=""/>
    <s v=""/>
    <m/>
  </r>
  <r>
    <x v="867"/>
    <x v="0"/>
    <s v=""/>
    <s v=""/>
    <s v=""/>
    <s v=""/>
    <s v=""/>
    <s v=""/>
    <s v=""/>
    <s v=""/>
    <s v=""/>
    <s v=""/>
    <s v=""/>
    <s v=""/>
    <s v=""/>
    <m/>
  </r>
  <r>
    <x v="868"/>
    <x v="0"/>
    <s v=""/>
    <s v=""/>
    <s v=""/>
    <s v=""/>
    <s v=""/>
    <s v=""/>
    <s v=""/>
    <s v=""/>
    <s v=""/>
    <s v=""/>
    <s v=""/>
    <s v=""/>
    <s v=""/>
    <m/>
  </r>
  <r>
    <x v="869"/>
    <x v="0"/>
    <s v=""/>
    <s v=""/>
    <s v=""/>
    <s v=""/>
    <s v=""/>
    <s v=""/>
    <s v=""/>
    <s v=""/>
    <s v=""/>
    <s v=""/>
    <s v=""/>
    <s v=""/>
    <s v=""/>
    <m/>
  </r>
  <r>
    <x v="870"/>
    <x v="0"/>
    <s v=""/>
    <s v=""/>
    <s v=""/>
    <s v=""/>
    <s v=""/>
    <s v=""/>
    <s v=""/>
    <s v=""/>
    <s v=""/>
    <s v=""/>
    <s v=""/>
    <s v=""/>
    <s v=""/>
    <m/>
  </r>
  <r>
    <x v="871"/>
    <x v="0"/>
    <s v=""/>
    <s v=""/>
    <s v=""/>
    <s v=""/>
    <s v=""/>
    <s v=""/>
    <s v=""/>
    <s v=""/>
    <s v=""/>
    <s v=""/>
    <s v=""/>
    <s v=""/>
    <s v=""/>
    <m/>
  </r>
  <r>
    <x v="872"/>
    <x v="0"/>
    <s v=""/>
    <s v=""/>
    <s v=""/>
    <s v=""/>
    <s v=""/>
    <s v=""/>
    <s v=""/>
    <s v=""/>
    <s v=""/>
    <s v=""/>
    <s v=""/>
    <s v=""/>
    <s v=""/>
    <m/>
  </r>
  <r>
    <x v="873"/>
    <x v="0"/>
    <s v=""/>
    <s v=""/>
    <s v=""/>
    <s v=""/>
    <s v=""/>
    <s v=""/>
    <s v=""/>
    <s v=""/>
    <s v=""/>
    <s v=""/>
    <s v=""/>
    <s v=""/>
    <s v=""/>
    <m/>
  </r>
  <r>
    <x v="874"/>
    <x v="0"/>
    <s v=""/>
    <s v=""/>
    <s v=""/>
    <s v=""/>
    <s v=""/>
    <s v=""/>
    <s v=""/>
    <s v=""/>
    <s v=""/>
    <s v=""/>
    <s v=""/>
    <s v=""/>
    <s v=""/>
    <m/>
  </r>
  <r>
    <x v="875"/>
    <x v="0"/>
    <s v=""/>
    <s v=""/>
    <s v=""/>
    <s v=""/>
    <s v=""/>
    <s v=""/>
    <s v=""/>
    <s v=""/>
    <s v=""/>
    <s v=""/>
    <s v=""/>
    <s v=""/>
    <s v=""/>
    <m/>
  </r>
  <r>
    <x v="876"/>
    <x v="0"/>
    <s v=""/>
    <s v=""/>
    <s v=""/>
    <s v=""/>
    <s v=""/>
    <s v=""/>
    <s v=""/>
    <s v=""/>
    <s v=""/>
    <s v=""/>
    <s v=""/>
    <s v=""/>
    <s v=""/>
    <m/>
  </r>
  <r>
    <x v="877"/>
    <x v="0"/>
    <s v=""/>
    <s v=""/>
    <s v=""/>
    <s v=""/>
    <s v=""/>
    <s v=""/>
    <s v=""/>
    <s v=""/>
    <s v=""/>
    <s v=""/>
    <s v=""/>
    <s v=""/>
    <s v=""/>
    <m/>
  </r>
  <r>
    <x v="878"/>
    <x v="0"/>
    <s v=""/>
    <s v=""/>
    <s v=""/>
    <s v=""/>
    <s v=""/>
    <s v=""/>
    <s v=""/>
    <s v=""/>
    <s v=""/>
    <s v=""/>
    <s v=""/>
    <s v=""/>
    <s v=""/>
    <m/>
  </r>
  <r>
    <x v="879"/>
    <x v="0"/>
    <s v=""/>
    <s v=""/>
    <s v=""/>
    <s v=""/>
    <s v=""/>
    <s v=""/>
    <s v=""/>
    <s v=""/>
    <s v=""/>
    <s v=""/>
    <s v=""/>
    <s v=""/>
    <s v=""/>
    <m/>
  </r>
  <r>
    <x v="880"/>
    <x v="0"/>
    <s v=""/>
    <s v=""/>
    <s v=""/>
    <s v=""/>
    <s v=""/>
    <s v=""/>
    <s v=""/>
    <s v=""/>
    <s v=""/>
    <s v=""/>
    <s v=""/>
    <s v=""/>
    <s v=""/>
    <m/>
  </r>
  <r>
    <x v="881"/>
    <x v="0"/>
    <s v=""/>
    <s v=""/>
    <s v=""/>
    <s v=""/>
    <s v=""/>
    <s v=""/>
    <s v=""/>
    <s v=""/>
    <s v=""/>
    <s v=""/>
    <s v=""/>
    <s v=""/>
    <s v=""/>
    <m/>
  </r>
  <r>
    <x v="882"/>
    <x v="0"/>
    <s v=""/>
    <s v=""/>
    <s v=""/>
    <s v=""/>
    <s v=""/>
    <s v=""/>
    <s v=""/>
    <s v=""/>
    <s v=""/>
    <s v=""/>
    <s v=""/>
    <s v=""/>
    <s v=""/>
    <m/>
  </r>
  <r>
    <x v="883"/>
    <x v="0"/>
    <s v=""/>
    <s v=""/>
    <s v=""/>
    <s v=""/>
    <s v=""/>
    <s v=""/>
    <s v=""/>
    <s v=""/>
    <s v=""/>
    <s v=""/>
    <s v=""/>
    <s v=""/>
    <s v=""/>
    <m/>
  </r>
  <r>
    <x v="884"/>
    <x v="0"/>
    <s v=""/>
    <s v=""/>
    <s v=""/>
    <s v=""/>
    <s v=""/>
    <s v=""/>
    <s v=""/>
    <s v=""/>
    <s v=""/>
    <s v=""/>
    <s v=""/>
    <s v=""/>
    <s v=""/>
    <m/>
  </r>
  <r>
    <x v="885"/>
    <x v="0"/>
    <s v=""/>
    <s v=""/>
    <s v=""/>
    <s v=""/>
    <s v=""/>
    <s v=""/>
    <s v=""/>
    <s v=""/>
    <s v=""/>
    <s v=""/>
    <s v=""/>
    <s v=""/>
    <s v=""/>
    <m/>
  </r>
  <r>
    <x v="886"/>
    <x v="0"/>
    <s v=""/>
    <s v=""/>
    <s v=""/>
    <s v=""/>
    <s v=""/>
    <s v=""/>
    <s v=""/>
    <s v=""/>
    <s v=""/>
    <s v=""/>
    <s v=""/>
    <s v=""/>
    <s v=""/>
    <m/>
  </r>
  <r>
    <x v="887"/>
    <x v="0"/>
    <s v=""/>
    <s v=""/>
    <s v=""/>
    <s v=""/>
    <s v=""/>
    <s v=""/>
    <s v=""/>
    <s v=""/>
    <s v=""/>
    <s v=""/>
    <s v=""/>
    <s v=""/>
    <s v=""/>
    <m/>
  </r>
  <r>
    <x v="888"/>
    <x v="0"/>
    <s v=""/>
    <s v=""/>
    <s v=""/>
    <s v=""/>
    <s v=""/>
    <s v=""/>
    <s v=""/>
    <s v=""/>
    <s v=""/>
    <s v=""/>
    <s v=""/>
    <s v=""/>
    <s v=""/>
    <m/>
  </r>
  <r>
    <x v="889"/>
    <x v="0"/>
    <s v=""/>
    <s v=""/>
    <s v=""/>
    <s v=""/>
    <s v=""/>
    <s v=""/>
    <s v=""/>
    <s v=""/>
    <s v=""/>
    <s v=""/>
    <s v=""/>
    <s v=""/>
    <s v=""/>
    <m/>
  </r>
  <r>
    <x v="890"/>
    <x v="0"/>
    <s v=""/>
    <s v=""/>
    <s v=""/>
    <s v=""/>
    <s v=""/>
    <s v=""/>
    <s v=""/>
    <s v=""/>
    <s v=""/>
    <s v=""/>
    <s v=""/>
    <s v=""/>
    <s v=""/>
    <m/>
  </r>
  <r>
    <x v="891"/>
    <x v="0"/>
    <s v=""/>
    <s v=""/>
    <s v=""/>
    <s v=""/>
    <s v=""/>
    <s v=""/>
    <s v=""/>
    <s v=""/>
    <s v=""/>
    <s v=""/>
    <s v=""/>
    <s v=""/>
    <s v=""/>
    <m/>
  </r>
  <r>
    <x v="892"/>
    <x v="0"/>
    <s v=""/>
    <s v=""/>
    <s v=""/>
    <s v=""/>
    <s v=""/>
    <s v=""/>
    <s v=""/>
    <s v=""/>
    <s v=""/>
    <s v=""/>
    <s v=""/>
    <s v=""/>
    <s v=""/>
    <m/>
  </r>
  <r>
    <x v="893"/>
    <x v="0"/>
    <s v=""/>
    <s v=""/>
    <s v=""/>
    <s v=""/>
    <s v=""/>
    <s v=""/>
    <s v=""/>
    <s v=""/>
    <s v=""/>
    <s v=""/>
    <s v=""/>
    <s v=""/>
    <s v=""/>
    <m/>
  </r>
  <r>
    <x v="894"/>
    <x v="0"/>
    <s v=""/>
    <s v=""/>
    <s v=""/>
    <s v=""/>
    <s v=""/>
    <s v=""/>
    <s v=""/>
    <s v=""/>
    <s v=""/>
    <s v=""/>
    <s v=""/>
    <s v=""/>
    <s v=""/>
    <m/>
  </r>
  <r>
    <x v="895"/>
    <x v="0"/>
    <s v=""/>
    <s v=""/>
    <s v=""/>
    <s v=""/>
    <s v=""/>
    <s v=""/>
    <s v=""/>
    <s v=""/>
    <s v=""/>
    <s v=""/>
    <s v=""/>
    <s v=""/>
    <s v=""/>
    <m/>
  </r>
  <r>
    <x v="896"/>
    <x v="0"/>
    <s v=""/>
    <s v=""/>
    <s v=""/>
    <s v=""/>
    <s v=""/>
    <s v=""/>
    <s v=""/>
    <s v=""/>
    <s v=""/>
    <s v=""/>
    <s v=""/>
    <s v=""/>
    <s v=""/>
    <m/>
  </r>
  <r>
    <x v="897"/>
    <x v="0"/>
    <s v=""/>
    <s v=""/>
    <s v=""/>
    <s v=""/>
    <s v=""/>
    <s v=""/>
    <s v=""/>
    <s v=""/>
    <s v=""/>
    <s v=""/>
    <s v=""/>
    <s v=""/>
    <s v=""/>
    <m/>
  </r>
  <r>
    <x v="898"/>
    <x v="0"/>
    <s v=""/>
    <s v=""/>
    <s v=""/>
    <s v=""/>
    <s v=""/>
    <s v=""/>
    <s v=""/>
    <s v=""/>
    <s v=""/>
    <s v=""/>
    <s v=""/>
    <s v=""/>
    <s v=""/>
    <m/>
  </r>
  <r>
    <x v="899"/>
    <x v="0"/>
    <s v=""/>
    <s v=""/>
    <s v=""/>
    <s v=""/>
    <s v=""/>
    <s v=""/>
    <s v=""/>
    <s v=""/>
    <s v=""/>
    <s v=""/>
    <s v=""/>
    <s v=""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482014-694F-4E8E-A677-E5BE4301AD6E}" name="PivotTable1" cacheId="3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chartFormat="7">
  <location ref="A4:B69" firstHeaderRow="1" firstDataRow="1" firstDataCol="1"/>
  <pivotFields count="19">
    <pivotField axis="axisRow"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multipleItemSelectionAllowed="1" showAll="0" includeNewItemsInFilter="1" sumSubtotal="1">
      <items count="3683">
        <item m="1" x="2355"/>
        <item m="1" x="1292"/>
        <item m="1" x="3322"/>
        <item m="1" x="2254"/>
        <item m="1" x="1197"/>
        <item m="1" x="3217"/>
        <item m="1" x="2149"/>
        <item m="1" x="662"/>
        <item m="1" x="3120"/>
        <item m="1" x="541"/>
        <item m="1" x="1534"/>
        <item m="1" x="455"/>
        <item m="1" x="355"/>
        <item m="1" x="243"/>
        <item m="1" x="2297"/>
        <item m="1" x="1241"/>
        <item m="1" x="3157"/>
        <item m="1" x="2088"/>
        <item m="1" x="3058"/>
        <item m="1" x="2958"/>
        <item m="1" x="1472"/>
        <item m="1" x="403"/>
        <item m="1" x="297"/>
        <item m="1" x="1277"/>
        <item m="1" x="1191"/>
        <item m="1" x="1084"/>
        <item m="1" x="3110"/>
        <item m="1" x="2038"/>
        <item m="1" x="531"/>
        <item m="1" x="3008"/>
        <item m="1" x="1914"/>
        <item m="1" x="1419"/>
        <item m="1" x="1322"/>
        <item m="1" x="2285"/>
        <item m="1" x="3650"/>
        <item m="1" x="2195"/>
        <item m="1" x="1140"/>
        <item m="1" x="1025"/>
        <item m="1" x="482"/>
        <item m="1" x="390"/>
        <item m="1" x="1267"/>
        <item m="1" x="3592"/>
        <item m="1" x="434"/>
        <item m="1" x="2069"/>
        <item m="1" x="2833"/>
        <item m="1" x="1890"/>
        <item m="1" x="1111"/>
        <item m="1" x="1842"/>
        <item m="1" x="2722"/>
        <item m="1" x="3144"/>
        <item m="1" x="473"/>
        <item m="1" x="1456"/>
        <item m="1" x="2435"/>
        <item m="1" x="2875"/>
        <item m="1" x="1681"/>
        <item m="1" x="1582"/>
        <item m="1" x="3095"/>
        <item m="1" x="2555"/>
        <item m="1" x="2020"/>
        <item m="1" x="3516"/>
        <item m="1" x="985"/>
        <item m="1" x="3416"/>
        <item m="1" x="1927"/>
        <item m="1" x="881"/>
        <item m="1" x="323"/>
        <item m="1" x="3312"/>
        <item m="1" x="2378"/>
        <item m="1" x="2802"/>
        <item m="1" x="2714"/>
        <item m="1" x="2170"/>
        <item m="1" x="1618"/>
        <item m="1" x="559"/>
        <item m="1" x="1036"/>
        <item m="1" x="467"/>
        <item m="1" x="2937"/>
        <item m="1" x="2397"/>
        <item m="1" x="1448"/>
        <item m="1" x="702"/>
        <item m="1" x="1048"/>
        <item m="1" x="2883"/>
        <item m="1" x="2331"/>
        <item m="1" x="1394"/>
        <item m="1" x="3198"/>
        <item m="1" x="2264"/>
        <item m="1" x="2703"/>
        <item m="1" x="2155"/>
        <item m="1" x="1109"/>
        <item m="1" x="2596"/>
        <item m="1" x="2276"/>
        <item m="1" x="1340"/>
        <item m="1" x="252"/>
        <item m="1" x="3246"/>
        <item m="1" x="2719"/>
        <item m="1" x="1765"/>
        <item m="1" x="686"/>
        <item m="1" x="3141"/>
        <item m="1" x="565"/>
        <item m="1" x="1991"/>
        <item m="1" x="412"/>
        <item m="1" x="1284"/>
        <item m="1" x="2142"/>
        <item m="1" x="424"/>
        <item m="1" x="2465"/>
        <item m="1" x="3331"/>
        <item m="1" x="794"/>
        <item m="1" x="3553"/>
        <item m="1" x="1443"/>
        <item m="1" x="2310"/>
        <item m="1" x="3599"/>
        <item m="1" x="3394"/>
        <item m="1" x="1496"/>
        <item m="1" x="2696"/>
        <item m="1" x="1825"/>
        <item m="1" x="543"/>
        <item m="1" x="1016"/>
        <item m="1" x="1748"/>
        <item m="1" x="3439"/>
        <item m="1" x="2918"/>
        <item m="1" x="2198"/>
        <item m="1" x="1333"/>
        <item m="1" x="465"/>
        <item m="1" x="1242"/>
        <item m="1" x="3160"/>
        <item m="1" x="842"/>
        <item m="1" x="192"/>
        <item m="1" x="3068"/>
        <item m="1" x="3284"/>
        <item m="1" x="1279"/>
        <item m="1" x="2570"/>
        <item m="1" x="2140"/>
        <item m="1" x="3425"/>
        <item m="1" x="3432"/>
        <item m="1" x="1222"/>
        <item m="1" x="658"/>
        <item m="1" x="3646"/>
        <item m="1" x="2589"/>
        <item m="1" x="542"/>
        <item m="1" x="3543"/>
        <item m="1" x="1325"/>
        <item m="1" x="783"/>
        <item m="1" x="2073"/>
        <item m="1" x="3437"/>
        <item m="1" x="3653"/>
        <item m="1" x="1432"/>
        <item m="1" x="1642"/>
        <item m="1" x="2944"/>
        <item m="1" x="1142"/>
        <item m="1" x="2406"/>
        <item m="1" x="1331"/>
        <item m="1" x="2508"/>
        <item m="1" x="484"/>
        <item m="1" x="2637"/>
        <item m="1" x="392"/>
        <item m="1" x="2084"/>
        <item m="1" x="3368"/>
        <item m="1" x="588"/>
        <item m="1" x="2308"/>
        <item m="1" x="3585"/>
        <item m="1" x="1368"/>
        <item m="1" x="838"/>
        <item m="1" x="2519"/>
        <item m="1" x="1580"/>
        <item m="1" x="1063"/>
        <item m="1" x="2743"/>
        <item m="1" x="496"/>
        <item m="1" x="2956"/>
        <item m="1" x="725"/>
        <item m="1" x="189"/>
        <item m="1" x="1471"/>
        <item m="1" x="3168"/>
        <item m="1" x="954"/>
        <item m="1" x="2234"/>
        <item m="1" x="404"/>
        <item m="1" x="1180"/>
        <item m="1" x="600"/>
        <item m="1" x="1895"/>
        <item m="1" x="2674"/>
        <item m="1" x="853"/>
        <item m="1" x="2126"/>
        <item m="1" x="1587"/>
        <item m="1" x="2894"/>
        <item m="1" x="1074"/>
        <item m="1" x="504"/>
        <item m="1" x="1810"/>
        <item m="1" x="2562"/>
        <item m="1" x="733"/>
        <item m="1" x="2028"/>
        <item m="1" x="3311"/>
        <item m="1" x="1482"/>
        <item m="1" x="2773"/>
        <item m="1" x="2243"/>
        <item m="1" x="1190"/>
        <item m="1" x="2453"/>
        <item m="1" x="2683"/>
        <item m="1" x="2137"/>
        <item m="1" x="893"/>
        <item m="1" x="2578"/>
        <item m="1" x="2037"/>
        <item m="1" x="2783"/>
        <item m="1" x="2461"/>
        <item m="1" x="3214"/>
        <item m="1" x="1950"/>
        <item m="1" x="1129"/>
        <item m="1" x="2394"/>
        <item m="1" x="539"/>
        <item m="1" x="781"/>
        <item m="1" x="452"/>
        <item m="1" x="3041"/>
        <item m="1" x="1230"/>
        <item m="1" x="2493"/>
        <item m="1" x="1961"/>
        <item m="1" x="1430"/>
        <item m="1" x="2727"/>
        <item m="1" x="905"/>
        <item m="1" x="2196"/>
        <item m="1" x="3466"/>
        <item m="1" x="1639"/>
        <item m="1" x="2942"/>
        <item m="1" x="1137"/>
        <item m="1" x="2403"/>
        <item m="1" x="3680"/>
        <item m="1" x="1857"/>
        <item m="1" x="3146"/>
        <item m="1" x="1329"/>
        <item m="1" x="2625"/>
        <item m="1" x="380"/>
        <item m="1" x="2078"/>
        <item m="1" x="3354"/>
        <item m="1" x="1544"/>
        <item m="1" x="2837"/>
        <item m="1" x="579"/>
        <item m="1" x="3576"/>
        <item m="1" x="1753"/>
        <item m="1" x="3049"/>
        <item m="1" x="827"/>
        <item m="1" x="2505"/>
        <item m="1" x="277"/>
        <item m="1" x="1972"/>
        <item m="1" x="3266"/>
        <item m="1" x="1047"/>
        <item m="1" x="2735"/>
        <item m="1" x="477"/>
        <item m="1" x="2949"/>
        <item m="1" x="708"/>
        <item m="1" x="1460"/>
        <item m="1" x="940"/>
        <item m="1" x="1676"/>
        <item m="1" x="3366"/>
        <item m="1" x="1166"/>
        <item m="1" x="3584"/>
        <item m="1" x="837"/>
        <item m="1" x="285"/>
        <item m="1" x="3273"/>
        <item m="1" x="2330"/>
        <item m="1" x="722"/>
        <item m="1" x="2009"/>
        <item m="1" x="398"/>
        <item m="1" x="1687"/>
        <item m="1" x="2989"/>
        <item m="1" x="1179"/>
        <item m="1" x="2443"/>
        <item m="1" x="597"/>
        <item m="1" x="2671"/>
        <item m="1" x="846"/>
        <item m="1" x="2125"/>
        <item m="1" x="3411"/>
        <item m="1" x="2891"/>
        <item m="1" x="1068"/>
        <item m="1" x="2341"/>
        <item m="1" x="3622"/>
        <item m="1" x="1808"/>
        <item m="1" x="3103"/>
        <item m="1" x="2560"/>
        <item m="1" x="318"/>
        <item m="1" x="2026"/>
        <item m="1" x="3308"/>
        <item m="1" x="1479"/>
        <item m="1" x="2769"/>
        <item m="1" x="524"/>
        <item m="1" x="3520"/>
        <item m="1" x="2998"/>
        <item m="1" x="754"/>
        <item m="1" x="2451"/>
        <item m="1" x="1901"/>
        <item m="1" x="3203"/>
        <item m="1" x="987"/>
        <item m="1" x="330"/>
        <item m="1" x="1616"/>
        <item m="1" x="2778"/>
        <item m="1" x="3528"/>
        <item m="1" x="3007"/>
        <item m="1" x="898"/>
        <item m="1" x="2176"/>
        <item m="1" x="1624"/>
        <item m="1" x="1128"/>
        <item m="1" x="536"/>
        <item m="1" x="3140"/>
        <item m="1" x="2070"/>
        <item m="1" x="2283"/>
        <item m="1" x="1738"/>
        <item m="1" x="3252"/>
        <item m="1" x="470"/>
        <item m="1" x="2623"/>
        <item m="1" x="2834"/>
        <item m="1" x="572"/>
        <item m="1" x="2291"/>
        <item m="1" x="3575"/>
        <item m="1" x="3045"/>
        <item m="1" x="2500"/>
        <item m="1" x="2732"/>
        <item m="1" x="389"/>
        <item m="1" x="3365"/>
        <item m="1" x="583"/>
        <item m="1" x="1364"/>
        <item m="1" x="834"/>
        <item m="1" x="1463"/>
        <item m="1" x="1168"/>
        <item m="1" x="3407"/>
        <item m="1" x="2446"/>
        <item m="1" x="212"/>
        <item m="1" x="983"/>
        <item m="1" x="3307"/>
        <item m="1" x="2127"/>
        <item m="1" x="2895"/>
        <item m="1" x="632"/>
        <item m="1" x="1934"/>
        <item m="1" x="757"/>
        <item m="1" x="2164"/>
        <item m="1" x="1112"/>
        <item m="1" x="1312"/>
        <item m="1" x="762"/>
        <item m="1" x="894"/>
        <item m="1" x="2167"/>
        <item m="1" x="1727"/>
        <item m="1" x="2811"/>
        <item m="1" x="3453"/>
        <item m="1" x="2935"/>
        <item m="1" x="688"/>
        <item m="1" x="2395"/>
        <item m="1" x="3035"/>
        <item m="1" x="258"/>
        <item m="1" x="1954"/>
        <item m="1" x="2724"/>
        <item m="1" x="3460"/>
        <item m="1" x="3567"/>
        <item m="1" x="928"/>
        <item m="1" x="1561"/>
        <item m="1" x="471"/>
        <item m="1" x="1772"/>
        <item m="1" x="3574"/>
        <item m="1" x="1352"/>
        <item m="1" x="1994"/>
        <item m="1" x="824"/>
        <item m="1" x="2096"/>
        <item m="1" x="274"/>
        <item m="1" x="1563"/>
        <item m="1" x="3258"/>
        <item m="1" x="1665"/>
        <item m="1" x="3355"/>
        <item m="1" x="3470"/>
        <item m="1" x="1255"/>
        <item m="1" x="1874"/>
        <item m="1" x="704"/>
        <item m="1" x="2751"/>
        <item m="1" x="279"/>
        <item m="1" x="385"/>
        <item m="1" x="478"/>
        <item m="1" x="1161"/>
        <item m="1" x="1781"/>
        <item m="1" x="1879"/>
        <item m="1" x="2533"/>
        <item m="1" x="1461"/>
        <item m="1" x="2109"/>
        <item m="1" x="3604"/>
        <item m="1" x="1788"/>
        <item m="1" x="1263"/>
        <item m="1" x="2539"/>
        <item m="1" x="302"/>
        <item m="1" x="2004"/>
        <item m="1" x="3296"/>
        <item m="1" x="420"/>
        <item m="1" x="511"/>
        <item m="1" x="1576"/>
        <item m="1" x="3503"/>
        <item m="1" x="614"/>
        <item m="1" x="741"/>
        <item m="1" x="1794"/>
        <item m="1" x="207"/>
        <item m="1" x="3192"/>
        <item m="1" x="513"/>
        <item m="1" x="619"/>
        <item m="1" x="2336"/>
        <item m="1" x="2990"/>
        <item m="1" x="1396"/>
        <item m="1" x="3096"/>
        <item m="1" x="1606"/>
        <item m="1" x="1712"/>
        <item m="1" x="1922"/>
        <item m="1" x="1715"/>
        <item m="1" x="630"/>
        <item m="1" x="1925"/>
        <item m="1" x="755"/>
        <item m="1" x="1403"/>
        <item m="1" x="2267"/>
        <item m="1" x="1721"/>
        <item m="1" x="526"/>
        <item m="1" x="1828"/>
        <item m="1" x="638"/>
        <item m="1" x="2598"/>
        <item m="1" x="3235"/>
        <item m="1" x="1407"/>
        <item m="1" x="2055"/>
        <item m="1" x="991"/>
        <item m="1" x="3661"/>
        <item m="1" x="1835"/>
        <item m="1" x="2603"/>
        <item m="1" x="1410"/>
        <item m="1" x="3447"/>
        <item m="1" x="248"/>
        <item m="1" x="359"/>
        <item m="1" x="3340"/>
        <item m="1" x="2177"/>
        <item m="1" x="556"/>
        <item m="1" x="1341"/>
        <item m="1" x="1555"/>
        <item m="1" x="1655"/>
        <item m="1" x="1245"/>
        <item m="1" x="1988"/>
        <item m="1" x="3037"/>
        <item m="1" x="3676"/>
        <item m="1" x="3570"/>
        <item m="1" x="268"/>
        <item m="1" x="2855"/>
        <item m="1" x="2964"/>
        <item m="1" x="1773"/>
        <item m="1" x="2427"/>
        <item m="1" x="573"/>
        <item m="1" x="1873"/>
        <item m="1" x="3281"/>
        <item m="1" x="825"/>
        <item m="1" x="1455"/>
        <item m="1" x="2099"/>
        <item m="1" x="2215"/>
        <item m="1" x="3600"/>
        <item m="1" x="2432"/>
        <item m="1" x="3071"/>
        <item m="1" x="199"/>
        <item m="1" x="1256"/>
        <item m="1" x="2531"/>
        <item m="1" x="3176"/>
        <item m="1" x="1359"/>
        <item m="1" x="2658"/>
        <item m="1" x="2220"/>
        <item m="1" x="2869"/>
        <item m="1" x="1674"/>
        <item m="1" x="203"/>
        <item m="1" x="2001"/>
        <item m="1" x="2661"/>
        <item m="1" x="3292"/>
        <item m="1" x="2112"/>
        <item m="1" x="3085"/>
        <item m="1" x="2542"/>
        <item m="1" x="1088"/>
        <item m="1" x="3401"/>
        <item m="1" x="744"/>
        <item m="1" x="1200"/>
        <item m="1" x="2044"/>
        <item m="1" x="874"/>
        <item m="1" x="2791"/>
        <item m="1" x="315"/>
        <item m="1" x="765"/>
        <item m="1" x="1924"/>
        <item m="1" x="2593"/>
        <item m="1" x="3225"/>
        <item m="1" x="3003"/>
        <item m="1" x="749"/>
        <item m="1" x="2156"/>
        <item m="1" x="3546"/>
        <item m="1" x="3487"/>
        <item m="1" x="1718"/>
        <item m="1" x="2472"/>
        <item m="1" x="1404"/>
        <item m="1" x="3549"/>
        <item m="1" x="673"/>
        <item m="1" x="3130"/>
        <item m="1" x="3670"/>
        <item m="1" x="3463"/>
        <item m="1" x="2414"/>
        <item m="1" x="2564"/>
        <item m="1" x="768"/>
        <item m="1" x="782"/>
        <item m="1" x="3186"/>
        <item m="1" x="2328"/>
        <item m="1" x="306"/>
        <item m="1" x="2613"/>
        <item m="1" x="2010"/>
        <item m="1" x="1887"/>
        <item m="1" x="344"/>
        <item m="1" x="3046"/>
        <item m="1" x="2640"/>
        <item m="1" x="1372"/>
        <item m="1" x="1725"/>
        <item h="1" x="1"/>
        <item h="1" m="1" x="2150"/>
        <item h="1" m="1" x="683"/>
        <item h="1" m="1" x="3305"/>
        <item h="1" m="1" x="1451"/>
        <item h="1" m="1" x="2716"/>
        <item h="1" m="1" x="2959"/>
        <item h="1" m="1" x="1392"/>
        <item h="1" m="1" x="1930"/>
        <item h="1" m="1" x="468"/>
        <item h="1" m="1" x="903"/>
        <item h="1" m="1" x="3024"/>
        <item h="1" m="1" x="1653"/>
        <item h="1" m="1" x="197"/>
        <item h="1" m="1" x="731"/>
        <item h="1" m="1" x="2981"/>
        <item h="1" m="1" x="428"/>
        <item h="1" m="1" x="2445"/>
        <item h="1" m="1" x="1645"/>
        <item h="1" m="1" x="2971"/>
        <item h="1" m="1" x="2123"/>
        <item h="1" m="1" x="2423"/>
        <item h="1" m="1" x="914"/>
        <item h="1" m="1" x="1231"/>
        <item h="1" m="1" x="1355"/>
        <item h="1" m="1" x="2347"/>
        <item h="1" m="1" x="814"/>
        <item h="1" m="1" x="3124"/>
        <item h="1" m="1" x="2815"/>
        <item h="1" m="1" x="2303"/>
        <item h="1" m="1" x="2892"/>
        <item h="1" m="1" x="3227"/>
        <item h="1" m="1" x="3339"/>
        <item h="1" m="1" x="2232"/>
        <item h="1" m="1" x="584"/>
        <item h="1" m="1" x="2289"/>
        <item h="1" m="1" x="1946"/>
        <item h="1" m="1" x="2072"/>
        <item h="1" m="1" x="796"/>
        <item h="1" m="1" x="1354"/>
        <item h="1" m="1" x="2864"/>
        <item h="1" m="1" x="1862"/>
        <item h="1" m="1" x="1187"/>
        <item h="1" m="1" x="1101"/>
        <item h="1" m="1" x="1071"/>
        <item h="1" m="1" x="2861"/>
        <item h="1" m="1" x="1350"/>
        <item h="1" m="1" x="1233"/>
        <item h="1" m="1" x="3623"/>
        <item h="1" m="1" x="2035"/>
        <item h="1" m="1" x="1439"/>
        <item h="1" m="1" x="3303"/>
        <item h="1" m="1" x="1515"/>
        <item h="1" m="1" x="2324"/>
        <item h="1" m="1" x="3564"/>
        <item h="1" m="1" x="459"/>
        <item h="1" m="1" x="1490"/>
        <item h="1" m="1" x="904"/>
        <item h="1" m="1" x="1997"/>
        <item h="1" m="1" x="1143"/>
        <item h="1" m="1" x="743"/>
        <item h="1" m="1" x="1523"/>
        <item h="1" m="1" x="3580"/>
        <item h="1" m="1" x="2521"/>
        <item h="1" m="1" x="3642"/>
        <item h="1" m="1" x="3607"/>
        <item h="1" m="1" x="263"/>
        <item h="1" m="1" x="2977"/>
        <item h="1" m="1" x="997"/>
        <item h="1" m="1" x="1378"/>
        <item h="1" m="1" x="2804"/>
        <item h="1" m="1" x="2360"/>
        <item h="1" m="1" x="1625"/>
        <item h="1" m="1" x="2606"/>
        <item h="1" m="1" x="1711"/>
        <item h="1" m="1" x="2687"/>
        <item h="1" m="1" x="2304"/>
        <item h="1" m="1" x="1859"/>
        <item h="1" m="1" x="346"/>
        <item h="1" m="1" x="2011"/>
        <item h="1" m="1" x="1113"/>
        <item h="1" m="1" x="988"/>
        <item h="1" m="1" x="912"/>
        <item h="1" m="1" x="2960"/>
        <item h="1" m="1" x="2455"/>
        <item h="1" m="1" x="2740"/>
        <item h="1" m="1" x="537"/>
        <item h="1" m="1" x="525"/>
        <item h="1" m="1" x="175"/>
        <item h="1" m="1" x="931"/>
        <item h="1" m="1" x="2742"/>
        <item h="1" m="1" x="1556"/>
        <item h="1" m="1" x="2708"/>
        <item h="1" m="1" x="877"/>
        <item h="1" m="1" x="1478"/>
        <item h="1" m="1" x="1371"/>
        <item h="1" m="1" x="1262"/>
        <item h="1" m="1" x="1095"/>
        <item h="1" m="1" x="1182"/>
        <item h="1" m="1" x="942"/>
        <item h="1" m="1" x="1106"/>
        <item h="1" m="1" x="1108"/>
        <item h="1" m="1" x="3376"/>
        <item h="1" m="1" x="599"/>
        <item h="1" m="1" x="626"/>
        <item h="1" m="1" x="1434"/>
        <item h="1" m="1" x="933"/>
        <item h="1" m="1" x="1492"/>
        <item h="1" m="1" x="2602"/>
        <item h="1" m="1" x="364"/>
        <item h="1" m="1" x="2322"/>
        <item h="1" m="1" x="1037"/>
        <item h="1" m="1" x="654"/>
        <item h="1" m="1" x="463"/>
        <item h="1" m="1" x="1136"/>
        <item h="1" m="1" x="3569"/>
        <item h="1" m="1" x="351"/>
        <item h="1" m="1" x="2854"/>
        <item h="1" m="1" x="2906"/>
        <item h="1" m="1" x="522"/>
        <item h="1" m="1" x="3187"/>
        <item h="1" m="1" x="2051"/>
        <item h="1" m="1" x="1844"/>
        <item h="1" m="1" x="423"/>
        <item h="1" m="1" x="3582"/>
        <item h="1" m="1" x="2666"/>
        <item h="1" m="1" x="815"/>
        <item h="1" m="1" x="2090"/>
        <item h="1" m="1" x="2502"/>
        <item h="1" m="1" x="2695"/>
        <item h="1" m="1" x="1599"/>
        <item h="1" m="1" x="2972"/>
        <item h="1" m="1" x="1611"/>
        <item h="1" m="1" x="1840"/>
        <item h="1" m="1" x="1234"/>
        <item h="1" m="1" x="1635"/>
        <item h="1" m="1" x="1465"/>
        <item h="1" m="1" x="1301"/>
        <item h="1" m="1" x="1498"/>
        <item h="1" m="1" x="518"/>
        <item h="1" m="1" x="1550"/>
        <item h="1" m="1" x="2678"/>
        <item h="1" m="1" x="3512"/>
        <item h="1" m="1" x="2681"/>
        <item h="1" m="1" x="1552"/>
        <item h="1" m="1" x="1860"/>
        <item h="1" m="1" x="3240"/>
        <item h="1" m="1" x="3614"/>
        <item h="1" m="1" x="1102"/>
        <item h="1" m="1" x="3608"/>
        <item h="1" m="1" x="2093"/>
        <item h="1" m="1" x="2410"/>
        <item h="1" m="1" x="1428"/>
        <item h="1" m="1" x="2580"/>
        <item h="1" m="1" x="2873"/>
        <item h="1" m="1" x="2111"/>
        <item h="1" m="1" x="264"/>
        <item h="1" m="1" x="280"/>
        <item h="1" m="1" x="339"/>
        <item h="1" m="1" x="3009"/>
        <item h="1" m="1" x="2513"/>
        <item h="1" m="1" x="3051"/>
        <item h="1" m="1" x="219"/>
        <item h="1" m="1" x="354"/>
        <item h="1" m="1" x="1660"/>
        <item h="1" m="1" x="2404"/>
        <item h="1" m="1" x="2543"/>
        <item h="1" m="1" x="1621"/>
        <item h="1" m="1" x="890"/>
        <item h="1" m="1" x="2450"/>
        <item h="1" m="1" x="1937"/>
        <item h="1" m="1" x="3244"/>
        <item h="1" m="1" x="2087"/>
        <item h="1" m="1" x="3236"/>
        <item h="1" m="1" x="2698"/>
        <item h="1" m="1" x="3480"/>
        <item h="1" m="1" x="820"/>
        <item h="1" m="1" x="3205"/>
        <item h="1" m="1" x="1091"/>
        <item h="1" m="1" x="3064"/>
        <item h="1" m="1" x="530"/>
        <item h="1" m="1" x="2171"/>
        <item h="1" m="1" x="3216"/>
        <item h="1" m="1" x="1728"/>
        <item h="1" m="1" x="1411"/>
        <item h="1" m="1" x="2745"/>
        <item h="1" m="1" x="3344"/>
        <item h="1" m="1" x="2764"/>
        <item h="1" m="1" x="2439"/>
        <item h="1" m="1" x="1229"/>
        <item h="1" m="1" x="1650"/>
        <item h="1" m="1" x="989"/>
        <item h="1" m="1" x="2091"/>
        <item h="1" m="1" x="3389"/>
        <item h="1" m="1" x="797"/>
        <item h="1" m="1" x="276"/>
        <item h="1" m="1" x="1827"/>
        <item h="1" m="1" x="2995"/>
        <item h="1" m="1" x="2131"/>
        <item h="1" m="1" x="3346"/>
        <item h="1" m="1" x="2314"/>
        <item h="1" m="1" x="1868"/>
        <item h="1" m="1" x="2600"/>
        <item h="1" m="1" x="3350"/>
        <item h="1" m="1" x="172"/>
        <item h="1" m="1" x="2876"/>
        <item h="1" m="1" x="3069"/>
        <item h="1" m="1" x="3655"/>
        <item h="1" m="1" x="474"/>
        <item h="1" m="1" x="411"/>
        <item h="1" m="1" x="515"/>
        <item h="1" m="1" x="2154"/>
        <item h="1" m="1" x="2334"/>
        <item h="1" m="1" x="1654"/>
        <item h="1" m="1" x="3621"/>
        <item h="1" m="1" x="3560"/>
        <item h="1" m="1" x="767"/>
        <item h="1" m="1" x="3675"/>
        <item h="1" m="1" x="3165"/>
        <item h="1" m="1" x="2801"/>
        <item h="1" m="1" x="506"/>
        <item h="1" m="1" x="2068"/>
        <item h="1" m="1" x="1406"/>
        <item h="1" m="1" x="1436"/>
        <item h="1" m="1" x="3070"/>
        <item h="1" m="1" x="2335"/>
        <item h="1" m="1" x="3334"/>
        <item h="1" m="1" x="1024"/>
        <item h="1" m="1" x="1002"/>
        <item h="1" m="1" x="3656"/>
        <item h="1" m="1" x="2280"/>
        <item h="1" m="1" x="204"/>
        <item h="1" m="1" x="1585"/>
        <item h="1" m="1" x="835"/>
        <item h="1" m="1" x="2757"/>
        <item h="1" m="1" x="2530"/>
        <item h="1" m="1" x="817"/>
        <item h="1" m="1" x="2620"/>
        <item h="1" m="1" x="3436"/>
        <item h="1" m="1" x="1979"/>
        <item h="1" m="1" x="3025"/>
        <item h="1" m="1" x="607"/>
        <item h="1" m="1" x="2008"/>
        <item h="1" m="1" x="3200"/>
        <item h="1" m="1" x="580"/>
        <item h="1" m="1" x="2160"/>
        <item h="1" m="1" x="2460"/>
        <item h="1" m="1" x="2396"/>
        <item h="1" m="1" x="2187"/>
        <item h="1" m="1" x="1819"/>
        <item h="1" m="1" x="2782"/>
        <item h="1" m="1" x="534"/>
        <item h="1" m="1" x="2525"/>
        <item h="1" m="1" x="992"/>
        <item h="1" m="1" x="369"/>
        <item h="1" m="1" x="445"/>
        <item h="1" m="1" x="2481"/>
        <item h="1" m="1" x="1764"/>
        <item h="1" m="1" x="2242"/>
        <item h="1" m="1" x="3161"/>
        <item h="1" m="1" x="1386"/>
        <item h="1" m="1" x="1441"/>
        <item h="1" m="1" x="1709"/>
        <item h="1" m="1" x="208"/>
        <item h="1" m="1" x="379"/>
        <item h="1" m="1" x="816"/>
        <item h="1" m="1" x="999"/>
        <item h="1" m="1" x="636"/>
        <item h="1" m="1" x="3333"/>
        <item h="1" m="1" x="3505"/>
        <item h="1" m="1" x="562"/>
        <item h="1" m="1" x="2849"/>
        <item h="1" m="1" x="2911"/>
        <item h="1" m="1" x="1600"/>
        <item h="1" m="1" x="1382"/>
        <item h="1" m="1" x="184"/>
        <item h="1" m="1" x="680"/>
        <item h="1" m="1" x="1420"/>
        <item h="1" m="1" x="1330"/>
        <item h="1" m="1" x="3301"/>
        <item h="1" m="1" x="1750"/>
        <item h="1" m="1" x="1661"/>
        <item h="1" m="1" x="963"/>
        <item h="1" m="1" x="224"/>
        <item h="1" m="1" x="1641"/>
        <item h="1" m="1" x="1417"/>
        <item h="1" m="1" x="865"/>
        <item h="1" m="1" x="1435"/>
        <item h="1" m="1" x="3533"/>
        <item h="1" m="1" x="3403"/>
        <item h="1" m="1" x="2233"/>
        <item h="1" m="1" x="1508"/>
        <item h="1" m="1" x="3232"/>
        <item h="1" m="1" x="2419"/>
        <item h="1" m="1" x="1268"/>
        <item h="1" m="1" x="863"/>
        <item h="1" m="1" x="2928"/>
        <item h="1" m="1" x="1730"/>
        <item h="1" m="1" x="2027"/>
        <item h="1" m="1" x="665"/>
        <item h="1" m="1" x="3478"/>
        <item h="1" m="1" x="2141"/>
        <item h="1" m="1" x="777"/>
        <item h="1" m="1" x="586"/>
        <item h="1" m="1" x="2135"/>
        <item h="1" m="1" x="3201"/>
        <item h="1" m="1" x="3625"/>
        <item h="1" m="1" x="694"/>
        <item h="1" m="1" x="2057"/>
        <item h="1" m="1" x="1506"/>
        <item h="1" m="1" x="1291"/>
        <item h="1" m="1" x="2790"/>
        <item h="1" m="1" x="3372"/>
        <item h="1" m="1" x="3272"/>
        <item h="1" m="1" x="1082"/>
        <item h="1" m="1" x="1221"/>
        <item h="1" m="1" x="1568"/>
        <item h="1" m="1" x="3163"/>
        <item h="1" m="1" x="1077"/>
        <item h="1" m="1" x="3632"/>
        <item h="1" m="1" x="1693"/>
        <item h="1" m="1" x="1379"/>
        <item h="1" m="1" x="2124"/>
        <item h="1" m="1" x="1679"/>
        <item h="1" m="1" x="3565"/>
        <item h="1" m="1" x="1103"/>
        <item h="1" m="1" x="3129"/>
        <item h="1" m="1" x="2053"/>
        <item h="1" m="1" x="2653"/>
        <item h="1" m="1" x="734"/>
        <item h="1" m="1" x="402"/>
        <item h="1" m="1" x="2080"/>
        <item h="1" m="1" x="1297"/>
        <item h="1" m="1" x="2424"/>
        <item h="1" m="1" x="2172"/>
        <item h="1" m="1" x="701"/>
        <item h="1" m="1" x="807"/>
        <item h="1" m="1" x="501"/>
        <item h="1" m="1" x="3191"/>
        <item h="1" m="1" x="2075"/>
        <item h="1" m="1" x="176"/>
        <item h="1" m="1" x="2649"/>
        <item h="1" m="1" x="1591"/>
        <item h="1" m="1" x="2532"/>
        <item h="1" m="1" x="1302"/>
        <item h="1" m="1" x="2643"/>
        <item h="1" m="1" x="410"/>
        <item h="1" m="1" x="787"/>
        <item h="1" m="1" x="2316"/>
        <item h="1" m="1" x="1637"/>
        <item h="1" m="1" x="1442"/>
        <item h="1" m="1" x="1522"/>
        <item h="1" m="1" x="284"/>
        <item h="1" m="1" x="715"/>
        <item h="1" m="1" x="291"/>
        <item h="1" m="1" x="2966"/>
        <item h="1" m="1" x="1177"/>
        <item h="1" m="1" x="883"/>
        <item h="1" m="1" x="1668"/>
        <item h="1" m="1" x="1226"/>
        <item h="1" m="1" x="1885"/>
        <item h="1" m="1" x="3527"/>
        <item h="1" m="1" x="723"/>
        <item h="1" m="1" x="930"/>
        <item h="1" m="1" x="3210"/>
        <item h="1" m="1" x="1144"/>
        <item h="1" m="1" x="2766"/>
        <item h="1" m="1" x="2652"/>
        <item h="1" m="1" x="1431"/>
        <item h="1" m="1" x="1321"/>
        <item h="1" m="1" x="2409"/>
        <item h="1" m="1" x="696"/>
        <item h="1" m="1" x="3459"/>
        <item h="1" m="1" x="3101"/>
        <item h="1" m="1" x="1517"/>
        <item h="1" m="1" x="3050"/>
        <item h="1" m="1" x="2657"/>
        <item h="1" m="1" x="367"/>
        <item h="1" m="1" x="2890"/>
        <item h="1" m="1" x="2083"/>
        <item h="1" m="1" x="2076"/>
        <item h="1" m="1" x="2807"/>
        <item h="1" m="1" x="502"/>
        <item h="1" m="1" x="1124"/>
        <item h="1" m="1" x="3260"/>
        <item h="1" m="1" x="3588"/>
        <item h="1" m="1" x="3116"/>
        <item h="1" m="1" x="1717"/>
        <item h="1" m="1" x="1741"/>
        <item h="1" m="1" x="2538"/>
        <item h="1" m="1" x="2839"/>
        <item h="1" m="1" x="2429"/>
        <item h="1" m="1" x="1326"/>
        <item h="1" m="1" x="2381"/>
        <item h="1" m="1" x="1956"/>
        <item h="1" m="1" x="2789"/>
        <item h="1" m="1" x="3084"/>
        <item h="1" m="1" x="2510"/>
        <item h="1" m="1" x="2353"/>
        <item h="1" m="1" x="547"/>
        <item h="1" m="1" x="2434"/>
        <item h="1" m="1" x="255"/>
        <item h="1" m="1" x="1832"/>
        <item h="1" m="1" x="1737"/>
        <item h="1" m="1" x="1596"/>
        <item h="1" m="1" x="3002"/>
        <item h="1" m="1" x="2726"/>
        <item h="1" m="1" x="1495"/>
        <item h="1" m="1" x="2646"/>
        <item h="1" m="1" x="2843"/>
        <item h="1" m="1" x="3481"/>
        <item h="1" m="1" x="2824"/>
        <item h="1" m="1" x="3213"/>
        <item h="1" m="1" x="464"/>
        <item h="1" m="1" x="1266"/>
        <item h="1" m="1" x="2354"/>
        <item h="1" m="1" x="1274"/>
        <item h="1" m="1" x="1554"/>
        <item h="1" m="1" x="2624"/>
        <item h="1" m="1" x="920"/>
        <item h="1" m="1" x="3012"/>
        <item h="1" m="1" x="3606"/>
        <item h="1" m="1" x="247"/>
        <item h="1" m="1" x="3065"/>
        <item h="1" m="1" x="544"/>
        <item h="1" m="1" x="1723"/>
        <item h="1" m="1" x="2771"/>
        <item h="1" m="1" x="2645"/>
        <item h="1" m="1" x="3385"/>
        <item h="1" m="1" x="1328"/>
        <item h="1" m="1" x="1029"/>
        <item h="1" m="1" x="3169"/>
        <item h="1" m="1" x="1058"/>
        <item h="1" m="1" x="697"/>
        <item h="1" m="1" x="319"/>
        <item h="1" m="1" x="3053"/>
        <item h="1" m="1" x="2630"/>
        <item h="1" m="1" x="222"/>
        <item h="1" m="1" x="2755"/>
        <item h="1" m="1" x="1814"/>
        <item h="1" m="1" x="1638"/>
        <item h="1" m="1" x="1758"/>
        <item h="1" m="1" x="939"/>
        <item h="1" m="1" x="2392"/>
        <item h="1" m="1" x="2383"/>
        <item h="1" m="1" x="2095"/>
        <item h="1" m="1" x="266"/>
        <item h="1" m="1" x="3515"/>
        <item h="1" m="1" x="1959"/>
        <item h="1" m="1" x="3603"/>
        <item h="1" m="1" x="1682"/>
        <item h="1" m="1" x="1485"/>
        <item h="1" m="1" x="564"/>
        <item h="1" m="1" x="349"/>
        <item h="1" m="1" x="891"/>
        <item h="1" m="1" x="2467"/>
        <item h="1" m="1" x="1207"/>
        <item h="1" m="1" x="1254"/>
        <item h="1" m="1" x="2405"/>
        <item h="1" m="1" x="2462"/>
        <item h="1" m="1" x="1861"/>
        <item h="1" m="1" x="897"/>
        <item h="1" m="1" x="1673"/>
        <item h="1" m="1" x="2651"/>
        <item h="1" m="1" x="1983"/>
        <item h="1" m="1" x="358"/>
        <item h="1" m="1" x="2263"/>
        <item h="1" m="1" x="3048"/>
        <item h="1" m="1" x="1996"/>
        <item h="1" m="1" x="739"/>
        <item h="1" m="1" x="558"/>
        <item h="1" m="1" x="1900"/>
        <item h="1" m="1" x="3496"/>
        <item h="1" m="1" x="685"/>
        <item h="1" m="1" x="595"/>
        <item h="1" m="1" x="1246"/>
        <item h="1" m="1" x="1288"/>
        <item h="1" m="1" x="1019"/>
        <item h="1" m="1" x="3617"/>
        <item h="1" m="1" x="1459"/>
        <item h="1" m="1" x="3507"/>
        <item h="1" m="1" x="2306"/>
        <item h="1" m="1" x="2868"/>
        <item h="1" m="1" x="1769"/>
        <item h="1" m="1" x="2761"/>
        <item h="1" m="1" x="1429"/>
        <item h="1" m="1" x="273"/>
        <item h="1" m="1" x="1646"/>
        <item h="1" m="1" x="2820"/>
        <item h="1" m="1" x="3589"/>
        <item h="1" m="1" x="1908"/>
        <item h="1" m="1" x="519"/>
        <item h="1" m="1" x="3500"/>
        <item h="1" m="1" x="1910"/>
        <item h="1" m="1" x="3489"/>
        <item h="1" m="1" x="393"/>
        <item h="1" m="1" x="970"/>
        <item h="1" m="1" x="2915"/>
        <item h="1" m="1" x="2384"/>
        <item h="1" m="1" x="1720"/>
        <item h="1" m="1" x="1792"/>
        <item h="1" m="1" x="2597"/>
        <item m="1" x="2825"/>
        <item m="1" x="2183"/>
        <item m="1" x="1845"/>
        <item m="1" x="2411"/>
        <item m="1" x="2201"/>
        <item m="1" x="2900"/>
        <item m="1" x="432"/>
        <item m="1" x="1272"/>
        <item m="1" x="1374"/>
        <item m="1" x="1893"/>
        <item m="1" x="223"/>
        <item m="1" x="3428"/>
        <item m="1" x="1529"/>
        <item m="1" x="2992"/>
        <item m="1" x="3673"/>
        <item m="1" x="3242"/>
        <item m="1" x="1626"/>
        <item m="1" x="2018"/>
        <item m="1" x="1789"/>
        <item m="1" x="3581"/>
        <item m="1" x="259"/>
        <item m="1" x="3263"/>
        <item m="1" x="2660"/>
        <item m="1" x="3400"/>
        <item m="1" x="2762"/>
        <item m="1" x="1883"/>
        <item m="1" x="1891"/>
        <item m="1" x="3193"/>
        <item m="1" x="1779"/>
        <item m="1" x="475"/>
        <item m="1" x="945"/>
        <item m="1" x="489"/>
        <item m="1" x="2877"/>
        <item m="1" x="2982"/>
        <item m="1" x="3412"/>
        <item m="1" x="884"/>
        <item m="1" x="3667"/>
        <item m="1" x="1349"/>
        <item m="1" x="3189"/>
        <item m="1" x="1121"/>
        <item m="1" x="314"/>
        <item m="1" x="3097"/>
        <item m="1" x="2235"/>
        <item m="1" x="1852"/>
        <item m="1" x="1834"/>
        <item m="1" x="495"/>
        <item m="1" x="1586"/>
        <item m="1" x="2763"/>
        <item m="1" x="3109"/>
        <item m="1" x="2194"/>
        <item m="1" x="888"/>
        <item m="1" x="3419"/>
        <item m="1" x="1116"/>
        <item m="1" x="1011"/>
        <item m="1" x="3036"/>
        <item m="1" x="1313"/>
        <item m="1" x="1211"/>
        <item m="1" x="2058"/>
        <item m="1" x="2275"/>
        <item m="1" x="2483"/>
        <item m="1" x="3315"/>
        <item m="1" x="2576"/>
        <item m="1" x="446"/>
        <item m="1" x="1739"/>
        <item m="1" x="2546"/>
        <item m="1" x="1467"/>
        <item m="1" x="216"/>
        <item m="1" x="2134"/>
        <item m="1" x="3633"/>
        <item m="1" x="2929"/>
        <item m="1" x="1999"/>
        <item m="1" x="311"/>
        <item m="1" x="2541"/>
        <item m="1" x="2946"/>
        <item m="1" x="373"/>
        <item m="1" x="1217"/>
        <item m="1" x="444"/>
        <item m="1" x="1521"/>
        <item m="1" x="391"/>
        <item m="1" x="3155"/>
        <item m="1" x="666"/>
        <item m="1" x="2634"/>
        <item m="1" x="1793"/>
        <item m="1" x="3195"/>
        <item m="1" x="779"/>
        <item m="1" x="637"/>
        <item m="1" x="1157"/>
        <item m="1" x="2350"/>
        <item m="1" x="1697"/>
        <item m="1" x="2682"/>
        <item m="1" x="2006"/>
        <item m="1" x="764"/>
        <item m="1" x="3054"/>
        <item m="1" x="1260"/>
        <item m="1" x="3483"/>
        <item m="1" x="2559"/>
        <item m="1" x="3677"/>
        <item m="1" x="3472"/>
        <item m="1" x="2563"/>
        <item m="1" x="2514"/>
        <item m="1" x="2967"/>
        <item m="1" x="667"/>
        <item m="1" x="3332"/>
        <item m="1" x="1708"/>
        <item m="1" x="3427"/>
        <item m="1" x="1065"/>
        <item m="1" x="3524"/>
        <item m="1" x="2898"/>
        <item m="1" x="788"/>
        <item m="1" x="2287"/>
        <item m="1" x="2770"/>
        <item m="1" x="1886"/>
        <item m="1" x="789"/>
        <item m="1" x="1648"/>
        <item m="1" x="3349"/>
        <item m="1" x="3558"/>
        <item m="1" x="676"/>
        <item m="1" x="1216"/>
        <item m="1" x="1829"/>
        <item m="1" x="1560"/>
        <item m="1" x="2865"/>
        <item m="1" x="1780"/>
        <item m="1" x="2584"/>
        <item m="1" x="1499"/>
        <item m="1" x="1093"/>
        <item m="1" x="3611"/>
        <item m="1" x="3509"/>
        <item m="1" x="3014"/>
        <item m="1" x="1602"/>
        <item m="1" x="1706"/>
        <item m="1" x="1875"/>
        <item m="1" x="1357"/>
        <item m="1" x="2663"/>
        <item m="1" x="3086"/>
        <item m="1" x="2373"/>
        <item m="1" x="2795"/>
        <item m="1" x="237"/>
        <item m="1" x="2165"/>
        <item m="1" x="1647"/>
        <item m="1" x="3030"/>
        <item m="1" x="365"/>
        <item m="1" x="2415"/>
        <item m="1" x="3278"/>
        <item m="1" x="2748"/>
        <item m="1" x="195"/>
        <item m="1" x="2656"/>
        <item m="1" x="2097"/>
        <item m="1" x="1188"/>
        <item m="1" x="2974"/>
        <item m="1" x="303"/>
        <item m="1" x="507"/>
        <item m="1" x="2257"/>
        <item m="1" x="3534"/>
        <item m="1" x="2372"/>
        <item m="1" x="2594"/>
        <item m="1" x="2471"/>
        <item m="1" x="1538"/>
        <item m="1" x="549"/>
        <item m="1" x="3479"/>
        <item m="1" x="591"/>
        <item m="1" x="2422"/>
        <item m="1" x="298"/>
        <item m="1" x="771"/>
        <item m="1" x="3218"/>
        <item m="1" x="3329"/>
        <item m="1" x="3360"/>
        <item m="1" x="435"/>
        <item m="1" x="645"/>
        <item m="1" x="1315"/>
        <item m="1" x="1219"/>
        <item m="1" x="2071"/>
        <item m="1" x="2296"/>
        <item m="1" x="2229"/>
        <item m="1" x="951"/>
        <item m="1" x="2116"/>
        <item m="1" x="585"/>
        <item m="1" x="1224"/>
        <item m="1" x="695"/>
        <item m="1" x="3145"/>
        <item m="1" x="3462"/>
        <item m="1" x="2401"/>
        <item m="1" x="2219"/>
        <item m="1" x="1163"/>
        <item m="1" x="1059"/>
        <item m="1" x="949"/>
        <item m="1" x="3615"/>
        <item m="1" x="1174"/>
        <item m="1" x="1690"/>
        <item m="1" x="523"/>
        <item m="1" x="2922"/>
        <item m="1" x="560"/>
        <item m="1" x="811"/>
        <item m="1" x="3345"/>
        <item m="1" x="1734"/>
        <item m="1" x="2184"/>
        <item m="1" x="253"/>
        <item m="1" x="1843"/>
        <item m="1" x="3031"/>
        <item m="1" x="996"/>
        <item m="1" x="1623"/>
        <item m="1" x="3555"/>
        <item m="1" x="2389"/>
        <item m="1" x="1220"/>
        <item m="1" x="466"/>
        <item m="1" x="2282"/>
        <item m="1" x="924"/>
        <item m="1" x="3042"/>
        <item m="1" x="370"/>
        <item m="1" x="2728"/>
        <item m="1" x="3351"/>
        <item m="1" x="3681"/>
        <item m="1" x="1774"/>
        <item m="1" x="2431"/>
        <item m="1" x="828"/>
        <item m="1" x="174"/>
        <item m="1" x="2102"/>
        <item m="1" x="3579"/>
        <item m="1" x="1358"/>
        <item m="1" x="1565"/>
        <item m="1" x="937"/>
        <item m="1" x="2866"/>
        <item m="1" x="1671"/>
        <item m="1" x="2973"/>
        <item m="1" x="2320"/>
        <item m="1" x="2756"/>
        <item m="1" x="1677"/>
        <item m="1" x="1094"/>
        <item m="1" x="3196"/>
        <item m="1" x="1304"/>
        <item m="1" x="2595"/>
        <item m="1" x="2709"/>
        <item m="1" x="2159"/>
        <item m="1" x="2382"/>
        <item m="1" x="3133"/>
        <item m="1" x="2715"/>
        <item m="1" x="1617"/>
        <item m="1" x="3135"/>
        <item m="1" x="917"/>
        <item m="1" x="3559"/>
        <item m="1" x="256"/>
        <item m="1" x="366"/>
        <item m="1" x="1035"/>
        <item m="1" x="918"/>
        <item m="1" x="2609"/>
        <item m="1" x="3248"/>
        <item m="1" x="2720"/>
        <item m="1" x="2821"/>
        <item m="1" x="3458"/>
        <item m="1" x="926"/>
        <item m="1" x="1039"/>
        <item m="1" x="569"/>
        <item m="1" x="699"/>
        <item m="1" x="1356"/>
        <item m="1" x="1669"/>
        <item m="1" x="2969"/>
        <item m="1" x="2319"/>
        <item m="1" x="2108"/>
        <item m="1" x="413"/>
        <item m="1" x="610"/>
        <item m="1" x="2437"/>
        <item m="1" x="3185"/>
        <item m="1" x="1085"/>
        <item m="1" x="305"/>
        <item m="1" x="3510"/>
        <item m="1" x="2793"/>
        <item m="1" x="235"/>
        <item m="1" x="548"/>
        <item m="1" x="1337"/>
        <item m="1" x="2853"/>
        <item m="1" x="929"/>
        <item m="1" x="3378"/>
        <item m="1" x="615"/>
        <item m="1" x="1505"/>
        <item m="1" x="790"/>
        <item m="1" x="1761"/>
        <item m="1" x="2520"/>
        <item m="1" x="2850"/>
        <item m="1" x="229"/>
        <item m="1" x="231"/>
        <item m="1" x="1746"/>
        <item m="1" x="1433"/>
        <item m="1" x="1649"/>
        <item m="1" x="3477"/>
        <item m="1" x="2259"/>
        <item m="1" x="775"/>
        <item m="1" x="187"/>
        <item m="1" x="2045"/>
        <item m="1" x="3276"/>
        <item m="1" x="2701"/>
        <item m="1" x="1132"/>
        <item m="1" x="1632"/>
        <item m="1" x="3226"/>
        <item m="1" x="2909"/>
        <item m="1" x="1740"/>
        <item m="1" x="2371"/>
        <item m="1" x="347"/>
        <item m="1" x="3066"/>
        <item m="1" x="3123"/>
        <item m="1" x="3126"/>
        <item m="1" x="2838"/>
        <item m="1" x="1237"/>
        <item m="1" x="2202"/>
        <item m="1" x="2693"/>
        <item m="1" x="1319"/>
        <item m="1" x="3018"/>
        <item m="1" x="3268"/>
        <item m="1" x="604"/>
        <item m="1" x="3371"/>
        <item m="1" x="538"/>
        <item m="1" x="2393"/>
        <item m="1" x="1367"/>
        <item m="1" x="2200"/>
        <item m="1" x="961"/>
        <item m="1" x="3277"/>
        <item m="1" x="1125"/>
        <item m="1" x="388"/>
        <item m="1" x="2400"/>
        <item m="1" x="670"/>
        <item m="1" x="1698"/>
        <item m="1" x="855"/>
        <item m="1" x="1545"/>
        <item m="1" x="2449"/>
        <item m="1" x="2129"/>
        <item m="1" x="1141"/>
        <item m="1" x="3149"/>
        <item m="1" x="2840"/>
        <item m="1" x="2577"/>
        <item m="1" x="331"/>
        <item m="1" x="2582"/>
        <item m="1" x="3537"/>
        <item m="1" x="3542"/>
        <item m="1" x="1805"/>
        <item m="1" x="2556"/>
        <item m="1" x="2673"/>
        <item m="1" x="2676"/>
        <item m="1" x="483"/>
        <item m="1" x="2412"/>
        <item m="1" x="1905"/>
        <item m="1" x="2180"/>
        <item m="1" x="2841"/>
        <item m="1" x="1060"/>
        <item m="1" x="3413"/>
        <item m="1" x="1209"/>
        <item m="1" x="634"/>
        <item m="1" x="826"/>
        <item m="1" x="2454"/>
        <item m="1" x="986"/>
        <item m="1" x="1696"/>
        <item m="1" x="1966"/>
        <item m="1" x="2627"/>
        <item m="1" x="879"/>
        <item m="1" x="2408"/>
        <item m="1" x="577"/>
        <item m="1" x="2997"/>
        <item m="1" x="3572"/>
        <item m="1" x="3518"/>
        <item m="1" x="1536"/>
        <item m="1" x="3461"/>
        <item m="1" x="286"/>
        <item m="1" x="2607"/>
        <item m="1" x="2484"/>
        <item m="1" x="720"/>
        <item m="1" x="3586"/>
        <item m="1" x="396"/>
        <item m="1" x="900"/>
        <item m="1" x="1214"/>
        <item m="1" x="438"/>
        <item m="1" x="2003"/>
        <item m="1" x="283"/>
        <item m="1" x="491"/>
        <item m="1" x="2277"/>
        <item m="1" x="3114"/>
        <item m="1" x="3482"/>
        <item m="1" x="3271"/>
        <item m="1" x="1947"/>
        <item m="1" x="2545"/>
        <item m="1" x="2223"/>
        <item m="1" x="2951"/>
        <item m="1" x="705"/>
        <item m="1" x="2734"/>
        <item m="1" x="2248"/>
        <item m="1" x="936"/>
        <item m="1" x="3417"/>
        <item m="1" x="3264"/>
        <item m="1" x="2945"/>
        <item m="1" x="1134"/>
        <item m="1" x="2239"/>
        <item m="1" x="1896"/>
        <item m="1" x="2565"/>
        <item m="1" x="2023"/>
        <item m="1" x="955"/>
        <item m="1" x="1176"/>
        <item m="1" x="1951"/>
        <item m="1" x="2015"/>
        <item m="1" x="2121"/>
        <item m="1" x="3098"/>
        <item m="1" x="1271"/>
        <item m="1" x="851"/>
        <item m="1" x="730"/>
        <item m="1" x="2492"/>
        <item m="1" x="1851"/>
        <item m="1" x="1477"/>
        <item m="1" x="376"/>
        <item m="1" x="3352"/>
        <item m="1" x="1592"/>
        <item m="1" x="218"/>
        <item m="1" x="1699"/>
        <item m="1" x="2684"/>
        <item m="1" x="2572"/>
        <item m="1" x="2348"/>
        <item m="1" x="2780"/>
        <item m="1" x="2739"/>
        <item m="1" x="769"/>
        <item m="1" x="776"/>
        <item m="1" x="844"/>
        <item m="1" x="3199"/>
        <item m="1" x="753"/>
        <item m="1" x="3629"/>
        <item m="1" x="436"/>
        <item m="1" x="3314"/>
        <item m="1" x="1782"/>
        <item m="1" x="582"/>
        <item m="1" x="709"/>
        <item m="1" x="646"/>
        <item m="1" x="2573"/>
        <item m="1" x="1614"/>
        <item m="1" x="2605"/>
        <item m="1" x="1366"/>
        <item m="1" x="1464"/>
        <item m="1" x="1413"/>
        <item m="1" x="1577"/>
        <item m="1" x="2224"/>
        <item m="1" x="2927"/>
        <item m="1" x="447"/>
        <item m="1" x="492"/>
        <item m="1" x="2278"/>
        <item m="1" x="2878"/>
        <item m="1" x="1941"/>
        <item m="1" x="652"/>
        <item m="1" x="1570"/>
        <item m="1" x="1051"/>
        <item m="1" x="1675"/>
        <item m="1" x="440"/>
        <item m="1" x="1316"/>
        <item m="1" x="3530"/>
        <item m="1" x="1000"/>
        <item m="1" x="1795"/>
        <item m="1" x="2993"/>
        <item m="1" x="1800"/>
        <item m="1" x="3004"/>
        <item m="1" x="3151"/>
        <item m="1" x="239"/>
        <item m="1" x="2579"/>
        <item m="1" x="2311"/>
        <item m="1" x="1817"/>
        <item m="1" x="1713"/>
        <item m="1" x="1462"/>
        <item m="1" x="2029"/>
        <item m="1" x="1928"/>
        <item m="1" x="2041"/>
        <item m="1" x="962"/>
        <item m="1" x="1347"/>
        <item m="1" x="1376"/>
        <item m="1" x="973"/>
        <item m="1" x="2459"/>
        <item m="1" x="3441"/>
        <item m="1" x="2920"/>
        <item m="1" x="1865"/>
        <item m="1" x="1159"/>
        <item m="1" x="1275"/>
        <item m="1" x="291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2036"/>
        <item m="1" x="3562"/>
        <item m="1" x="448"/>
        <item m="1" x="1558"/>
        <item m="1" x="1613"/>
        <item m="1" x="3057"/>
        <item m="1" x="2818"/>
        <item m="1" x="1393"/>
        <item m="1" x="1821"/>
        <item m="1" x="3131"/>
        <item m="1" x="590"/>
        <item m="1" x="778"/>
        <item m="1" x="1902"/>
        <item m="1" x="3077"/>
        <item m="1" x="1931"/>
        <item m="1" x="1760"/>
        <item m="1" x="747"/>
        <item m="1" x="3082"/>
        <item m="1" x="1620"/>
        <item m="1" x="2629"/>
        <item m="1" x="3288"/>
        <item m="1" x="748"/>
        <item m="1" x="2803"/>
        <item m="1" x="925"/>
        <item m="1" x="1370"/>
        <item m="1" x="675"/>
        <item m="1" x="2655"/>
        <item m="1" x="3652"/>
        <item m="1" x="3206"/>
        <item m="1" x="1732"/>
        <item m="1" x="2777"/>
        <item m="1" x="3265"/>
        <item m="1" x="3238"/>
        <item m="1" x="1768"/>
        <item m="1" x="1398"/>
        <item m="1" x="2227"/>
        <item m="1" x="2938"/>
        <item m="1" x="1710"/>
        <item m="1" x="882"/>
        <item m="1" x="1290"/>
        <item m="1" x="3321"/>
        <item m="1" x="3526"/>
        <item m="1" x="1327"/>
        <item m="1" x="810"/>
        <item m="1" x="1438"/>
        <item m="1" x="2022"/>
        <item m="1" x="2888"/>
        <item m="1" x="3280"/>
        <item m="1" x="995"/>
        <item m="1" x="3136"/>
        <item m="1" x="3631"/>
        <item m="1" x="2953"/>
        <item m="1" x="3067"/>
        <item m="1" x="2158"/>
        <item m="1" x="1251"/>
        <item m="1" x="1117"/>
        <item m="1" x="2205"/>
        <item m="1" x="3108"/>
        <item m="1" x="3666"/>
        <item m="1" x="378"/>
        <item m="1" x="3254"/>
        <item m="1" x="1982"/>
        <item m="1" x="1812"/>
        <item m="1" x="2880"/>
        <item m="1" x="3648"/>
        <item m="1" x="287"/>
        <item m="1" x="621"/>
        <item m="1" x="1021"/>
        <item m="1" x="2954"/>
        <item m="1" x="2744"/>
        <item m="1" x="2781"/>
        <item m="1" x="2612"/>
        <item m="1" x="1494"/>
        <item m="1" x="1823"/>
        <item m="1" x="1345"/>
        <item m="1" x="2260"/>
        <item m="1" x="2385"/>
        <item m="1" x="3654"/>
        <item m="1" x="3107"/>
        <item m="1" x="1869"/>
        <item m="1" x="2817"/>
        <item m="1" x="1610"/>
        <item m="1" x="3164"/>
        <item m="1" x="3448"/>
        <item m="1" x="1913"/>
        <item m="1" x="3636"/>
        <item m="1" x="1248"/>
        <item m="1" x="1147"/>
        <item m="1" x="545"/>
        <item m="1" x="1867"/>
        <item m="1" x="3364"/>
        <item m="1" x="3557"/>
        <item m="1" x="3159"/>
        <item m="1" x="1061"/>
        <item m="1" x="309"/>
        <item m="1" x="2814"/>
        <item m="1" x="2707"/>
        <item m="1" x="2101"/>
        <item m="1" x="3511"/>
        <item m="1" x="1072"/>
        <item m="1" x="1503"/>
        <item m="1" x="3079"/>
        <item m="1" x="3521"/>
        <item m="1" x="497"/>
        <item m="1" x="3239"/>
        <item m="1" x="1123"/>
        <item m="1" x="2315"/>
        <item m="1" x="399"/>
        <item m="1" x="2794"/>
        <item m="1" x="1848"/>
        <item m="1" x="1105"/>
        <item m="1" x="3249"/>
        <item m="1" x="1839"/>
        <item m="1" x="684"/>
        <item m="1" x="1118"/>
        <item m="1" x="3147"/>
        <item m="1" x="1791"/>
        <item m="1" x="486"/>
        <item m="1" x="1139"/>
        <item m="1" x="2094"/>
        <item m="1" x="1293"/>
        <item m="1" x="1915"/>
        <item m="1" x="1628"/>
        <item m="1" x="1497"/>
        <item m="1" x="2575"/>
        <item m="1" x="2588"/>
        <item m="1" x="2948"/>
        <item m="1" x="594"/>
        <item m="1" x="2528"/>
        <item m="1" x="2893"/>
        <item m="1" x="1958"/>
        <item m="1" x="414"/>
        <item m="1" x="1702"/>
        <item m="1" x="2830"/>
        <item m="1" x="3663"/>
        <item m="1" x="1714"/>
        <item m="1" x="3552"/>
        <item m="1" x="1763"/>
        <item m="1" x="3148"/>
        <item m="1" x="3624"/>
        <item m="1" x="275"/>
        <item m="1" x="2919"/>
        <item m="1" x="246"/>
        <item m="1" x="1300"/>
        <item m="1" x="978"/>
        <item m="1" x="2924"/>
        <item m="1" x="431"/>
        <item m="1" x="2836"/>
        <item m="1" x="1165"/>
        <item m="1" x="2498"/>
        <item m="1" x="712"/>
        <item m="1" x="3473"/>
        <item m="1" x="2148"/>
        <item m="1" x="766"/>
        <item m="1" x="1148"/>
        <item m="1" x="643"/>
        <item m="1" x="3647"/>
        <item m="1" x="2479"/>
        <item m="1" x="2553"/>
        <item m="1" x="1892"/>
        <item m="1" x="2741"/>
        <item m="1" x="2988"/>
        <item m="1" x="2012"/>
        <item m="1" x="2181"/>
        <item m="1" x="407"/>
        <item m="1" x="1281"/>
        <item m="1" x="1076"/>
        <item m="1" x="1722"/>
        <item m="1" x="458"/>
        <item m="1" x="3649"/>
        <item m="1" x="2760"/>
        <item m="1" x="1657"/>
        <item m="1" x="3251"/>
        <item m="1" x="2475"/>
        <item m="1" x="2251"/>
        <item m="1" x="2442"/>
        <item m="1" x="242"/>
        <item m="1" x="2107"/>
        <item m="1" x="1923"/>
        <item m="1" x="990"/>
        <item m="1" x="1335"/>
        <item m="1" x="3529"/>
        <item m="1" x="2104"/>
        <item m="1" x="2963"/>
        <item m="1" x="2110"/>
        <item m="1" x="209"/>
        <item m="1" x="1183"/>
        <item m="1" x="1484"/>
        <item m="1" x="1590"/>
        <item m="1" x="644"/>
        <item m="1" x="1572"/>
        <item m="1" x="3433"/>
        <item m="1" x="2535"/>
        <item m="1" x="1018"/>
        <item m="1" x="1342"/>
        <item m="1" x="1970"/>
        <item m="1" x="2717"/>
        <item m="1" x="233"/>
        <item m="1" x="2236"/>
        <item m="1" x="1440"/>
        <item m="1" x="2496"/>
        <item m="1" x="1940"/>
        <item m="1" x="613"/>
        <item m="1" x="3224"/>
        <item m="1" x="2540"/>
        <item m="1" x="1361"/>
        <item m="1" x="1716"/>
        <item m="1" x="2688"/>
        <item m="1" x="1205"/>
        <item m="1" x="2889"/>
        <item m="1" x="554"/>
        <item m="1" x="800"/>
        <item m="1" x="605"/>
        <item m="1" x="647"/>
        <item m="1" x="3669"/>
        <item m="1" x="2523"/>
        <item m="1" x="2169"/>
        <item m="1" x="1296"/>
        <item m="1" x="217"/>
        <item m="1" x="2897"/>
        <item m="1" x="3154"/>
        <item m="1" x="1878"/>
        <item m="1" x="2566"/>
        <item m="1" x="2689"/>
        <item m="1" x="1026"/>
        <item m="1" x="2950"/>
        <item m="1" x="2882"/>
        <item m="1" x="1593"/>
        <item m="1" x="3643"/>
        <item m="1" x="3571"/>
        <item m="1" x="1062"/>
        <item m="1" x="745"/>
        <item m="1" x="194"/>
        <item m="1" x="3175"/>
        <item m="1" x="3094"/>
        <item m="1" x="1306"/>
        <item m="1" x="1303"/>
        <item m="1" x="2529"/>
        <item m="1" x="481"/>
        <item m="1" x="3306"/>
        <item m="1" x="2933"/>
        <item m="1" x="1054"/>
        <item m="1" x="2754"/>
        <item m="1" x="3679"/>
        <item m="1" x="2317"/>
        <item m="1" x="932"/>
        <item m="1" x="1114"/>
        <item m="1" x="965"/>
        <item m="1" x="2166"/>
        <item m="1" x="2256"/>
        <item m="1" x="2635"/>
        <item m="1" x="2662"/>
        <item m="1" x="1528"/>
        <item m="1" x="974"/>
        <item m="1" x="3283"/>
        <item m="1" x="3167"/>
        <item m="1" x="2642"/>
        <item m="1" x="1212"/>
        <item m="1" x="546"/>
        <item m="1" x="1540"/>
        <item m="1" x="1685"/>
        <item m="1" x="1452"/>
        <item m="1" x="3180"/>
        <item m="1" x="3044"/>
        <item m="1" x="998"/>
        <item m="1" x="2499"/>
        <item m="1" x="2710"/>
        <item m="1" x="664"/>
        <item m="1" x="3504"/>
        <item m="1" x="1978"/>
        <item m="1" x="2914"/>
        <item m="1" x="1977"/>
        <item m="1" x="3039"/>
        <item m="1" x="2758"/>
        <item m="1" x="872"/>
        <item m="1" x="2456"/>
        <item m="1" x="2667"/>
        <item m="1" x="3519"/>
        <item m="1" x="3125"/>
        <item m="1" x="3181"/>
        <item m="1" x="2152"/>
        <item m="1" x="499"/>
        <item m="1" x="2193"/>
        <item m="1" x="2616"/>
        <item m="1" x="2266"/>
        <item m="1" x="2364"/>
        <item m="1" x="3678"/>
        <item m="1" x="2615"/>
        <item m="1" x="301"/>
        <item m="1" x="2537"/>
        <item m="1" x="2827"/>
        <item m="1" x="265"/>
        <item m="1" x="1343"/>
        <item m="1" x="2870"/>
        <item m="1" x="2567"/>
        <item m="1" x="3469"/>
        <item m="1" x="1412"/>
        <item m="1" x="2659"/>
        <item m="1" x="1199"/>
        <item m="1" x="1067"/>
        <item m="1" x="2668"/>
        <item m="1" x="2670"/>
        <item m="1" x="3001"/>
        <item m="1" x="873"/>
        <item m="1" x="551"/>
        <item m="1" x="1615"/>
        <item m="1" x="714"/>
        <item m="1" x="3422"/>
        <item m="1" x="1437"/>
        <item m="1" x="2983"/>
        <item m="1" x="2305"/>
        <item m="1" x="2917"/>
        <item m="1" x="1100"/>
        <item m="1" x="3502"/>
        <item m="1" x="2002"/>
        <item m="1" x="2747"/>
        <item m="1" x="2886"/>
        <item m="1" x="858"/>
        <item m="1" x="415"/>
        <item m="1" x="1249"/>
        <item m="1" x="2943"/>
        <item m="1" x="660"/>
        <item m="1" x="1013"/>
        <item m="1" x="3506"/>
        <item m="1" x="758"/>
        <item m="1" x="2881"/>
        <item m="1" x="1421"/>
        <item m="1" x="1609"/>
        <item m="1" x="746"/>
        <item m="1" x="1092"/>
        <item m="1" x="2188"/>
        <item m="1" x="2650"/>
        <item m="1" x="2798"/>
        <item m="1" x="2182"/>
        <item m="1" x="850"/>
        <item m="1" x="618"/>
        <item m="1" x="3561"/>
        <item m="1" x="1007"/>
        <item m="1" x="2718"/>
        <item m="1" x="1882"/>
        <item m="1" x="1240"/>
        <item m="1" x="1971"/>
        <item m="1" x="1383"/>
        <item m="1" x="1548"/>
        <item m="1" x="384"/>
        <item m="1" x="770"/>
        <item m="1" x="2941"/>
        <item m="1" x="205"/>
        <item m="1" x="1949"/>
        <item m="1" x="2261"/>
        <item m="1" x="2725"/>
        <item m="1" x="841"/>
        <item m="1" x="1425"/>
        <item m="1" x="460"/>
        <item m="1" x="2831"/>
        <item m="1" x="490"/>
        <item m="1" x="348"/>
        <item m="1" x="443"/>
        <item m="1" x="1658"/>
        <item m="1" x="3056"/>
        <item m="1" x="2344"/>
        <item m="1" x="801"/>
        <item m="1" x="1516"/>
        <item m="1" x="2692"/>
        <item m="1" x="802"/>
        <item m="1" x="2978"/>
        <item m="1" x="2583"/>
        <item m="1" x="849"/>
        <item m="1" x="2490"/>
        <item m="1" x="2247"/>
        <item m="1" x="1286"/>
        <item m="1" x="2000"/>
        <item m="1" x="3445"/>
        <item m="1" x="2527"/>
        <item m="1" x="2468"/>
        <item m="1" x="1115"/>
        <item m="1" x="1917"/>
        <item m="1" x="1995"/>
        <item m="1" x="1223"/>
        <item m="1" x="981"/>
        <item m="1" x="661"/>
        <item m="1" x="3637"/>
        <item m="1" x="469"/>
        <item m="1" x="650"/>
        <item m="1" x="3359"/>
        <item m="1" x="587"/>
        <item m="1" x="3598"/>
        <item m="1" x="1470"/>
        <item m="1" x="3090"/>
        <item m="1" x="2518"/>
        <item m="1" x="1336"/>
        <item m="1" x="975"/>
        <item m="1" x="1943"/>
        <item m="1" x="2295"/>
        <item m="1" x="1208"/>
        <item m="1" x="2874"/>
        <item m="1" x="332"/>
        <item m="1" x="2368"/>
        <item m="1" x="693"/>
        <item m="1" x="649"/>
        <item m="1" x="2550"/>
        <item m="1" x="655"/>
        <item m="1" x="1160"/>
        <item m="1" x="3092"/>
        <item m="1" x="2240"/>
        <item m="1" x="1264"/>
        <item m="1" x="1027"/>
        <item m="1" x="494"/>
        <item m="1" x="3493"/>
        <item m="1" x="2189"/>
        <item m="1" x="2536"/>
        <item m="1" x="3392"/>
        <item m="1" x="2222"/>
        <item m="1" x="3451"/>
        <item m="1" x="1127"/>
        <item m="1" x="2402"/>
        <item m="1" x="3083"/>
        <item m="1" x="3257"/>
        <item m="1" x="3202"/>
        <item m="1" x="375"/>
        <item m="1" x="1562"/>
        <item m="1" x="3616"/>
        <item m="1" x="1629"/>
        <item m="1" x="317"/>
        <item m="1" x="1557"/>
        <item m="1" x="1601"/>
        <item m="1" x="3628"/>
        <item m="1" x="629"/>
        <item m="1" x="3384"/>
        <item m="1" x="830"/>
        <item m="1" x="1569"/>
        <item m="1" x="1192"/>
        <item m="1" x="2105"/>
        <item m="1" x="976"/>
        <item m="1" x="1287"/>
        <item m="1" x="341"/>
        <item m="1" x="214"/>
        <item m="1" x="1644"/>
        <item m="1" x="2569"/>
        <item m="1" x="221"/>
        <item m="1" x="1543"/>
        <item m="1" x="1426"/>
        <item m="1" x="3426"/>
        <item m="1" x="3326"/>
        <item m="1" x="707"/>
        <item m="1" x="724"/>
        <item m="1" x="1154"/>
        <item m="1" x="2808"/>
        <item m="1" x="520"/>
        <item m="1" x="1863"/>
        <item m="1" x="3456"/>
        <item m="1" x="3270"/>
        <item m="1" x="313"/>
        <item m="1" x="1178"/>
        <item m="1" x="3418"/>
        <item m="1" x="3545"/>
        <item m="1" x="2139"/>
        <item m="1" x="2325"/>
        <item m="1" x="1156"/>
        <item m="1" x="3060"/>
        <item m="1" x="1998"/>
        <item m="1" x="532"/>
        <item m="1" x="1920"/>
        <item m="1" x="620"/>
        <item m="1" x="2835"/>
        <item m="1" x="1944"/>
        <item m="1" x="488"/>
        <item m="1" x="2337"/>
        <item m="1" x="2851"/>
        <item m="1" x="3639"/>
        <item m="1" x="1919"/>
        <item m="1" x="913"/>
        <item m="1" x="1252"/>
        <item m="1" x="1976"/>
        <item m="1" x="290"/>
        <item m="1" x="3440"/>
        <item m="1" x="648"/>
        <item m="1" x="1797"/>
        <item m="1" x="3197"/>
        <item m="1" x="803"/>
        <item m="1" x="1735"/>
        <item m="1" x="3536"/>
        <item m="1" x="1881"/>
        <item m="1" x="2675"/>
        <item m="1" x="854"/>
        <item m="1" x="2313"/>
        <item m="1" x="1009"/>
        <item m="1" x="1318"/>
        <item m="1" x="2288"/>
        <item m="1" x="1049"/>
        <item m="1" x="2515"/>
        <item m="1" x="3142"/>
        <item m="1" x="2265"/>
        <item m="1" x="416"/>
        <item m="1" x="307"/>
        <item m="1" x="1955"/>
        <item m="1" x="2361"/>
        <item m="1" x="3093"/>
        <item m="1" x="1481"/>
        <item m="1" x="2323"/>
        <item m="1" x="232"/>
        <item m="1" x="3304"/>
        <item m="1" x="2999"/>
        <item m="1" x="2292"/>
        <item m="1" x="550"/>
        <item m="1" x="322"/>
        <item m="1" x="1360"/>
        <item m="1" x="451"/>
        <item m="1" x="479"/>
        <item m="1" x="3660"/>
        <item m="1" x="418"/>
        <item m="1" x="1526"/>
        <item m="1" x="3398"/>
        <item m="1" x="422"/>
        <item m="1" x="3104"/>
        <item m="1" x="3250"/>
        <item m="1" x="2179"/>
        <item m="1" x="935"/>
        <item m="1" x="1759"/>
        <item m="1" x="2872"/>
        <item m="1" x="1195"/>
        <item m="1" x="2040"/>
        <item m="1" x="430"/>
        <item m="1" x="333"/>
        <item m="1" x="2979"/>
        <item m="1" x="533"/>
        <item m="1" x="1201"/>
        <item m="1" x="1822"/>
        <item m="1" x="2185"/>
        <item m="1" x="2970"/>
        <item m="1" x="895"/>
        <item m="1" x="503"/>
        <item m="1" x="3122"/>
        <item m="1" x="2375"/>
        <item m="1" x="3204"/>
        <item m="1" x="2147"/>
        <item m="1" x="3405"/>
        <item m="1" x="1864"/>
        <item m="1" x="3619"/>
        <item m="1" x="1365"/>
        <item m="1" x="938"/>
        <item m="1" x="1775"/>
        <item m="1" x="1513"/>
        <item m="1" x="2032"/>
        <item m="1" x="1453"/>
        <item m="1" x="633"/>
        <item m="1" x="1605"/>
        <item m="1" x="947"/>
        <item m="1" x="2792"/>
        <item m="1" x="1884"/>
        <item m="1" x="639"/>
        <item m="1" x="651"/>
        <item m="1" x="1935"/>
        <item m="1" x="1854"/>
        <item m="1" x="3327"/>
        <item m="1" x="1512"/>
        <item m="1" x="641"/>
        <item m="1" x="1984"/>
        <item m="1" x="2585"/>
        <item m="1" x="3468"/>
        <item m="1" x="606"/>
        <item m="1" x="2356"/>
        <item m="1" x="3525"/>
        <item m="1" x="1535"/>
        <item m="1" x="3380"/>
        <item m="1" x="2418"/>
        <item m="1" x="1391"/>
        <item m="1" x="2767"/>
        <item m="1" x="689"/>
        <item m="1" x="1985"/>
        <item m="1" x="2448"/>
        <item m="1" x="250"/>
        <item m="1" x="1073"/>
        <item m="1" x="885"/>
        <item m="1" x="3369"/>
        <item m="1" x="1581"/>
        <item m="1" x="2117"/>
        <item m="1" x="1705"/>
        <item m="1" x="2204"/>
        <item m="1" x="2216"/>
        <item m="1" x="1185"/>
        <item m="1" x="2501"/>
        <item m="1" x="508"/>
        <item m="1" x="2025"/>
        <item m="1" x="1450"/>
        <item m="1" x="2452"/>
        <item m="1" x="2132"/>
        <item m="1" x="213"/>
        <item m="1" x="1838"/>
        <item m="1" x="1518"/>
        <item m="1" x="3290"/>
        <item m="1" x="3474"/>
        <item m="1" x="1346"/>
        <item m="1" x="984"/>
        <item m="1" x="627"/>
        <item m="1" x="3370"/>
        <item m="1" x="2517"/>
        <item m="1" x="1967"/>
        <item m="1" x="2618"/>
        <item m="1" x="1957"/>
        <item m="1" x="3229"/>
        <item m="1" x="570"/>
        <item m="1" x="3055"/>
        <item m="1" x="527"/>
        <item m="1" x="2549"/>
        <item m="1" x="2902"/>
        <item m="1" x="3634"/>
        <item m="1" x="2357"/>
        <item m="1" x="3475"/>
        <item m="1" x="994"/>
        <item m="1" x="3015"/>
        <item m="1" x="3404"/>
        <item m="1" x="980"/>
        <item m="1" x="1298"/>
        <item m="1" x="2823"/>
        <item m="1" x="1607"/>
        <item m="1" x="960"/>
        <item m="1" x="450"/>
        <item m="1" x="1334"/>
        <item m="1" x="1981"/>
        <item m="1" x="977"/>
        <item m="1" x="3139"/>
        <item m="1" x="2178"/>
        <item m="1" x="3177"/>
        <item m="1" x="774"/>
        <item m="1" x="1227"/>
        <item m="1" x="1283"/>
        <item m="1" x="886"/>
        <item m="1" x="1877"/>
        <item m="1" x="2847"/>
        <item m="1" x="972"/>
        <item m="1" x="750"/>
        <item m="1" x="1175"/>
        <item m="1" x="1799"/>
        <item m="1" x="656"/>
        <item m="1" x="3375"/>
        <item m="1" x="1770"/>
        <item m="1" x="395"/>
        <item m="1" x="3471"/>
        <item m="1" x="3540"/>
        <item m="1" x="3522"/>
        <item m="1" x="3043"/>
        <item m="1" x="1894"/>
        <item m="1" x="2548"/>
        <item m="1" x="2786"/>
        <item m="1" x="3539"/>
        <item m="1" x="971"/>
        <item m="1" x="2828"/>
        <item m="1" x="1375"/>
        <item m="1" x="2106"/>
        <item m="1" x="1097"/>
        <item m="1" x="1612"/>
        <item m="1" x="1911"/>
        <item m="1" x="3220"/>
        <item m="1" x="1416"/>
        <item m="1" x="2420"/>
        <item m="1" x="2230"/>
        <item m="1" x="3267"/>
        <item m="1" x="1299"/>
        <item m="1" x="3377"/>
        <item m="1" x="698"/>
        <item m="1" x="1294"/>
        <item m="1" x="2571"/>
        <item m="1" x="2346"/>
        <item m="1" x="993"/>
        <item m="1" x="2421"/>
        <item m="1" x="923"/>
        <item m="1" x="1778"/>
        <item m="1" x="2721"/>
        <item m="1" x="2430"/>
        <item m="1" x="2712"/>
        <item m="1" x="2417"/>
        <item m="1" x="3275"/>
        <item m="1" x="2912"/>
        <item m="1" x="1104"/>
        <item m="1" x="2926"/>
        <item m="1" x="2940"/>
        <item m="1" x="310"/>
        <item m="1" x="1743"/>
        <item m="1" x="2457"/>
        <item m="1" x="2554"/>
        <item m="1" x="3076"/>
        <item m="1" x="1149"/>
        <item m="1" x="3022"/>
        <item m="1" x="1656"/>
        <item m="1" x="1680"/>
        <item m="1" x="690"/>
        <item m="1" x="1962"/>
        <item m="1" x="2272"/>
        <item m="1" x="941"/>
        <item m="1" x="3578"/>
        <item m="1" x="2190"/>
        <item m="1" x="1363"/>
        <item m="1" x="500"/>
        <item m="1" x="3078"/>
        <item m="1" x="1509"/>
        <item m="1" x="2669"/>
        <item m="1" x="1733"/>
        <item m="1" x="1804"/>
        <item m="1" x="946"/>
        <item m="1" x="2713"/>
        <item m="1" x="3381"/>
        <item m="1" x="3486"/>
        <item m="1" x="1285"/>
        <item m="1" x="2199"/>
        <item m="1" x="1993"/>
        <item m="1" x="1265"/>
        <item m="1" x="2066"/>
        <item m="1" x="1066"/>
        <item m="1" x="1918"/>
        <item m="1" x="1130"/>
        <item m="1" x="2054"/>
        <item m="1" x="2633"/>
        <item m="1" x="2862"/>
        <item m="1" x="352"/>
        <item m="1" x="3245"/>
        <item m="1" x="2729"/>
        <item m="1" x="1008"/>
        <item m="1" x="3541"/>
        <item m="1" x="417"/>
        <item m="1" x="1078"/>
        <item m="1" x="1317"/>
        <item m="1" x="198"/>
        <item m="1" x="3554"/>
        <item m="1" x="3659"/>
        <item m="1" x="602"/>
        <item m="1" x="2644"/>
        <item m="1" x="3379"/>
        <item m="1" x="461"/>
        <item m="1" x="1362"/>
        <item m="1" x="1269"/>
        <item m="1" x="868"/>
        <item m="1" x="2544"/>
        <item m="1" x="3020"/>
        <item m="1" x="3132"/>
        <item m="1" x="2024"/>
        <item m="1" x="1724"/>
        <item m="1" x="3337"/>
        <item m="1" x="1525"/>
        <item m="1" x="211"/>
        <item m="1" x="3087"/>
        <item m="1" x="304"/>
        <item m="1" x="320"/>
        <item m="1" x="3062"/>
        <item m="1" x="3517"/>
        <item m="1" x="1145"/>
        <item m="1" x="3435"/>
        <item m="1" x="681"/>
        <item m="1" x="575"/>
        <item m="1" x="3390"/>
        <item m="1" x="3188"/>
        <item m="1" x="862"/>
        <item m="1" x="343"/>
        <item m="1" x="966"/>
        <item m="1" x="1401"/>
        <item m="1" x="2749"/>
        <item m="1" x="1457"/>
        <item m="1" x="576"/>
        <item m="1" x="674"/>
        <item m="1" x="2332"/>
        <item m="1" x="3347"/>
        <item m="1" x="225"/>
        <item m="1" x="2416"/>
        <item m="1" x="2379"/>
        <item m="1" x="1651"/>
        <item m="1" x="922"/>
        <item m="1" x="2522"/>
        <item m="1" x="2986"/>
        <item m="1" x="3302"/>
        <item m="1" x="2494"/>
        <item m="1" x="382"/>
        <item m="1" x="2161"/>
        <item m="1" x="593"/>
        <item m="1" x="2547"/>
        <item m="1" x="867"/>
        <item m="1" x="2568"/>
        <item m="1" x="669"/>
        <item m="1" x="3591"/>
        <item m="1" x="1131"/>
        <item m="1" x="2785"/>
        <item m="1" x="1236"/>
        <item m="1" x="3261"/>
        <item m="1" x="3328"/>
        <item m="1" x="3222"/>
        <item m="1" x="2062"/>
        <item m="1" x="869"/>
        <item m="1" x="1476"/>
        <item m="1" x="2975"/>
        <item m="1" x="1846"/>
        <item m="1" x="1295"/>
        <item m="1" x="1939"/>
        <item m="1" x="3348"/>
        <item m="1" x="2925"/>
        <item m="1" x="345"/>
        <item m="1" x="327"/>
        <item m="1" x="3566"/>
        <item m="1" x="3319"/>
        <item m="1" x="2723"/>
        <item m="1" x="2059"/>
        <item m="1" x="2214"/>
        <item m="1" x="2765"/>
        <item m="1" x="3455"/>
        <item m="1" x="3618"/>
        <item m="1" x="944"/>
        <item m="1" x="340"/>
        <item m="1" x="773"/>
        <item m="1" x="2699"/>
        <item m="1" x="1096"/>
        <item m="1" x="2491"/>
        <item m="1" x="2425"/>
        <item m="1" x="3335"/>
        <item m="1" x="1541"/>
        <item m="1" x="3577"/>
        <item m="1" x="907"/>
        <item m="1" x="1449"/>
        <item m="1" x="3027"/>
        <item m="1" x="2333"/>
        <item m="1" x="2046"/>
        <item m="1" x="2587"/>
        <item m="1" x="857"/>
        <item m="1" x="3017"/>
        <item m="1" x="453"/>
        <item m="1" x="2700"/>
        <item m="1" x="1583"/>
        <item m="1" x="1041"/>
        <item m="1" x="1504"/>
        <item m="1" x="2244"/>
        <item m="1" x="2511"/>
        <item m="1" x="2805"/>
        <item m="1" x="429"/>
        <item m="1" x="408"/>
        <item m="1" x="1752"/>
        <item m="1" x="1858"/>
        <item m="1" x="2631"/>
        <item m="1" x="3484"/>
        <item m="1" x="2444"/>
        <item m="1" x="3638"/>
        <item m="1" x="3113"/>
        <item m="1" x="3138"/>
        <item m="1" x="2085"/>
        <item m="1" x="2048"/>
        <item m="1" x="2936"/>
        <item m="1" x="2939"/>
        <item m="1" x="202"/>
        <item m="1" x="1980"/>
        <item m="1" x="847"/>
        <item m="1" x="1933"/>
        <item m="1" x="1547"/>
        <item m="1" x="1511"/>
        <item m="1" x="2327"/>
        <item m="1" x="752"/>
        <item m="1" x="952"/>
        <item m="1" x="1213"/>
        <item m="1" x="3551"/>
        <item m="1" x="3106"/>
        <item m="1" x="2237"/>
        <item m="1" x="1258"/>
        <item m="1" x="3499"/>
        <item m="1" x="177"/>
        <item m="1" x="718"/>
        <item m="1" x="1184"/>
        <item m="1" x="2098"/>
        <item m="1" x="2130"/>
        <item m="1" x="628"/>
        <item m="1" x="3274"/>
        <item m="1" x="2312"/>
        <item m="1" x="3573"/>
        <item m="1" x="1520"/>
        <item m="1" x="3285"/>
        <item m="1" x="1686"/>
        <item m="1" x="589"/>
        <item m="1" x="711"/>
        <item m="1" x="2617"/>
        <item m="1" x="568"/>
        <item m="1" x="3590"/>
        <item m="1" x="326"/>
        <item m="1" x="2047"/>
        <item m="1" x="2388"/>
        <item m="1" x="1468"/>
        <item m="1" x="1044"/>
        <item m="1" x="2486"/>
        <item m="1" x="1273"/>
        <item m="1" x="1965"/>
        <item m="1" x="2210"/>
        <item m="1" x="2077"/>
        <item m="1" x="1953"/>
        <item m="1" x="2258"/>
        <item m="1" x="3143"/>
        <item m="1" x="2369"/>
        <item m="1" x="433"/>
        <item m="1" x="908"/>
        <item m="1" x="1500"/>
        <item m="1" x="1384"/>
        <item m="1" x="2014"/>
        <item m="1" x="1762"/>
        <item m="1" x="1745"/>
        <item m="1" x="1034"/>
        <item m="1" x="1695"/>
        <item m="1" x="2175"/>
        <item m="1" x="871"/>
        <item m="1" x="1042"/>
        <item m="1" x="831"/>
        <item m="1" x="2146"/>
        <item m="1" x="278"/>
        <item m="1" x="1816"/>
        <item m="1" x="324"/>
        <item m="1" x="1487"/>
        <item m="1" x="2218"/>
        <item m="1" x="2197"/>
        <item m="1" x="1689"/>
        <item m="1" x="2934"/>
        <item m="1" x="2985"/>
        <item m="1" x="821"/>
        <item m="1" x="2153"/>
        <item m="1" x="896"/>
        <item m="1" x="3361"/>
        <item m="1" x="1399"/>
        <item m="1" x="737"/>
        <item m="1" x="1776"/>
        <item m="1" x="3061"/>
        <item m="1" x="3535"/>
        <item m="1" x="1390"/>
        <item m="1" x="372"/>
        <item m="1" x="2772"/>
        <item m="1" x="2031"/>
        <item m="1" x="1203"/>
        <item m="1" x="3550"/>
        <item m="1" x="921"/>
        <item m="1" x="2619"/>
        <item m="1" x="1938"/>
        <item m="1" x="3289"/>
        <item m="1" x="713"/>
        <item m="1" x="3211"/>
        <item m="1" x="3386"/>
        <item m="1" x="2774"/>
        <item m="1" x="608"/>
        <item m="1" x="3452"/>
        <item m="1" x="3523"/>
        <item m="1" x="1973"/>
        <item m="1" x="2307"/>
        <item m="1" x="1170"/>
        <item m="1" x="2436"/>
        <item m="1" x="1850"/>
        <item m="1" x="2262"/>
        <item m="1" x="1110"/>
        <item m="1" x="878"/>
        <item m="1" x="3310"/>
        <item m="1" x="238"/>
        <item m="1" x="1003"/>
        <item m="1" x="529"/>
        <item m="1" x="2168"/>
        <item m="1" x="836"/>
        <item m="1" x="566"/>
        <item m="1" x="271"/>
        <item m="1" x="1282"/>
        <item m="1" x="1087"/>
        <item m="1" x="3074"/>
        <item m="1" x="2030"/>
        <item m="1" x="3397"/>
        <item m="1" x="3548"/>
        <item m="1" x="2474"/>
        <item m="1" x="3612"/>
        <item m="1" x="3602"/>
        <item m="1" x="397"/>
        <item m="1" x="2996"/>
        <item m="1" x="1244"/>
        <item m="1" x="2399"/>
        <item m="1" x="1055"/>
        <item m="1" x="1622"/>
        <item m="1" x="2551"/>
        <item m="1" x="1564"/>
        <item m="1" x="210"/>
        <item m="1" x="2526"/>
        <item m="1" x="2957"/>
        <item m="1" x="2052"/>
        <item m="1" x="1307"/>
        <item m="1" x="1080"/>
        <item m="1" x="220"/>
        <item m="1" x="282"/>
        <item m="1" x="2318"/>
        <item m="1" x="1633"/>
        <item m="1" x="1235"/>
        <item m="1" x="2290"/>
        <item m="1" x="186"/>
        <item m="1" x="2711"/>
        <item m="1" x="1662"/>
        <item m="1" x="1017"/>
        <item m="1" x="3640"/>
        <item m="1" x="2672"/>
        <item m="1" x="2779"/>
        <item m="1" x="3593"/>
        <item m="1" x="2005"/>
        <item m="1" x="982"/>
        <item m="1" x="859"/>
        <item m="1" x="3343"/>
        <item m="1" x="3247"/>
        <item m="1" x="953"/>
        <item m="1" x="1402"/>
        <item m="1" x="383"/>
        <item m="1" x="1232"/>
        <item m="1" x="2255"/>
        <item m="1" x="2081"/>
        <item m="1" x="1119"/>
        <item m="1" x="226"/>
        <item m="1" x="1921"/>
        <item m="1" x="3137"/>
        <item m="1" x="2042"/>
        <item m="1" x="3613"/>
        <item m="1" x="2799"/>
        <item m="1" x="1308"/>
        <item m="1" x="2079"/>
        <item m="1" x="3233"/>
        <item m="1" x="1707"/>
        <item m="1" x="487"/>
        <item m="1" x="934"/>
        <item m="1" x="1798"/>
        <item m="1" x="3184"/>
        <item m="1" x="2784"/>
        <item m="1" x="2326"/>
        <item m="1" x="616"/>
        <item m="1" x="1539"/>
        <item m="1" x="1167"/>
        <item m="1" x="916"/>
        <item m="1" x="763"/>
        <item m="1" x="2796"/>
        <item m="1" x="3088"/>
        <item m="1" x="2074"/>
        <item m="1" x="2300"/>
        <item m="1" x="687"/>
        <item m="1" x="3323"/>
        <item m="1" x="3317"/>
        <item m="1" x="1050"/>
        <item m="1" x="3075"/>
        <item m="1" x="1030"/>
        <item m="1" x="2173"/>
        <item m="1" x="288"/>
        <item m="1" x="856"/>
        <item m="1" x="668"/>
        <item m="1" x="1932"/>
        <item m="1" x="1751"/>
        <item m="1" x="3626"/>
        <item m="1" x="1604"/>
        <item m="1" x="927"/>
        <item m="1" x="845"/>
        <item m="1" x="2921"/>
        <item m="1" x="943"/>
        <item m="1" x="2810"/>
        <item m="1" x="1786"/>
        <item m="1" x="592"/>
        <item m="1" x="1603"/>
        <item m="1" x="2213"/>
        <item m="1" x="1348"/>
        <item m="1" x="1742"/>
        <item m="1" x="2738"/>
        <item m="1" x="2664"/>
        <item m="1" x="300"/>
        <item m="1" x="1408"/>
        <item m="1" x="1992"/>
        <item m="1" x="234"/>
        <item m="1" x="1181"/>
        <item m="1" x="3299"/>
        <item m="1" x="3658"/>
        <item m="1" x="3102"/>
        <item m="1" x="3241"/>
        <item m="1" x="2013"/>
        <item m="1" x="1694"/>
        <item m="1" x="2704"/>
        <item m="1" x="719"/>
        <item m="1" x="716"/>
        <item m="1" x="823"/>
        <item m="1" x="505"/>
        <item m="1" x="3457"/>
        <item m="1" x="2736"/>
        <item m="1" x="2647"/>
        <item m="1" x="603"/>
        <item m="1" x="1489"/>
        <item m="1" x="2626"/>
        <item m="1" x="2302"/>
        <item m="1" x="622"/>
        <item m="1" x="2174"/>
        <item m="1" x="2860"/>
        <item m="1" x="2426"/>
        <item m="1" x="1619"/>
        <item m="1" x="1086"/>
        <item m="1" x="245"/>
        <item m="1" x="535"/>
        <item m="1" x="1122"/>
        <item m="1" x="1533"/>
        <item m="1" x="557"/>
        <item m="1" x="2524"/>
        <item m="1" x="2489"/>
        <item m="1" x="772"/>
        <item m="1" x="3243"/>
        <item m="1" x="3495"/>
        <item m="1" x="1493"/>
        <item m="1" x="3358"/>
        <item m="1" x="1785"/>
        <item m="1" x="3209"/>
        <item m="1" x="1747"/>
        <item m="1" x="2968"/>
        <item m="1" x="3497"/>
        <item m="1" x="2064"/>
        <item m="1" x="1491"/>
        <item m="1" x="2485"/>
        <item m="1" x="1012"/>
        <item m="1" x="813"/>
        <item m="1" x="2007"/>
        <item m="1" x="2241"/>
        <item m="1" x="299"/>
        <item m="1" x="3033"/>
        <item m="1" x="1856"/>
        <item m="1" x="289"/>
        <item m="1" x="2049"/>
        <item m="1" x="1929"/>
        <item m="1" x="1040"/>
        <item m="1" x="553"/>
        <item m="1" x="2931"/>
        <item m="1" x="956"/>
        <item m="1" x="1447"/>
        <item m="1" x="401"/>
        <item m="1" x="3316"/>
        <item m="1" x="1344"/>
        <item m="1" x="3118"/>
        <item m="1" x="371"/>
        <item m="1" x="959"/>
        <item m="1" x="2622"/>
        <item m="1" x="236"/>
        <item m="1" x="3485"/>
        <item m="1" x="1771"/>
        <item m="1" x="1755"/>
        <item m="1" x="2857"/>
        <item m="1" x="1405"/>
        <item m="1" x="3402"/>
        <item m="1" x="2955"/>
        <item m="1" x="2363"/>
        <item m="1" x="1766"/>
        <item m="1" x="967"/>
        <item m="1" x="1672"/>
        <item m="1" x="251"/>
        <item m="1" x="2852"/>
        <item m="1" x="870"/>
        <item m="1" x="3282"/>
        <item m="1" x="691"/>
        <item m="1" x="2387"/>
        <item m="1" x="1189"/>
        <item m="1" x="657"/>
        <item m="1" x="2441"/>
        <item m="1" x="2386"/>
        <item m="1" x="381"/>
        <item m="1" x="3665"/>
        <item m="1" x="2813"/>
        <item m="1" x="2212"/>
        <item m="1" x="889"/>
        <item m="1" x="1880"/>
        <item m="1" x="804"/>
        <item m="1" x="786"/>
        <item m="1" x="1963"/>
        <item m="1" x="3388"/>
        <item m="1" x="2279"/>
        <item m="1" x="1589"/>
        <item m="1" x="3641"/>
        <item m="1" x="3444"/>
        <item m="1" x="625"/>
        <item m="1" x="969"/>
        <item m="1" x="2797"/>
        <item m="1" x="780"/>
        <item m="1" x="2987"/>
        <item m="1" x="3011"/>
        <item m="1" x="206"/>
        <item m="1" x="2611"/>
        <item m="1" x="1573"/>
        <item m="1" x="2488"/>
        <item m="1" x="1424"/>
        <item m="1" x="2812"/>
        <item m="1" x="1855"/>
        <item m="1" x="485"/>
        <item m="1" x="374"/>
        <item m="1" x="1777"/>
        <item m="1" x="1549"/>
        <item m="1" x="2477"/>
        <item m="1" x="1872"/>
        <item m="1" x="3237"/>
        <item m="1" x="2591"/>
        <item m="1" x="1075"/>
        <item m="1" x="2516"/>
        <item m="1" x="1588"/>
        <item m="1" x="3356"/>
        <item m="1" x="3431"/>
        <item m="1" x="1989"/>
        <item m="1" x="3424"/>
        <item m="1" x="1081"/>
        <item m="1" x="2299"/>
        <item m="1" x="1537"/>
        <item m="1" x="2225"/>
        <item m="1" x="1532"/>
        <item m="1" x="623"/>
        <item m="1" x="512"/>
        <item m="1" x="2207"/>
        <item m="1" x="3595"/>
        <item m="1" x="3454"/>
        <item m="1" x="181"/>
        <item m="1" x="3040"/>
        <item m="1" x="1897"/>
        <item m="1" x="1567"/>
        <item m="1" x="183"/>
        <item m="1" x="3635"/>
        <item m="1" x="2558"/>
        <item m="1" x="1527"/>
        <item m="1" x="1023"/>
        <item m="1" x="1818"/>
        <item m="1" x="1043"/>
        <item m="1" x="2962"/>
        <item m="1" x="2702"/>
        <item m="1" x="1454"/>
        <item m="1" x="1186"/>
        <item m="1" x="1238"/>
        <item m="1" x="3298"/>
        <item m="1" x="2226"/>
        <item m="1" x="1079"/>
        <item m="1" x="2115"/>
        <item m="1" x="1809"/>
        <item m="1" x="419"/>
        <item m="1" x="3467"/>
        <item m="1" x="2253"/>
        <item m="1" x="281"/>
        <item m="1" x="609"/>
        <item m="1" x="2342"/>
        <item m="1" x="386"/>
        <item m="1" x="325"/>
        <item m="1" x="679"/>
        <item m="1" x="228"/>
        <item m="1" x="2752"/>
        <item m="1" x="2329"/>
        <item m="1" x="1652"/>
        <item m="1" x="706"/>
        <item m="1" x="2367"/>
        <item m="1" x="3342"/>
        <item m="1" x="1257"/>
        <item m="1" x="2601"/>
        <item m="1" x="328"/>
        <item m="1" x="864"/>
        <item m="1" x="1418"/>
        <item m="1" x="2228"/>
        <item m="1" x="2980"/>
        <item m="1" x="672"/>
        <item m="1" x="2120"/>
        <item m="1" x="742"/>
        <item m="1" x="729"/>
        <item m="1" x="2473"/>
        <item m="1" x="1811"/>
        <item m="1" x="1389"/>
        <item m="1" x="3476"/>
        <item m="1" x="1578"/>
        <item m="1" x="3651"/>
        <item m="1" x="3556"/>
        <item m="1" x="2648"/>
        <item m="1" x="875"/>
        <item m="1" x="2685"/>
        <item m="1" x="3005"/>
        <item m="1" x="1152"/>
        <item m="1" x="1849"/>
        <item m="1" x="1032"/>
        <item m="1" x="3465"/>
        <item m="1" x="3313"/>
        <item m="1" x="3034"/>
        <item m="1" x="1164"/>
        <item m="1" x="738"/>
        <item m="1" x="2033"/>
        <item m="1" x="2991"/>
        <item m="1" x="2476"/>
        <item m="1" x="1488"/>
        <item m="1" x="3449"/>
        <item m="1" x="653"/>
        <item m="1" x="1010"/>
        <item m="1" x="1833"/>
        <item m="1" x="3532"/>
        <item m="1" x="2965"/>
        <item m="1" x="3059"/>
        <item m="1" x="2899"/>
        <item m="1" x="3115"/>
        <item m="1" x="678"/>
        <item m="1" x="1225"/>
        <item m="1" x="2750"/>
        <item m="1" x="1126"/>
        <item m="1" x="2191"/>
        <item m="1" x="3269"/>
        <item m="1" x="2352"/>
        <item m="1" x="1314"/>
        <item m="1" x="3438"/>
        <item m="1" x="2697"/>
        <item m="1" x="2440"/>
        <item m="1" x="1754"/>
        <item m="1" x="2206"/>
        <item m="1" x="1700"/>
        <item m="1" x="1215"/>
        <item m="1" x="2157"/>
        <item m="1" x="848"/>
        <item m="1" x="400"/>
        <item m="1" x="2119"/>
        <item m="1" x="361"/>
        <item m="1" x="2433"/>
        <item m="1" x="185"/>
        <item m="1" x="2856"/>
        <item m="1" x="3324"/>
        <item m="1" x="1559"/>
        <item m="1" x="1196"/>
        <item m="1" x="1151"/>
        <item m="1" x="3253"/>
        <item m="1" x="3330"/>
        <item m="1" x="3047"/>
        <item m="1" x="3514"/>
        <item m="1" x="2349"/>
        <item m="1" x="3291"/>
        <item m="1" x="1790"/>
        <item m="1" x="2665"/>
        <item m="1" x="663"/>
        <item m="1" x="254"/>
        <item m="1" x="1153"/>
        <item m="1" x="906"/>
        <item m="1" x="3134"/>
        <item m="1" x="3208"/>
        <item m="1" x="1987"/>
        <item m="1" x="1820"/>
        <item m="1" x="1802"/>
        <item m="1" x="1005"/>
        <item m="1" x="2063"/>
        <item m="1" x="1031"/>
        <item m="1" x="3038"/>
        <item m="1" x="2816"/>
        <item m="1" x="1831"/>
        <item m="1" x="338"/>
        <item m="1" x="2056"/>
        <item m="1" x="1400"/>
        <item m="1" x="2017"/>
        <item m="1" x="3190"/>
        <item m="1" x="1640"/>
        <item m="1" x="1841"/>
        <item m="1" x="3423"/>
        <item m="1" x="2221"/>
        <item m="1" x="3295"/>
        <item m="1" x="1483"/>
        <item m="1" x="3671"/>
        <item m="1" x="3028"/>
        <item m="1" x="3492"/>
        <item m="1" x="3434"/>
        <item m="1" x="2608"/>
        <item m="1" x="2904"/>
        <item m="1" x="1020"/>
        <item m="1" x="880"/>
        <item m="1" x="2879"/>
        <item m="1" x="1320"/>
        <item m="1" x="819"/>
        <item m="1" x="2863"/>
        <item m="1" x="2677"/>
        <item m="1" x="308"/>
        <item m="1" x="1926"/>
        <item m="1" x="1171"/>
        <item m="1" x="3391"/>
        <item m="1" x="2896"/>
        <item m="1" x="1422"/>
        <item m="1" x="2250"/>
        <item m="1" x="1247"/>
        <item m="1" x="1975"/>
        <item m="1" x="3357"/>
        <item m="1" x="342"/>
        <item m="1" x="1899"/>
        <item m="1" x="3409"/>
        <item m="1" x="3429"/>
        <item m="1" x="516"/>
        <item m="1" x="509"/>
        <item m="1" x="2806"/>
        <item m="1" x="2270"/>
        <item m="1" x="2358"/>
        <item m="1" x="2298"/>
        <item m="1" x="1627"/>
        <item m="1" x="1595"/>
        <item m="1" x="1309"/>
        <item m="1" x="852"/>
        <item m="1" x="1553"/>
        <item m="1" x="441"/>
        <item m="1" x="1381"/>
        <item m="1" x="1903"/>
        <item m="1" x="1022"/>
        <item m="1" x="1960"/>
        <item m="1" x="269"/>
        <item m="1" x="173"/>
        <item m="1" x="179"/>
        <item m="1" x="2271"/>
        <item m="1" x="1172"/>
        <item m="1" x="2832"/>
        <item m="1" x="1704"/>
        <item m="1" x="1801"/>
        <item m="1" x="1666"/>
        <item m="1" x="249"/>
        <item m="1" x="635"/>
        <item m="1" x="1630"/>
        <item m="1" x="1198"/>
        <item m="1" x="1228"/>
        <item m="1" x="642"/>
        <item m="1" x="2391"/>
        <item m="1" x="2050"/>
        <item m="1" x="1377"/>
        <item m="1" x="964"/>
        <item m="1" x="1909"/>
        <item m="1" x="3387"/>
        <item m="1" x="596"/>
        <item m="1" x="1749"/>
        <item m="1" x="1004"/>
        <item m="1" x="261"/>
        <item m="1" x="1351"/>
        <item m="1" x="2114"/>
        <item m="1" x="3287"/>
        <item m="1" x="1173"/>
        <item m="1" x="3446"/>
        <item m="1" x="1871"/>
        <item m="1" x="552"/>
        <item m="1" x="887"/>
        <item m="1" x="843"/>
        <item m="1" x="1458"/>
        <item m="1" x="2390"/>
        <item m="1" x="2374"/>
        <item m="1" x="3119"/>
        <item m="1" x="353"/>
        <item m="1" x="1270"/>
        <item m="1" x="3399"/>
        <item m="1" x="968"/>
        <item m="1" x="3630"/>
        <item m="1" x="3150"/>
        <item m="1" x="3610"/>
        <item m="1" x="1945"/>
        <item m="1" x="2209"/>
        <item m="1" x="2447"/>
        <item m="1" x="3026"/>
        <item m="1" x="3182"/>
        <item m="1" x="2245"/>
        <item m="1" x="1310"/>
        <item m="1" x="1836"/>
        <item m="1" x="2021"/>
        <item m="1" x="911"/>
        <item m="1" x="1546"/>
        <item m="1" x="3374"/>
        <item m="1" x="3367"/>
        <item m="1" x="1986"/>
        <item m="1" x="1150"/>
        <item m="1" x="493"/>
        <item m="1" x="2776"/>
        <item m="1" x="792"/>
        <item m="1" x="3620"/>
        <item m="1" x="1259"/>
        <item m="1" x="1659"/>
        <item m="1" x="1664"/>
        <item m="1" x="1369"/>
        <item m="1" x="2466"/>
        <item m="1" x="2614"/>
        <item m="1" x="1796"/>
        <item m="1" x="1373"/>
        <item m="1" x="3100"/>
        <item m="1" x="732"/>
        <item m="1" x="2679"/>
        <item m="1" x="3421"/>
        <item m="1" x="791"/>
        <item m="1" x="362"/>
        <item m="1" x="3491"/>
        <item m="1" x="740"/>
        <item m="1" x="1332"/>
        <item m="1" x="1968"/>
        <item m="1" x="692"/>
        <item m="1" x="910"/>
        <item m="1" x="1990"/>
        <item m="1" x="1107"/>
        <item m="1" x="2930"/>
        <item m="1" x="1415"/>
        <item m="1" x="191"/>
        <item m="1" x="1847"/>
        <item m="1" x="2268"/>
        <item m="1" x="598"/>
        <item m="1" x="2557"/>
        <item m="1" x="958"/>
        <item m="1" x="2061"/>
        <item m="1" x="356"/>
        <item m="1" x="2162"/>
        <item m="1" x="3010"/>
        <item m="1" x="3021"/>
        <item m="1" x="805"/>
        <item m="1" x="2691"/>
        <item m="1" x="1952"/>
        <item m="1" x="1507"/>
        <item m="1" x="294"/>
        <item m="1" x="1210"/>
        <item m="1" x="335"/>
        <item m="1" x="1731"/>
        <item m="1" x="3382"/>
        <item m="1" x="272"/>
        <item m="1" x="3052"/>
        <item m="1" x="1826"/>
        <item m="1" x="1045"/>
        <item m="1" x="3583"/>
        <item m="1" x="2480"/>
        <item m="1" x="2638"/>
        <item m="1" x="2507"/>
        <item m="1" x="3099"/>
        <item m="1" x="909"/>
        <item m="1" x="1912"/>
        <item m="1" x="612"/>
        <item m="1" x="426"/>
        <item m="1" x="1385"/>
        <item m="1" x="784"/>
        <item m="1" x="2504"/>
        <item m="1" x="1888"/>
        <item m="1" x="3627"/>
        <item m="1" x="3450"/>
        <item m="1" x="833"/>
        <item m="1" x="2208"/>
        <item m="1" x="950"/>
        <item m="1" x="241"/>
        <item m="1" x="2632"/>
        <item m="1" x="3338"/>
        <item m="1" x="1608"/>
        <item m="1" x="180"/>
        <item m="1" x="1719"/>
        <item m="1" x="3443"/>
        <item m="1" x="785"/>
        <item m="1" x="2043"/>
        <item m="1" x="421"/>
        <item m="1" x="2487"/>
        <item m="1" x="2294"/>
        <item m="1" x="2859"/>
        <item m="1" x="751"/>
        <item m="1" x="2788"/>
        <item m="1" x="1853"/>
        <item m="1" x="1692"/>
        <item m="1" x="201"/>
        <item m="1" x="1571"/>
        <item m="1" x="1969"/>
        <item m="1" x="3221"/>
        <item m="1" x="1736"/>
        <item m="1" x="3286"/>
        <item m="1" x="3023"/>
        <item m="1" x="3341"/>
        <item m="1" x="2186"/>
        <item m="1" x="2923"/>
        <item m="1" x="2654"/>
        <item m="1" x="1830"/>
        <item m="1" x="2034"/>
        <item m="1" x="2217"/>
        <item m="1" x="1444"/>
        <item m="1" x="193"/>
        <item m="1" x="2733"/>
        <item m="1" x="244"/>
        <item m="1" x="2867"/>
        <item m="1" x="2845"/>
        <item m="1" x="948"/>
        <item m="1" x="3494"/>
        <item m="1" x="3162"/>
        <item m="1" x="3464"/>
        <item m="1" x="1033"/>
        <item m="1" x="2340"/>
        <item m="1" x="3408"/>
        <item m="1" x="1353"/>
        <item m="1" x="2628"/>
        <item m="1" x="2133"/>
        <item m="1" x="2586"/>
        <item m="1" x="528"/>
        <item m="1" x="2238"/>
        <item m="1" x="631"/>
        <item m="1" x="368"/>
        <item m="1" x="812"/>
        <item m="1" x="703"/>
        <item m="1" x="1239"/>
        <item m="1" x="1663"/>
        <item m="1" x="3127"/>
        <item m="1" x="555"/>
        <item m="1" x="3513"/>
        <item m="1" x="1169"/>
        <item m="1" x="3173"/>
        <item m="1" x="2145"/>
        <item m="1" x="2731"/>
        <item m="1" x="756"/>
        <item m="1" x="832"/>
        <item m="1" x="2844"/>
        <item m="1" x="190"/>
        <item m="1" x="454"/>
        <item m="1" x="2848"/>
        <item m="1" x="3128"/>
        <item m="1" x="3231"/>
        <item m="1" x="1806"/>
        <item m="1" x="1202"/>
        <item m="1" x="1824"/>
        <item m="1" x="2746"/>
        <item m="1" x="1052"/>
        <item m="1" x="3105"/>
        <item m="1" x="1427"/>
        <item m="1" x="1098"/>
        <item m="1" x="3293"/>
        <item m="1" x="2690"/>
        <item m="1" x="839"/>
        <item m="1" x="1866"/>
        <item m="1" x="2887"/>
        <item m="1" x="1466"/>
        <item m="1" x="659"/>
        <item m="1" x="728"/>
        <item m="1" x="1936"/>
        <item m="1" x="1388"/>
        <item m="1" x="3395"/>
        <item m="1" x="1524"/>
        <item m="1" x="3674"/>
        <item m="1" x="3547"/>
        <item m="1" x="3072"/>
        <item m="1" x="2908"/>
        <item m="1" x="3393"/>
        <item m="1" x="1338"/>
        <item m="1" x="3073"/>
        <item m="1" x="406"/>
        <item m="1" x="2737"/>
        <item m="1" x="2705"/>
        <item m="1" x="3156"/>
        <item m="1" x="1339"/>
        <item m="1" x="3259"/>
        <item m="1" x="2787"/>
        <item m="1" x="295"/>
        <item m="1" x="316"/>
        <item m="1" x="3325"/>
        <item m="1" x="1756"/>
        <item m="1" x="2694"/>
        <item m="1" x="3166"/>
        <item m="1" x="1942"/>
        <item m="1" x="240"/>
        <item m="1" x="3563"/>
        <item m="1" x="2503"/>
        <item m="1" x="1218"/>
        <item m="1" x="809"/>
        <item m="1" x="2574"/>
        <item m="1" x="2060"/>
        <item m="1" x="3294"/>
        <item m="1" x="1531"/>
        <item m="1" x="3297"/>
        <item m="1" x="1889"/>
        <item m="1" x="3601"/>
        <item m="1" x="2512"/>
        <item m="1" x="230"/>
        <item m="1" x="3194"/>
        <item m="1" x="2113"/>
        <item m="1" x="2128"/>
        <item m="1" x="449"/>
        <item m="1" x="2301"/>
        <item m="1" x="677"/>
        <item m="1" x="3111"/>
        <item m="1" x="2482"/>
        <item m="1" x="2274"/>
        <item m="1" x="1204"/>
        <item m="1" x="759"/>
        <item m="1" x="2016"/>
        <item m="1" x="1276"/>
        <item m="1" x="425"/>
        <item m="1" x="829"/>
        <item m="1" x="1053"/>
        <item m="1" x="377"/>
        <item m="1" x="3501"/>
        <item m="1" x="2252"/>
        <item m="1" x="3490"/>
        <item m="1" x="840"/>
        <item m="1" x="2143"/>
        <item m="1" x="3219"/>
        <item m="1" x="2338"/>
        <item m="1" x="1634"/>
        <item m="1" x="2809"/>
        <item m="1" x="1907"/>
        <item m="1" x="700"/>
        <item m="1" x="1530"/>
        <item m="1" x="510"/>
        <item m="1" x="2438"/>
        <item m="1" x="736"/>
        <item m="1" x="1514"/>
        <item m="1" x="3234"/>
        <item m="1" x="3544"/>
        <item m="1" x="2407"/>
        <item m="1" x="1001"/>
        <item m="1" x="2366"/>
        <item m="1" x="1243"/>
        <item m="1" x="1783"/>
        <item m="1" x="2118"/>
        <item m="1" x="1566"/>
        <item m="1" x="2506"/>
        <item m="1" x="3664"/>
        <item m="1" x="1502"/>
        <item m="1" x="2994"/>
        <item m="1" x="427"/>
        <item m="1" x="3174"/>
        <item m="1" x="1584"/>
        <item m="1" x="2192"/>
        <item m="1" x="517"/>
        <item m="1" x="760"/>
        <item m="1" x="480"/>
        <item m="1" x="2398"/>
        <item m="1" x="3032"/>
        <item m="1" x="2362"/>
        <item m="1" x="1046"/>
        <item m="1" x="3019"/>
        <item m="1" x="3414"/>
        <item m="1" x="3406"/>
        <item m="1" x="1767"/>
        <item m="1" x="1683"/>
        <item m="1" x="1469"/>
        <item m="1" x="312"/>
        <item m="1" x="1138"/>
        <item m="1" x="1643"/>
        <item m="1" x="671"/>
        <item m="1" x="892"/>
        <item m="1" x="3091"/>
        <item m="1" x="2345"/>
        <item m="1" x="456"/>
        <item m="1" x="1813"/>
        <item m="1" x="405"/>
        <item m="1" x="1898"/>
        <item m="1" x="394"/>
        <item m="1" x="2309"/>
        <item m="1" x="1904"/>
        <item m="1" x="1486"/>
        <item m="1" x="2639"/>
        <item m="1" x="601"/>
        <item m="1" x="3597"/>
        <item m="1" x="2775"/>
        <item m="1" x="200"/>
        <item m="1" x="1387"/>
        <item m="1" x="3318"/>
        <item m="1" x="3006"/>
        <item m="1" x="336"/>
        <item m="1" x="1289"/>
        <item m="1" x="1014"/>
        <item m="1" x="2497"/>
        <item m="1" x="1964"/>
        <item m="1" x="798"/>
        <item m="1" x="1974"/>
        <item m="1" x="2413"/>
        <item m="1" x="182"/>
        <item m="1" x="188"/>
        <item m="1" x="1323"/>
        <item m="1" x="1688"/>
        <item m="1" x="1380"/>
        <item m="1" x="3594"/>
        <item m="1" x="1120"/>
        <item m="1" x="3117"/>
        <item m="1" x="2284"/>
        <item m="1" x="2905"/>
        <item m="1" x="3255"/>
        <item m="1" x="3645"/>
        <item m="1" x="2901"/>
        <item m="1" x="2351"/>
        <item m="1" x="1278"/>
        <item m="1" x="292"/>
        <item m="1" x="2286"/>
        <item m="1" x="901"/>
        <item m="1" x="3112"/>
        <item m="1" x="2581"/>
        <item m="1" x="2039"/>
        <item m="1" x="2903"/>
        <item m="1" x="1598"/>
        <item m="1" x="866"/>
        <item m="1" x="3207"/>
        <item m="1" x="3228"/>
        <item m="1" x="3000"/>
        <item m="1" x="1575"/>
        <item m="1" x="899"/>
        <item m="1" x="2846"/>
        <item m="1" x="3531"/>
        <item m="1" x="2961"/>
        <item m="1" x="3170"/>
        <item m="1" x="726"/>
        <item m="1" x="1475"/>
        <item m="1" x="957"/>
        <item m="1" x="1701"/>
        <item m="1" x="1597"/>
        <item m="1" x="1551"/>
        <item m="1" x="567"/>
        <item m="1" x="2984"/>
        <item m="1" x="476"/>
        <item m="1" x="1670"/>
        <item m="1" x="1787"/>
        <item m="1" x="1837"/>
        <item m="1" x="2907"/>
        <item m="1" x="3420"/>
        <item m="1" x="227"/>
        <item m="1" x="215"/>
        <item m="1" x="876"/>
        <item m="1" x="2730"/>
        <item m="1" x="979"/>
        <item m="1" x="822"/>
        <item m="1" x="3609"/>
        <item m="1" x="1064"/>
        <item m="1" x="2871"/>
        <item m="1" x="1594"/>
        <item m="1" x="2163"/>
        <item m="1" x="818"/>
        <item m="1" x="1057"/>
        <item m="1" x="1631"/>
        <item m="1" x="578"/>
        <item m="1" x="2377"/>
        <item m="1" x="267"/>
        <item m="1" x="2469"/>
        <item m="1" x="1250"/>
        <item m="1" x="2759"/>
        <item m="1" x="1480"/>
        <item m="1" x="329"/>
        <item m="1" x="3672"/>
        <item m="1" x="1501"/>
        <item x="0"/>
        <item m="1" x="2952"/>
        <item m="1" x="624"/>
        <item m="1" x="2269"/>
        <item m="1" x="1324"/>
        <item m="1" x="3081"/>
        <item m="1" x="3212"/>
        <item m="1" x="2680"/>
        <item m="1" x="1056"/>
        <item m="1" x="2910"/>
        <item m="1" x="514"/>
        <item m="1" x="2428"/>
        <item m="1" x="3363"/>
        <item m="1" x="2365"/>
        <item m="1" x="2641"/>
        <item m="1" x="1028"/>
        <item m="1" x="3644"/>
        <item m="1" x="2122"/>
        <item m="1" x="360"/>
        <item m="1" x="498"/>
        <item m="1" x="2800"/>
        <item m="1" x="257"/>
        <item m="1" x="1744"/>
        <item m="1" x="1409"/>
        <item m="1" x="3498"/>
        <item m="1" x="2561"/>
        <item m="1" x="3230"/>
        <item m="1" x="3430"/>
        <item m="1" x="799"/>
        <item m="1" x="1015"/>
        <item m="1" x="196"/>
        <item m="1" x="2976"/>
        <item m="1" x="3300"/>
        <item m="1" x="571"/>
        <item m="1" x="2829"/>
        <item m="1" x="2281"/>
        <item m="1" x="1083"/>
        <item m="1" x="1155"/>
        <item m="1" x="721"/>
        <item m="1" x="2819"/>
        <item m="1" x="2138"/>
        <item m="1" x="2103"/>
        <item m="1" x="3657"/>
        <item m="1" x="2621"/>
        <item m="1" x="2273"/>
        <item m="1" x="2610"/>
        <item m="1" x="2463"/>
        <item m="1" x="1876"/>
        <item m="1" x="2203"/>
        <item m="1" x="1519"/>
        <item m="1" x="1158"/>
        <item m="1" x="1636"/>
        <item m="1" x="2151"/>
        <item m="1" x="1038"/>
        <item m="1" x="2136"/>
        <item m="1" x="2826"/>
        <item m="1" x="1099"/>
        <item m="1" x="561"/>
        <item m="1" x="2211"/>
        <item m="1" x="3373"/>
        <item m="1" x="2067"/>
        <item m="1" x="293"/>
        <item m="1" x="2884"/>
        <item m="1" x="2686"/>
        <item m="1" x="2947"/>
        <item m="1" x="2293"/>
        <item m="1" x="1280"/>
        <item m="1" x="1135"/>
        <item m="1" x="1906"/>
        <item m="1" x="2636"/>
        <item m="1" x="1414"/>
        <item m="1" x="2082"/>
        <item m="1" x="1815"/>
        <item m="1" x="1703"/>
        <item m="1" x="350"/>
        <item m="1" x="3568"/>
        <item m="1" x="1194"/>
        <item m="1" x="2376"/>
        <item m="1" x="2604"/>
        <item m="1" x="3442"/>
        <item m="1" x="521"/>
        <item m="1" x="710"/>
        <item m="1" x="1726"/>
        <item m="1" x="437"/>
        <item m="1" x="2590"/>
        <item m="1" x="1691"/>
        <item m="1" x="178"/>
        <item m="1" x="3178"/>
        <item m="1" x="919"/>
        <item m="1" x="3336"/>
        <item m="1" x="357"/>
        <item m="1" x="735"/>
        <item m="1" x="2092"/>
        <item m="1" x="337"/>
        <item m="1" x="1916"/>
        <item m="1" x="260"/>
        <item m="1" x="2478"/>
        <item m="1" x="2470"/>
        <item m="1" x="3121"/>
        <item m="1" x="1193"/>
        <item m="1" x="727"/>
        <item m="1" x="617"/>
        <item m="1" x="3158"/>
        <item m="1" x="1069"/>
        <item m="1" x="806"/>
        <item m="1" x="581"/>
        <item m="1" x="1948"/>
        <item m="1" x="1445"/>
        <item m="1" x="717"/>
        <item m="1" x="3152"/>
        <item m="1" x="387"/>
        <item m="1" x="1423"/>
        <item m="1" x="1757"/>
        <item m="1" x="640"/>
        <item m="1" x="2509"/>
        <item m="1" x="1870"/>
        <item m="1" x="1311"/>
        <item m="1" x="409"/>
        <item m="1" x="540"/>
        <item m="1" x="3410"/>
        <item m="1" x="761"/>
        <item m="1" x="682"/>
        <item m="1" x="3488"/>
        <item m="1" x="3320"/>
        <item m="1" x="2592"/>
        <item m="1" x="3309"/>
        <item m="1" x="3596"/>
        <item m="1" x="2370"/>
        <item m="1" x="334"/>
        <item m="1" x="1473"/>
        <item m="1" x="2913"/>
        <item m="1" x="3013"/>
        <item m="1" x="574"/>
        <item m="1" x="2842"/>
        <item m="1" x="3029"/>
        <item m="1" x="2343"/>
        <item m="1" x="3538"/>
        <item m="1" x="3279"/>
        <item m="1" x="1305"/>
        <item m="1" x="462"/>
        <item m="1" x="3179"/>
        <item m="1" x="1070"/>
        <item m="1" x="1784"/>
        <item m="1" x="2706"/>
        <item m="1" x="457"/>
        <item m="1" x="808"/>
        <item m="1" x="1261"/>
        <item m="1" x="563"/>
        <item m="1" x="1729"/>
        <item m="1" x="2534"/>
        <item m="1" x="1162"/>
        <item m="1" x="3262"/>
        <item m="1" x="1542"/>
        <item m="1" x="3172"/>
        <item m="1" x="1574"/>
        <item m="1" x="1090"/>
        <item m="1" x="2599"/>
        <item m="1" x="262"/>
        <item m="1" x="860"/>
        <item m="1" x="1579"/>
        <item m="1" x="439"/>
        <item m="1" x="2858"/>
        <item m="1" x="3362"/>
        <item m="1" x="3080"/>
        <item m="1" x="3415"/>
        <item m="1" x="2380"/>
        <item m="1" x="3662"/>
        <item m="1" x="270"/>
        <item m="1" x="3016"/>
        <item m="1" x="321"/>
        <item m="1" x="2768"/>
        <item m="1" x="793"/>
        <item m="1" x="472"/>
        <item m="1" x="3383"/>
        <item m="1" x="2753"/>
        <item m="1" x="1206"/>
        <item m="1" x="1253"/>
        <item m="1" x="3668"/>
        <item m="1" x="2089"/>
        <item m="1" x="2231"/>
        <item m="1" x="2495"/>
        <item m="1" x="2932"/>
        <item m="1" x="2144"/>
        <item m="1" x="296"/>
        <item m="1" x="1667"/>
        <item m="1" x="2019"/>
        <item m="1" x="3171"/>
        <item m="1" x="3223"/>
        <item m="1" x="2321"/>
        <item m="1" x="3587"/>
        <item m="1" x="2359"/>
        <item m="1" x="1146"/>
        <item m="1" x="2065"/>
        <item m="1" x="2246"/>
        <item m="1" x="2458"/>
        <item m="1" x="861"/>
        <item m="1" x="1006"/>
        <item m="1" x="3215"/>
        <item m="1" x="3605"/>
        <item m="1" x="2552"/>
        <item m="1" x="1474"/>
        <item m="1" x="363"/>
        <item m="1" x="1395"/>
        <item m="1" x="3508"/>
        <item m="1" x="3153"/>
        <item m="1" x="1684"/>
        <item m="1" x="1133"/>
        <item m="1" x="902"/>
        <item m="1" x="2086"/>
        <item m="1" x="3183"/>
        <item m="1" x="611"/>
        <item m="1" x="795"/>
        <item m="1" x="3353"/>
        <item m="1" x="1803"/>
        <item m="1" x="2249"/>
        <item m="1" x="3089"/>
        <item m="1" x="2339"/>
        <item m="1" x="2885"/>
        <item m="1" x="3396"/>
        <item m="1" x="442"/>
        <item m="1" x="915"/>
        <item m="1" x="1807"/>
        <item m="1" x="1089"/>
        <item m="1" x="1397"/>
        <item m="1" x="2822"/>
        <item m="1" x="1678"/>
        <item m="1" x="1446"/>
        <item m="1" x="3256"/>
        <item m="1" x="3063"/>
        <item m="1" x="2100"/>
        <item m="1" x="2464"/>
        <item m="1" x="1510"/>
        <item t="sum"/>
      </items>
    </pivotField>
    <pivotField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ubtotalTop="0" showAll="0" defaultSubtotal="0">
      <items count="7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x="62"/>
        <item x="63"/>
        <item x="64"/>
        <item x="65"/>
        <item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</items>
    </pivotField>
    <pivotField dataField="1" dragToRow="0" dragToCol="0" dragToPage="0" showAll="0" defaultSubtotal="0"/>
  </pivotFields>
  <rowFields count="2">
    <field x="17"/>
    <field x="0"/>
  </rowFields>
  <rowItems count="65">
    <i>
      <x v="6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6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6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65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66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Items count="1">
    <i/>
  </colItems>
  <dataFields count="1">
    <dataField name="Sum of Field1" fld="18" baseField="0" baseItem="0"/>
  </dataFields>
  <formats count="8">
    <format dxfId="50">
      <pivotArea field="1" type="button" dataOnly="0" labelOnly="1" outline="0"/>
    </format>
    <format dxfId="49">
      <pivotArea field="17" type="button" dataOnly="0" labelOnly="1" outline="0" axis="axisRow" fieldPosition="0"/>
    </format>
    <format dxfId="48">
      <pivotArea dataOnly="0" labelOnly="1" fieldPosition="0">
        <references count="1">
          <reference field="17" count="0"/>
        </references>
      </pivotArea>
    </format>
    <format dxfId="47">
      <pivotArea dataOnly="0" labelOnly="1" fieldPosition="0">
        <references count="2">
          <reference field="0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7" count="1" selected="0">
            <x v="62"/>
          </reference>
        </references>
      </pivotArea>
    </format>
    <format dxfId="46">
      <pivotArea dataOnly="0" labelOnly="1" fieldPosition="0">
        <references count="2">
          <reference field="0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7" count="1" selected="0">
            <x v="63"/>
          </reference>
        </references>
      </pivotArea>
    </format>
    <format dxfId="45">
      <pivotArea dataOnly="0" labelOnly="1" fieldPosition="0">
        <references count="2">
          <reference field="0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7" count="1" selected="0">
            <x v="64"/>
          </reference>
        </references>
      </pivotArea>
    </format>
    <format dxfId="44">
      <pivotArea dataOnly="0" labelOnly="1" fieldPosition="0">
        <references count="2">
          <reference field="0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7" count="1" selected="0">
            <x v="65"/>
          </reference>
        </references>
      </pivotArea>
    </format>
    <format dxfId="43">
      <pivotArea dataOnly="0" labelOnly="1" fieldPosition="0">
        <references count="2">
          <reference field="0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7" count="1" selected="0">
            <x v="66"/>
          </reference>
        </references>
      </pivotArea>
    </format>
  </formats>
  <chartFormats count="2">
    <chartFormat chart="6" format="71" series="1">
      <pivotArea type="data" outline="0" fieldPosition="0"/>
    </chartFormat>
    <chartFormat chart="6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E0D5C4F-0F3D-49C3-824F-3720B32D1057}" autoFormatId="16" applyNumberFormats="0" applyBorderFormats="0" applyFontFormats="0" applyPatternFormats="0" applyAlignmentFormats="0" applyWidthHeightFormats="0">
  <queryTableRefresh nextId="5" unboundColumnsRight="1">
    <queryTableFields count="3">
      <queryTableField id="1" name="Column1.date" tableColumnId="1"/>
      <queryTableField id="2" name="Column1.value" tableColumnId="2"/>
      <queryTableField id="3" dataBound="0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1940CB0-4DCF-4A7E-9AEA-681F6B8EED4C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.date" tableColumnId="1"/>
      <queryTableField id="2" name="Column1.value" tableColumnId="2"/>
      <queryTableField id="3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5A800EF0-F8CD-4D21-ABD6-371A43C2D3EE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.date" tableColumnId="1"/>
      <queryTableField id="2" name="Column1.value" tableColumnId="2"/>
      <queryTableField id="3" dataBound="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9EF66331-3BB3-48D9-949A-5DC4471512CD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.date" tableColumnId="1"/>
      <queryTableField id="2" name="Column1.value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BEAE7DFF-8048-46E1-9007-E63A5AF861AA}" autoFormatId="16" applyNumberFormats="0" applyBorderFormats="0" applyFontFormats="0" applyPatternFormats="0" applyAlignmentFormats="0" applyWidthHeightFormats="0">
  <queryTableRefresh nextId="3">
    <queryTableFields count="2">
      <queryTableField id="1" name="Column1.date" tableColumnId="1"/>
      <queryTableField id="2" name="Column1.valu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D41E6326-1F68-4B05-9950-1DC804CC8B20}" autoFormatId="16" applyNumberFormats="0" applyBorderFormats="0" applyFontFormats="0" applyPatternFormats="0" applyAlignmentFormats="0" applyWidthHeightFormats="0">
  <queryTableRefresh nextId="10" unboundColumnsRight="2">
    <queryTableFields count="6">
      <queryTableField id="1" name="Name" tableColumnId="1"/>
      <queryTableField id="5" dataBound="0" tableColumnId="2"/>
      <queryTableField id="7" dataBound="0" tableColumnId="6"/>
      <queryTableField id="3" name="Value.LME-ZNC" tableColumnId="3"/>
      <queryTableField id="9" dataBound="0" tableColumnId="7"/>
      <queryTableField id="4" dataBound="0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3B27AE33-2F0D-4926-9F6A-2A2D19F2E034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.date" tableColumnId="1"/>
      <queryTableField id="2" name="Column1.value" tableColumnId="2"/>
      <queryTableField id="3" dataBound="0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64CC7EFE-1246-4A46-96FA-F47E30BEF914}" autoFormatId="16" applyNumberFormats="0" applyBorderFormats="0" applyFontFormats="0" applyPatternFormats="0" applyAlignmentFormats="0" applyWidthHeightFormats="0">
  <queryTableRefresh nextId="8" unboundColumnsRight="1">
    <queryTableFields count="6">
      <queryTableField id="1" name="Text.1.1.1" tableColumnId="1"/>
      <queryTableField id="4" dataBound="0" tableColumnId="4"/>
      <queryTableField id="2" name="Text.1.1.2" tableColumnId="2"/>
      <queryTableField id="5" dataBound="0" tableColumnId="5"/>
      <queryTableField id="3" name="Text.1.2" tableColumnId="3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76B856-DDB8-40FC-A210-C1C84DFF75B8}" name="observations_series_id_PCU22112222112243_api_key_ecc133893ea92a842ee685c73424608" displayName="observations_series_id_PCU22112222112243_api_key_ecc133893ea92a842ee685c73424608" ref="A1:C783" tableType="queryTable" totalsRowShown="0">
  <autoFilter ref="A1:C783" xr:uid="{8F7222BD-25EE-48C3-9D17-558EBE2ADB3A}"/>
  <tableColumns count="3">
    <tableColumn id="1" xr3:uid="{CE2B2520-984D-4CE9-BA6F-8E746BD1B33B}" uniqueName="1" name="Column1.date" queryTableFieldId="1" dataDxfId="16"/>
    <tableColumn id="2" xr3:uid="{5D499E60-A4E0-4E68-9DEA-61D77627E8C6}" uniqueName="2" name="Column1.value" queryTableFieldId="2" dataDxfId="42"/>
    <tableColumn id="3" xr3:uid="{40E0EEA7-C0BA-48D8-9C7C-47D065B0E6CB}" uniqueName="3" name="Column1" queryTableFieldId="3" dataDxfId="15" dataCellStyle="Percent">
      <calculatedColumnFormula>1-(B$2/B2)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097D8A-8A75-4441-93C4-15E21116BFA2}" name="observations_series_id_WPU0613020T_api_key_ecc133893ea92a842ee685c734246086_file" displayName="observations_series_id_WPU0613020T_api_key_ecc133893ea92a842ee685c734246086_file" ref="A1:C172" tableType="queryTable" totalsRowShown="0">
  <autoFilter ref="A1:C172" xr:uid="{46B738AE-8A1E-4A5D-863A-7CD5991707F7}"/>
  <tableColumns count="3">
    <tableColumn id="1" xr3:uid="{AFD4294A-4BBA-4E7A-8782-608742BD2665}" uniqueName="1" name="Column1.date" queryTableFieldId="1" dataDxfId="14"/>
    <tableColumn id="2" xr3:uid="{045D364E-024F-4C19-99C2-4A7B3488E5B6}" uniqueName="2" name="Column1.value" queryTableFieldId="2" dataDxfId="41"/>
    <tableColumn id="3" xr3:uid="{DDC23FD6-F1E7-465E-9862-D12266602A0D}" uniqueName="3" name="Column1" queryTableFieldId="3" dataDxfId="13" dataCellStyle="Percent">
      <calculatedColumnFormula>1-(B$2/B2)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21B542-548F-4CF6-9667-5E0FF3525A6C}" name="observations_series_id_PCU22122212_api_key_ecc133893ea92a842ee685c734246086_file" displayName="observations_series_id_PCU22122212_api_key_ecc133893ea92a842ee685c734246086_file" ref="A1:C232" tableType="queryTable" totalsRowShown="0">
  <autoFilter ref="A1:C232" xr:uid="{F01F5F96-1734-4F4F-90CE-D67EAD3C2D47}"/>
  <tableColumns count="3">
    <tableColumn id="1" xr3:uid="{36F6769D-6F8A-44DB-BBD3-54FAF059D3FE}" uniqueName="1" name="Column1.date" queryTableFieldId="1" dataDxfId="12"/>
    <tableColumn id="2" xr3:uid="{B1AB9F59-8811-4493-AA74-0B3C289E685D}" uniqueName="2" name="Column1.value" queryTableFieldId="2" dataDxfId="40"/>
    <tableColumn id="3" xr3:uid="{F34C463C-C067-43AE-BD4B-6AEA630C93BD}" uniqueName="3" name="Column1" queryTableFieldId="3" dataDxfId="11" dataCellStyle="Percent">
      <calculatedColumnFormula>1-(B$2/B2)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421FED-683D-4A9F-927B-023DDD22D341}" name="observations_series_id_PCU3241913241910_api_key_ecc133893ea92a842ee685c734246086" displayName="observations_series_id_PCU3241913241910_api_key_ecc133893ea92a842ee685c734246086" ref="A1:C588" tableType="queryTable" totalsRowShown="0">
  <autoFilter ref="A1:C588" xr:uid="{E0AEDE11-676B-430A-BA04-F0AD19B182A3}"/>
  <tableColumns count="3">
    <tableColumn id="1" xr3:uid="{BBA689DF-B56D-42A1-9FE4-244E05695ACB}" uniqueName="1" name="Column1.date" queryTableFieldId="1" dataDxfId="10"/>
    <tableColumn id="2" xr3:uid="{DFB0A482-1DA3-4DF0-898E-34634598EF72}" uniqueName="2" name="Column1.value" queryTableFieldId="2" dataDxfId="39"/>
    <tableColumn id="3" xr3:uid="{965D37CA-3265-48B2-9DE7-71AD3253BAE6}" uniqueName="3" name="Column1" queryTableFieldId="3" dataDxfId="9" dataCellStyle="Percent">
      <calculatedColumnFormula>1-(B$2/B2)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0036FC-207B-4173-8A3C-1BE1F271B2DF}" name="observations_series_id_WPU057303_api_key_ecc133893ea92a842ee685c734246086_file_t" displayName="observations_series_id_WPU057303_api_key_ecc133893ea92a842ee685c734246086_file_t" ref="A1:B602" tableType="queryTable" totalsRowShown="0">
  <autoFilter ref="A1:B602" xr:uid="{A4EF2E54-A1F0-4CA7-BA13-33F4D7C29EF4}"/>
  <tableColumns count="2">
    <tableColumn id="1" xr3:uid="{65B745FA-B651-49FD-8847-D0D5DF72A174}" uniqueName="1" name="Column1.date" queryTableFieldId="1" dataDxfId="8"/>
    <tableColumn id="2" xr3:uid="{2833763A-36D2-43FF-8554-DDD40E7D23D5}" uniqueName="2" name="Column1.value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3082B2-1700-4CA5-9C8D-1B0DCBF89FC0}" name="timeseries_access_key_fqeas14oitk235763mntlb1c0brnk9w3fenzqbk313q5kvxyf52kukw1pa" displayName="timeseries_access_key_fqeas14oitk235763mntlb1c0brnk9w3fenzqbk313q5kvxyf52kukw1pa" ref="A1:F339" tableType="queryTable" totalsRowShown="0">
  <autoFilter ref="A1:F339" xr:uid="{A3EB5230-C06A-4298-BCF3-E5D5861B8D3E}"/>
  <tableColumns count="6">
    <tableColumn id="1" xr3:uid="{3BDDC168-F108-4F89-80EB-DF5F84F1B59D}" uniqueName="1" name="Name" queryTableFieldId="1" dataDxfId="7"/>
    <tableColumn id="2" xr3:uid="{5A364C84-F685-420D-BBB2-529B9BE52274}" uniqueName="2" name="Month" queryTableFieldId="5" dataDxfId="38">
      <calculatedColumnFormula>MONTH(timeseries_access_key_fqeas14oitk235763mntlb1c0brnk9w3fenzqbk313q5kvxyf52kukw1pa[[#This Row],[Name]])</calculatedColumnFormula>
    </tableColumn>
    <tableColumn id="6" xr3:uid="{4503ABD9-C716-4A78-8D00-2720FB823643}" uniqueName="6" name="Year" queryTableFieldId="7" dataDxfId="37">
      <calculatedColumnFormula>YEAR(timeseries_access_key_fqeas14oitk235763mntlb1c0brnk9w3fenzqbk313q5kvxyf52kukw1pa[[#This Row],[Name]])</calculatedColumnFormula>
    </tableColumn>
    <tableColumn id="3" xr3:uid="{D3C4B41A-2FD5-4B56-96EA-E00F40DCE0E1}" uniqueName="3" name="Value.LME-ZNC" queryTableFieldId="3"/>
    <tableColumn id="7" xr3:uid="{9BF7E5F7-D0DF-4A8E-9504-F3817B95D1CC}" uniqueName="7" name="value_adj" queryTableFieldId="9" dataDxfId="36">
      <calculatedColumnFormula>IF(timeseries_access_key_fqeas14oitk235763mntlb1c0brnk9w3fenzqbk313q5kvxyf52kukw1pa[[#This Row],[Value.LME-ZNC]]="",0,timeseries_access_key_fqeas14oitk235763mntlb1c0brnk9w3fenzqbk313q5kvxyf52kukw1pa[[#This Row],[Value.LME-ZNC]])</calculatedColumnFormula>
    </tableColumn>
    <tableColumn id="4" xr3:uid="{1A2ADF61-E0C5-4665-95B2-C0702D03C533}" uniqueName="4" name="Column1" queryTableFieldId="4" dataDxfId="6" dataCellStyle="Percent">
      <calculatedColumnFormula>IFERROR(1-(D$2/D2),0)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16295C-F052-4DC7-BDEA-004D889452B5}" name="observations_series_id_EXJPUS_api_key_ecc133893ea92a842ee685c734246086_file_type" displayName="observations_series_id_EXJPUS_api_key_ecc133893ea92a842ee685c734246086_file_type" ref="A1:C628" tableType="queryTable" totalsRowShown="0">
  <autoFilter ref="A1:C628" xr:uid="{7800EEA3-98B7-4776-981B-0A33D9976A23}"/>
  <tableColumns count="3">
    <tableColumn id="1" xr3:uid="{E9B01921-83C7-4F67-8127-4F2A97AE8308}" uniqueName="1" name="Column1.date" queryTableFieldId="1" dataDxfId="5"/>
    <tableColumn id="2" xr3:uid="{ED9C1AF8-1C50-4E13-810A-615294694509}" uniqueName="2" name="Column1.value" queryTableFieldId="2" dataDxfId="4"/>
    <tableColumn id="3" xr3:uid="{4C952B43-CBBF-4117-B9DF-A323C5C763EE}" uniqueName="3" name="Column1" queryTableFieldId="3" dataDxfId="3" dataCellStyle="Percent">
      <calculatedColumnFormula>1-(B$2/B2)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FE83B59-E234-4E48-ACD0-4557624993E9}" name="Text_1_2" displayName="Text_1_2" ref="A1:F173" tableType="queryTable" totalsRowShown="0">
  <autoFilter ref="A1:F173" xr:uid="{FC20E764-FC5E-46C7-A172-74D1F6B4F1CE}"/>
  <sortState xmlns:xlrd2="http://schemas.microsoft.com/office/spreadsheetml/2017/richdata2" ref="A2:F173">
    <sortCondition ref="D1:D173"/>
  </sortState>
  <tableColumns count="6">
    <tableColumn id="1" xr3:uid="{1182C8D5-40AC-4116-A28A-7A1C71FE86E5}" uniqueName="1" name="Text.1.1.1" queryTableFieldId="1"/>
    <tableColumn id="4" xr3:uid="{5011CE2B-AEF5-4EAB-A24F-44C69C65ED2F}" uniqueName="4" name="Text.1.1.12" queryTableFieldId="4" dataDxfId="35">
      <calculatedColumnFormula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calculatedColumnFormula>
    </tableColumn>
    <tableColumn id="2" xr3:uid="{D06EA826-A908-447E-9BAF-0CB5F6ECFABE}" uniqueName="2" name="Text.1.1.2" queryTableFieldId="2" dataDxfId="34"/>
    <tableColumn id="5" xr3:uid="{1BBA71AC-ED3B-4687-AB5D-B36126A232A0}" uniqueName="5" name="Text.1.1.3" queryTableFieldId="5" dataDxfId="2">
      <calculatedColumnFormula>DATE(Text_1_2[[#This Row],[Text.1.1.12]],Text_1_2[[#This Row],[Text.1.1.2]],1)</calculatedColumnFormula>
    </tableColumn>
    <tableColumn id="3" xr3:uid="{571041FA-61C0-47C4-8BB5-FFD742F74A73}" uniqueName="3" name="Text.1.2" queryTableFieldId="3"/>
    <tableColumn id="7" xr3:uid="{B1DECF85-D747-4EC7-91D1-2027C3B36AD2}" uniqueName="7" name="Text.1.3" queryTableFieldId="7" dataDxfId="1" dataCellStyle="Percent">
      <calculatedColumnFormula>IFERROR(1-(E$2/E2),0)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FECDD2-5D99-4418-8CEB-1D8A645301CB}" name="all_data" displayName="all_data" ref="A1:P901" totalsRowShown="0" dataDxfId="33" dataCellStyle="Percent">
  <autoFilter ref="A1:P901" xr:uid="{1FED789D-DB43-48A3-BA77-DF130921E011}"/>
  <tableColumns count="16">
    <tableColumn id="1" xr3:uid="{1A6A56A4-50ED-4549-A587-201039FD7D5A}" name="Date" dataDxfId="32"/>
    <tableColumn id="14" xr3:uid="{C1466A87-4528-411C-AF30-641A0D12B0F8}" name="Selected" dataDxfId="31">
      <calculatedColumnFormula>HLOOKUP(Dashboard!$I$27,results,ROW(A2),FALSE)</calculatedColumnFormula>
    </tableColumn>
    <tableColumn id="2" xr3:uid="{CE5F5FE1-1B96-4087-AA9E-448ECC2B30EF}" name="PPI - Electricity" dataDxfId="30">
      <calculatedColumnFormula>IFERROR(VLOOKUP(A2,observations_series_id_PCU22112222112243_api_key_ecc133893ea92a842ee685c73424608[],2,FALSE),"")</calculatedColumnFormula>
    </tableColumn>
    <tableColumn id="3" xr3:uid="{652F0F89-FB89-4E9B-A249-B25706198564}" name="PPI - Electricity (%)" dataDxfId="29" dataCellStyle="Percent">
      <calculatedColumnFormula>IFERROR(VLOOKUP(A2,observations_series_id_PCU22112222112243_api_key_ecc133893ea92a842ee685c73424608[],3,FALSE),"")</calculatedColumnFormula>
    </tableColumn>
    <tableColumn id="4" xr3:uid="{515A1032-297A-466D-A131-A3DC27F740F6}" name="PPI - Inorganic Acids" dataDxfId="28">
      <calculatedColumnFormula>IFERROR(VLOOKUP($A2,observations_series_id_WPU0613020T_api_key_ecc133893ea92a842ee685c734246086_file[],2,FALSE),"")</calculatedColumnFormula>
    </tableColumn>
    <tableColumn id="5" xr3:uid="{1546F719-049A-496A-A567-8B26946B903C}" name="PPI - Inorganic Acids (%)" dataDxfId="27" dataCellStyle="Percent">
      <calculatedColumnFormula>IFERROR(VLOOKUP($A2,observations_series_id_WPU0613020T_api_key_ecc133893ea92a842ee685c734246086_file[],3,FALSE),"")</calculatedColumnFormula>
    </tableColumn>
    <tableColumn id="6" xr3:uid="{C771F89E-366A-4140-B6FE-5138F8418E8C}" name="PPI - Natural Gas" dataDxfId="26">
      <calculatedColumnFormula>IFERROR(VLOOKUP($A2,observations_series_id_PCU22122212_api_key_ecc133893ea92a842ee685c734246086_file[],2,FALSE),"")</calculatedColumnFormula>
    </tableColumn>
    <tableColumn id="7" xr3:uid="{5CC013FA-1EB5-46D4-8FBD-6C6E17C91BD4}" name="PPI - Natural Gas (%)" dataDxfId="25" dataCellStyle="Percent">
      <calculatedColumnFormula>IFERROR(VLOOKUP($A2,observations_series_id_PCU22122212_api_key_ecc133893ea92a842ee685c734246086_file[],3,FALSE),"")</calculatedColumnFormula>
    </tableColumn>
    <tableColumn id="8" xr3:uid="{8AAD500B-0F91-4C47-AD22-DB0B661B7DD3}" name="PPI - Petroleum" dataDxfId="24">
      <calculatedColumnFormula>IFERROR(VLOOKUP($A2,observations_series_id_PCU3241913241910_api_key_ecc133893ea92a842ee685c734246086[],2,FALSE),"")</calculatedColumnFormula>
    </tableColumn>
    <tableColumn id="9" xr3:uid="{50A8522A-0398-4CC8-9326-066C299BBCAE}" name="PPI - Petroleum (%)" dataDxfId="23" dataCellStyle="Percent">
      <calculatedColumnFormula>IFERROR(VLOOKUP($A2,observations_series_id_PCU3241913241910_api_key_ecc133893ea92a842ee685c734246086[],3,FALSE),"")</calculatedColumnFormula>
    </tableColumn>
    <tableColumn id="10" xr3:uid="{57D5BB8B-044E-439F-9A92-19AEF0CC8B50}" name="Exchange Rate" dataDxfId="22">
      <calculatedColumnFormula>IFERROR(VLOOKUP($A2,observations_series_id_EXJPUS_api_key_ecc133893ea92a842ee685c734246086_file_type[],2,FALSE),"")</calculatedColumnFormula>
    </tableColumn>
    <tableColumn id="11" xr3:uid="{7CC05060-4B55-4F9B-B25C-DE7E1EDF21B6}" name="Exchange Rate (%)" dataDxfId="21" dataCellStyle="Percent">
      <calculatedColumnFormula>IFERROR(VLOOKUP($A2,observations_series_id_EXJPUS_api_key_ecc133893ea92a842ee685c734246086_file_type[],3,FALSE),"")</calculatedColumnFormula>
    </tableColumn>
    <tableColumn id="12" xr3:uid="{B17F8E29-4E79-42A6-9A63-0399F9C9E795}" name="LME Zinc" dataDxfId="20">
      <calculatedColumnFormula>IFERROR(AVERAGEIFS(timeseries_access_key_fqeas14oitk235763mntlb1c0brnk9w3fenzqbk313q5kvxyf52kukw1pa[Value.LME-ZNC],timeseries_access_key_fqeas14oitk235763mntlb1c0brnk9w3fenzqbk313q5kvxyf52kukw1pa[Month],MONTH(Data!$A2),timeseries_access_key_fqeas14oitk235763mntlb1c0brnk9w3fenzqbk313q5kvxyf52kukw1pa[Year],YEAR(Data!$A2)),"")</calculatedColumnFormula>
    </tableColumn>
    <tableColumn id="13" xr3:uid="{2B18D88A-D972-4186-932F-4236D7BDAD7A}" name="LME Zinc (%)" dataDxfId="19" dataCellStyle="Percent">
      <calculatedColumnFormula>IFERROR(AVERAGEIFS(timeseries_access_key_fqeas14oitk235763mntlb1c0brnk9w3fenzqbk313q5kvxyf52kukw1pa[Column1],timeseries_access_key_fqeas14oitk235763mntlb1c0brnk9w3fenzqbk313q5kvxyf52kukw1pa[Month],MONTH(Data!$A2),timeseries_access_key_fqeas14oitk235763mntlb1c0brnk9w3fenzqbk313q5kvxyf52kukw1pa[Year],YEAR(Data!$A2)),"")</calculatedColumnFormula>
    </tableColumn>
    <tableColumn id="15" xr3:uid="{28893F8D-BE0D-49D7-AFA1-F62942EE0B19}" name="Naphtha (JPY)" dataDxfId="18" dataCellStyle="Percent">
      <calculatedColumnFormula>IFERROR(VLOOKUP($A2,Text_1_2[[Text.1.1.3]:[Text.1.3]],2,FALSE),"")</calculatedColumnFormula>
    </tableColumn>
    <tableColumn id="16" xr3:uid="{05088D27-29DB-4D4B-ABE6-230B96679B30}" name="Naphtha (%)" dataDxfId="1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DC25A-7CA7-481B-A6AE-00CC01F4B30E}">
  <sheetPr codeName="Sheet11">
    <tabColor theme="9"/>
  </sheetPr>
  <dimension ref="A1:R979"/>
  <sheetViews>
    <sheetView tabSelected="1" view="pageBreakPreview" topLeftCell="E1" zoomScale="121" zoomScaleNormal="100" zoomScaleSheetLayoutView="121" workbookViewId="0">
      <selection activeCell="W12" sqref="W12"/>
    </sheetView>
  </sheetViews>
  <sheetFormatPr defaultRowHeight="15" outlineLevelCol="1" x14ac:dyDescent="0.25"/>
  <cols>
    <col min="1" max="1" width="12.5703125" style="1" hidden="1" customWidth="1" outlineLevel="1"/>
    <col min="2" max="3" width="12.28515625" hidden="1" customWidth="1" outlineLevel="1"/>
    <col min="4" max="4" width="16.42578125" hidden="1" customWidth="1" outlineLevel="1"/>
    <col min="5" max="5" width="9.5703125" bestFit="1" customWidth="1" collapsed="1"/>
    <col min="6" max="6" width="9.5703125" bestFit="1" customWidth="1"/>
    <col min="7" max="7" width="12.28515625" customWidth="1"/>
    <col min="8" max="8" width="13" customWidth="1"/>
    <col min="9" max="9" width="18.28515625" bestFit="1" customWidth="1"/>
    <col min="10" max="10" width="6.28515625" bestFit="1" customWidth="1"/>
    <col min="11" max="13" width="9.5703125" bestFit="1" customWidth="1"/>
    <col min="14" max="14" width="8.42578125" bestFit="1" customWidth="1"/>
    <col min="15" max="21" width="9.5703125" bestFit="1" customWidth="1"/>
    <col min="22" max="22" width="8.42578125" bestFit="1" customWidth="1"/>
    <col min="23" max="25" width="9.5703125" bestFit="1" customWidth="1"/>
    <col min="26" max="26" width="8.42578125" bestFit="1" customWidth="1"/>
    <col min="27" max="27" width="9.5703125" bestFit="1" customWidth="1"/>
    <col min="28" max="28" width="8.42578125" bestFit="1" customWidth="1"/>
    <col min="29" max="35" width="9.5703125" bestFit="1" customWidth="1"/>
    <col min="36" max="36" width="8.42578125" bestFit="1" customWidth="1"/>
    <col min="37" max="39" width="9.5703125" bestFit="1" customWidth="1"/>
    <col min="40" max="40" width="8.42578125" bestFit="1" customWidth="1"/>
    <col min="41" max="43" width="9.5703125" bestFit="1" customWidth="1"/>
  </cols>
  <sheetData>
    <row r="1" spans="1:18" x14ac:dyDescent="0.25">
      <c r="E1" s="13"/>
      <c r="F1" s="13"/>
      <c r="G1" s="13"/>
      <c r="H1" s="13"/>
      <c r="I1" s="14" t="s">
        <v>58</v>
      </c>
      <c r="J1" s="14"/>
      <c r="K1" s="14"/>
      <c r="L1" s="14"/>
      <c r="M1" s="14"/>
      <c r="N1" s="13"/>
      <c r="O1" s="13"/>
      <c r="P1" s="13"/>
      <c r="Q1" s="13"/>
      <c r="R1" s="13"/>
    </row>
    <row r="2" spans="1:18" x14ac:dyDescent="0.25">
      <c r="A2"/>
      <c r="E2" s="13"/>
      <c r="F2" s="13"/>
      <c r="G2" s="13"/>
      <c r="H2" s="13"/>
      <c r="I2" s="14"/>
      <c r="J2" s="14"/>
      <c r="K2" s="14"/>
      <c r="L2" s="14"/>
      <c r="M2" s="14"/>
      <c r="N2" s="13"/>
      <c r="O2" s="13"/>
      <c r="P2" s="13"/>
      <c r="Q2" s="13"/>
      <c r="R2" s="13"/>
    </row>
    <row r="3" spans="1:18" x14ac:dyDescent="0.25"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1:18" x14ac:dyDescent="0.25">
      <c r="A4" s="5" t="s">
        <v>21</v>
      </c>
      <c r="B4" t="s">
        <v>37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18" x14ac:dyDescent="0.25">
      <c r="A5" s="6" t="s">
        <v>54</v>
      </c>
      <c r="B5" s="9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</row>
    <row r="6" spans="1:18" x14ac:dyDescent="0.25">
      <c r="A6" s="4" t="s">
        <v>22</v>
      </c>
      <c r="B6" s="9">
        <v>0.20760697305863707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</row>
    <row r="7" spans="1:18" x14ac:dyDescent="0.25">
      <c r="A7" s="4" t="s">
        <v>23</v>
      </c>
      <c r="B7" s="9">
        <v>0.17695473251028804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</row>
    <row r="8" spans="1:18" x14ac:dyDescent="0.25">
      <c r="A8" s="4" t="s">
        <v>24</v>
      </c>
      <c r="B8" s="9">
        <v>0.16177703269069565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spans="1:18" x14ac:dyDescent="0.25">
      <c r="A9" s="4" t="s">
        <v>25</v>
      </c>
      <c r="B9" s="9">
        <v>0.15469146238377007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</row>
    <row r="10" spans="1:18" x14ac:dyDescent="0.25">
      <c r="A10" s="4" t="s">
        <v>26</v>
      </c>
      <c r="B10" s="9">
        <v>0.13344887348353562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8" x14ac:dyDescent="0.25">
      <c r="A11" s="4" t="s">
        <v>27</v>
      </c>
      <c r="B11" s="9">
        <v>0.13344887348353562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 x14ac:dyDescent="0.25">
      <c r="A12" s="4" t="s">
        <v>28</v>
      </c>
      <c r="B12" s="9">
        <v>0.11971830985915488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 x14ac:dyDescent="0.25">
      <c r="A13" s="4" t="s">
        <v>29</v>
      </c>
      <c r="B13" s="9">
        <v>0.11504424778761058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 x14ac:dyDescent="0.25">
      <c r="A14" s="4" t="s">
        <v>30</v>
      </c>
      <c r="B14" s="9">
        <v>0.11190053285968027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x14ac:dyDescent="0.25">
      <c r="A15" s="4" t="s">
        <v>31</v>
      </c>
      <c r="B15" s="9">
        <v>0.1228070175438597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x14ac:dyDescent="0.25">
      <c r="A16" s="4" t="s">
        <v>32</v>
      </c>
      <c r="B16" s="9">
        <v>0.14163090128755362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x14ac:dyDescent="0.25">
      <c r="A17" s="4" t="s">
        <v>33</v>
      </c>
      <c r="B17" s="9">
        <v>0.13793103448275867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x14ac:dyDescent="0.25">
      <c r="A18" s="6" t="s">
        <v>55</v>
      </c>
      <c r="B18" s="9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x14ac:dyDescent="0.25">
      <c r="A19" s="4" t="s">
        <v>22</v>
      </c>
      <c r="B19" s="9">
        <v>0.13344887348353562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x14ac:dyDescent="0.25">
      <c r="A20" s="4" t="s">
        <v>23</v>
      </c>
      <c r="B20" s="9">
        <v>0.11347517730496448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4" t="s">
        <v>24</v>
      </c>
      <c r="B21" s="9">
        <v>0.10554561717352418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4" t="s">
        <v>25</v>
      </c>
      <c r="B22" s="9">
        <v>8.4249084249084283E-2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4" t="s">
        <v>26</v>
      </c>
      <c r="B23" s="9">
        <v>9.2558983666061745E-2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x14ac:dyDescent="0.25">
      <c r="A24" s="4" t="s">
        <v>27</v>
      </c>
      <c r="B24" s="9">
        <v>9.0909090909090939E-2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4" t="s">
        <v>28</v>
      </c>
      <c r="B25" s="9">
        <v>7.7490774907749138E-2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ht="15.75" thickBot="1" x14ac:dyDescent="0.3">
      <c r="A26" s="4" t="s">
        <v>29</v>
      </c>
      <c r="B26" s="9">
        <v>0.10071942446043169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ht="15.75" thickBot="1" x14ac:dyDescent="0.3">
      <c r="A27" s="4" t="s">
        <v>30</v>
      </c>
      <c r="B27" s="9">
        <v>0.14310197086546705</v>
      </c>
      <c r="E27" s="13"/>
      <c r="F27" s="13"/>
      <c r="G27" s="12" t="s">
        <v>38</v>
      </c>
      <c r="H27" s="12" t="s">
        <v>39</v>
      </c>
      <c r="I27" s="10" t="s">
        <v>16</v>
      </c>
      <c r="J27" s="11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4" t="s">
        <v>31</v>
      </c>
      <c r="B28" s="9">
        <v>0.21568627450980393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4" t="s">
        <v>32</v>
      </c>
      <c r="B29" s="9">
        <v>0.26470588235294112</v>
      </c>
    </row>
    <row r="30" spans="1:18" x14ac:dyDescent="0.25">
      <c r="A30" s="4" t="s">
        <v>33</v>
      </c>
      <c r="B30" s="9">
        <v>0.23195084485407058</v>
      </c>
    </row>
    <row r="31" spans="1:18" x14ac:dyDescent="0.25">
      <c r="A31" s="6" t="s">
        <v>53</v>
      </c>
      <c r="B31" s="9"/>
    </row>
    <row r="32" spans="1:18" x14ac:dyDescent="0.25">
      <c r="A32" s="4" t="s">
        <v>22</v>
      </c>
      <c r="B32" s="9">
        <v>0.17695473251028804</v>
      </c>
    </row>
    <row r="33" spans="1:2" x14ac:dyDescent="0.25">
      <c r="A33" s="4" t="s">
        <v>23</v>
      </c>
      <c r="B33" s="9">
        <v>0.19093851132686079</v>
      </c>
    </row>
    <row r="34" spans="1:2" x14ac:dyDescent="0.25">
      <c r="A34" s="4" t="s">
        <v>24</v>
      </c>
      <c r="B34" s="9">
        <v>0.20634920634920639</v>
      </c>
    </row>
    <row r="35" spans="1:2" x14ac:dyDescent="0.25">
      <c r="A35" s="4" t="s">
        <v>25</v>
      </c>
      <c r="B35" s="9">
        <v>0.21691464369616287</v>
      </c>
    </row>
    <row r="36" spans="1:2" x14ac:dyDescent="0.25">
      <c r="A36" s="4" t="s">
        <v>26</v>
      </c>
      <c r="B36" s="9">
        <v>0.28005759539236863</v>
      </c>
    </row>
    <row r="37" spans="1:2" x14ac:dyDescent="0.25">
      <c r="A37" s="4" t="s">
        <v>27</v>
      </c>
      <c r="B37" s="9">
        <v>0.2548435171385991</v>
      </c>
    </row>
    <row r="38" spans="1:2" x14ac:dyDescent="0.25">
      <c r="A38" s="4" t="s">
        <v>28</v>
      </c>
      <c r="B38" s="9">
        <v>0.294353416035113</v>
      </c>
    </row>
    <row r="39" spans="1:2" x14ac:dyDescent="0.25">
      <c r="A39" s="4" t="s">
        <v>29</v>
      </c>
      <c r="B39" s="9">
        <v>0.31356868774926039</v>
      </c>
    </row>
    <row r="40" spans="1:2" x14ac:dyDescent="0.25">
      <c r="A40" s="4" t="s">
        <v>30</v>
      </c>
      <c r="B40" s="9">
        <v>0.32961942494754282</v>
      </c>
    </row>
    <row r="41" spans="1:2" x14ac:dyDescent="0.25">
      <c r="A41" s="4" t="s">
        <v>31</v>
      </c>
      <c r="B41" s="9">
        <v>0.38905554096077133</v>
      </c>
    </row>
    <row r="42" spans="1:2" x14ac:dyDescent="0.25">
      <c r="A42" s="4" t="s">
        <v>32</v>
      </c>
      <c r="B42" s="9">
        <v>0.44755959450874228</v>
      </c>
    </row>
    <row r="43" spans="1:2" x14ac:dyDescent="0.25">
      <c r="A43" s="4" t="s">
        <v>33</v>
      </c>
      <c r="B43" s="9">
        <v>0.43966290120136275</v>
      </c>
    </row>
    <row r="44" spans="1:2" x14ac:dyDescent="0.25">
      <c r="A44" s="6" t="s">
        <v>34</v>
      </c>
      <c r="B44" s="9"/>
    </row>
    <row r="45" spans="1:2" x14ac:dyDescent="0.25">
      <c r="A45" s="4" t="s">
        <v>22</v>
      </c>
      <c r="B45" s="9">
        <v>0.42803214459347383</v>
      </c>
    </row>
    <row r="46" spans="1:2" x14ac:dyDescent="0.25">
      <c r="A46" s="4" t="s">
        <v>23</v>
      </c>
      <c r="B46" s="9">
        <v>0.41683141179283523</v>
      </c>
    </row>
    <row r="47" spans="1:2" x14ac:dyDescent="0.25">
      <c r="A47" s="4" t="s">
        <v>24</v>
      </c>
      <c r="B47" s="9">
        <v>0.37207622994568457</v>
      </c>
    </row>
    <row r="48" spans="1:2" x14ac:dyDescent="0.25">
      <c r="A48" s="4" t="s">
        <v>25</v>
      </c>
      <c r="B48" s="9">
        <v>0.39496977874044814</v>
      </c>
    </row>
    <row r="49" spans="1:2" x14ac:dyDescent="0.25">
      <c r="A49" s="4" t="s">
        <v>26</v>
      </c>
      <c r="B49" s="9">
        <v>0.45823536422836464</v>
      </c>
    </row>
    <row r="50" spans="1:2" x14ac:dyDescent="0.25">
      <c r="A50" s="4" t="s">
        <v>27</v>
      </c>
      <c r="B50" s="9">
        <v>0.50830231540439685</v>
      </c>
    </row>
    <row r="51" spans="1:2" x14ac:dyDescent="0.25">
      <c r="A51" s="4" t="s">
        <v>28</v>
      </c>
      <c r="B51" s="9">
        <v>0.46296037721663097</v>
      </c>
    </row>
    <row r="52" spans="1:2" x14ac:dyDescent="0.25">
      <c r="A52" s="4" t="s">
        <v>29</v>
      </c>
      <c r="B52" s="9">
        <v>0.48067055817528415</v>
      </c>
    </row>
    <row r="53" spans="1:2" x14ac:dyDescent="0.25">
      <c r="A53" s="4" t="s">
        <v>30</v>
      </c>
      <c r="B53" s="9">
        <v>0.49047441926821933</v>
      </c>
    </row>
    <row r="54" spans="1:2" x14ac:dyDescent="0.25">
      <c r="A54" s="4" t="s">
        <v>31</v>
      </c>
      <c r="B54" s="9">
        <v>0.46995717253954117</v>
      </c>
    </row>
    <row r="55" spans="1:2" x14ac:dyDescent="0.25">
      <c r="A55" s="4" t="s">
        <v>32</v>
      </c>
      <c r="B55" s="9">
        <v>0.4578594121027465</v>
      </c>
    </row>
    <row r="56" spans="1:2" x14ac:dyDescent="0.25">
      <c r="A56" s="4" t="s">
        <v>33</v>
      </c>
      <c r="B56" s="9">
        <v>0.47000773788702677</v>
      </c>
    </row>
    <row r="57" spans="1:2" x14ac:dyDescent="0.25">
      <c r="A57" s="6" t="s">
        <v>35</v>
      </c>
      <c r="B57" s="9"/>
    </row>
    <row r="58" spans="1:2" x14ac:dyDescent="0.25">
      <c r="A58" s="4" t="s">
        <v>22</v>
      </c>
      <c r="B58" s="9">
        <v>0.50593129480585575</v>
      </c>
    </row>
    <row r="59" spans="1:2" x14ac:dyDescent="0.25">
      <c r="A59" s="4" t="s">
        <v>23</v>
      </c>
      <c r="B59" s="9">
        <v>0.4697098252163584</v>
      </c>
    </row>
    <row r="60" spans="1:2" x14ac:dyDescent="0.25">
      <c r="A60" s="4" t="s">
        <v>24</v>
      </c>
      <c r="B60" s="9" t="e">
        <v>#VALUE!</v>
      </c>
    </row>
    <row r="61" spans="1:2" x14ac:dyDescent="0.25">
      <c r="A61" s="4" t="s">
        <v>25</v>
      </c>
      <c r="B61" s="9" t="e">
        <v>#VALUE!</v>
      </c>
    </row>
    <row r="62" spans="1:2" x14ac:dyDescent="0.25">
      <c r="A62" s="4" t="s">
        <v>26</v>
      </c>
      <c r="B62" s="9" t="e">
        <v>#VALUE!</v>
      </c>
    </row>
    <row r="63" spans="1:2" x14ac:dyDescent="0.25">
      <c r="A63" s="4" t="s">
        <v>27</v>
      </c>
      <c r="B63" s="9" t="e">
        <v>#VALUE!</v>
      </c>
    </row>
    <row r="64" spans="1:2" x14ac:dyDescent="0.25">
      <c r="A64" s="4" t="s">
        <v>28</v>
      </c>
      <c r="B64" s="9" t="e">
        <v>#VALUE!</v>
      </c>
    </row>
    <row r="65" spans="1:2" x14ac:dyDescent="0.25">
      <c r="A65" s="4" t="s">
        <v>29</v>
      </c>
      <c r="B65" s="9" t="e">
        <v>#VALUE!</v>
      </c>
    </row>
    <row r="66" spans="1:2" x14ac:dyDescent="0.25">
      <c r="A66" s="4" t="s">
        <v>30</v>
      </c>
      <c r="B66" s="9" t="e">
        <v>#VALUE!</v>
      </c>
    </row>
    <row r="67" spans="1:2" x14ac:dyDescent="0.25">
      <c r="A67" s="4" t="s">
        <v>31</v>
      </c>
      <c r="B67" s="9" t="e">
        <v>#VALUE!</v>
      </c>
    </row>
    <row r="68" spans="1:2" x14ac:dyDescent="0.25">
      <c r="A68" s="4" t="s">
        <v>32</v>
      </c>
      <c r="B68" s="9" t="e">
        <v>#VALUE!</v>
      </c>
    </row>
    <row r="69" spans="1:2" x14ac:dyDescent="0.25">
      <c r="A69" s="4" t="s">
        <v>33</v>
      </c>
      <c r="B69" s="9" t="e">
        <v>#VALUE!</v>
      </c>
    </row>
    <row r="70" spans="1:2" x14ac:dyDescent="0.25">
      <c r="A70"/>
    </row>
    <row r="71" spans="1:2" x14ac:dyDescent="0.25">
      <c r="A71"/>
    </row>
    <row r="72" spans="1:2" x14ac:dyDescent="0.25">
      <c r="A72"/>
    </row>
    <row r="73" spans="1:2" x14ac:dyDescent="0.25">
      <c r="A73"/>
    </row>
    <row r="74" spans="1:2" x14ac:dyDescent="0.25">
      <c r="A74"/>
    </row>
    <row r="75" spans="1:2" x14ac:dyDescent="0.25">
      <c r="A75"/>
    </row>
    <row r="76" spans="1:2" x14ac:dyDescent="0.25">
      <c r="A76"/>
    </row>
    <row r="77" spans="1:2" x14ac:dyDescent="0.25">
      <c r="A77"/>
    </row>
    <row r="78" spans="1:2" x14ac:dyDescent="0.25">
      <c r="A78"/>
    </row>
    <row r="79" spans="1:2" x14ac:dyDescent="0.25">
      <c r="A79"/>
    </row>
    <row r="80" spans="1:2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3" x14ac:dyDescent="0.25">
      <c r="A193"/>
    </row>
    <row r="194" spans="1:3" x14ac:dyDescent="0.25">
      <c r="A194"/>
    </row>
    <row r="195" spans="1:3" x14ac:dyDescent="0.25">
      <c r="A195"/>
    </row>
    <row r="196" spans="1:3" x14ac:dyDescent="0.25">
      <c r="A196"/>
    </row>
    <row r="197" spans="1:3" x14ac:dyDescent="0.25">
      <c r="A197"/>
    </row>
    <row r="198" spans="1:3" x14ac:dyDescent="0.25">
      <c r="A198"/>
    </row>
    <row r="199" spans="1:3" x14ac:dyDescent="0.25">
      <c r="A199"/>
    </row>
    <row r="200" spans="1:3" x14ac:dyDescent="0.25">
      <c r="A200"/>
    </row>
    <row r="201" spans="1:3" x14ac:dyDescent="0.25">
      <c r="A201"/>
    </row>
    <row r="202" spans="1:3" x14ac:dyDescent="0.25">
      <c r="A202"/>
    </row>
    <row r="203" spans="1:3" x14ac:dyDescent="0.25">
      <c r="A203"/>
    </row>
    <row r="204" spans="1:3" x14ac:dyDescent="0.25">
      <c r="A204"/>
    </row>
    <row r="205" spans="1:3" x14ac:dyDescent="0.25">
      <c r="A205"/>
      <c r="C205" s="7" t="str">
        <f>IF(AND(B205=0,Data!B201&lt;&gt;0),"",B205)</f>
        <v/>
      </c>
    </row>
    <row r="206" spans="1:3" x14ac:dyDescent="0.25">
      <c r="A206"/>
      <c r="C206" s="7" t="str">
        <f>IF(AND(B206=0,Data!B202&lt;&gt;0),"",B206)</f>
        <v/>
      </c>
    </row>
    <row r="207" spans="1:3" x14ac:dyDescent="0.25">
      <c r="A207"/>
      <c r="C207" s="7" t="str">
        <f>IF(AND(B207=0,Data!B203&lt;&gt;0),"",B207)</f>
        <v/>
      </c>
    </row>
    <row r="208" spans="1:3" x14ac:dyDescent="0.25">
      <c r="A208"/>
      <c r="C208" s="7" t="str">
        <f>IF(AND(B208=0,Data!B204&lt;&gt;0),"",B208)</f>
        <v/>
      </c>
    </row>
    <row r="209" spans="1:3" x14ac:dyDescent="0.25">
      <c r="A209"/>
      <c r="C209" s="7" t="str">
        <f>IF(AND(B209=0,Data!B205&lt;&gt;0),"",B209)</f>
        <v/>
      </c>
    </row>
    <row r="210" spans="1:3" x14ac:dyDescent="0.25">
      <c r="A210"/>
      <c r="C210" s="7" t="str">
        <f>IF(AND(B210=0,Data!B206&lt;&gt;0),"",B210)</f>
        <v/>
      </c>
    </row>
    <row r="211" spans="1:3" x14ac:dyDescent="0.25">
      <c r="A211"/>
      <c r="C211" s="7" t="str">
        <f>IF(AND(B211=0,Data!B207&lt;&gt;0),"",B211)</f>
        <v/>
      </c>
    </row>
    <row r="212" spans="1:3" x14ac:dyDescent="0.25">
      <c r="A212"/>
      <c r="C212" s="7" t="str">
        <f>IF(AND(B212=0,Data!B208&lt;&gt;0),"",B212)</f>
        <v/>
      </c>
    </row>
    <row r="213" spans="1:3" x14ac:dyDescent="0.25">
      <c r="A213"/>
      <c r="C213" s="7" t="str">
        <f>IF(AND(B213=0,Data!B209&lt;&gt;0),"",B213)</f>
        <v/>
      </c>
    </row>
    <row r="214" spans="1:3" x14ac:dyDescent="0.25">
      <c r="A214"/>
      <c r="C214" s="7" t="str">
        <f>IF(AND(B214=0,Data!B210&lt;&gt;0),"",B214)</f>
        <v/>
      </c>
    </row>
    <row r="215" spans="1:3" x14ac:dyDescent="0.25">
      <c r="A215"/>
      <c r="C215" s="7" t="str">
        <f>IF(AND(B215=0,Data!B211&lt;&gt;0),"",B215)</f>
        <v/>
      </c>
    </row>
    <row r="216" spans="1:3" x14ac:dyDescent="0.25">
      <c r="A216"/>
      <c r="C216" s="7" t="str">
        <f>IF(AND(B216=0,Data!B212&lt;&gt;0),"",B216)</f>
        <v/>
      </c>
    </row>
    <row r="217" spans="1:3" x14ac:dyDescent="0.25">
      <c r="A217"/>
      <c r="C217" s="7" t="str">
        <f>IF(AND(B217=0,Data!B213&lt;&gt;0),"",B217)</f>
        <v/>
      </c>
    </row>
    <row r="218" spans="1:3" x14ac:dyDescent="0.25">
      <c r="A218"/>
      <c r="C218" s="7" t="str">
        <f>IF(AND(B218=0,Data!B214&lt;&gt;0),"",B218)</f>
        <v/>
      </c>
    </row>
    <row r="219" spans="1:3" x14ac:dyDescent="0.25">
      <c r="A219"/>
      <c r="C219" s="7" t="str">
        <f>IF(AND(B219=0,Data!B215&lt;&gt;0),"",B219)</f>
        <v/>
      </c>
    </row>
    <row r="220" spans="1:3" x14ac:dyDescent="0.25">
      <c r="A220"/>
      <c r="C220" s="7" t="str">
        <f>IF(AND(B220=0,Data!B216&lt;&gt;0),"",B220)</f>
        <v/>
      </c>
    </row>
    <row r="221" spans="1:3" x14ac:dyDescent="0.25">
      <c r="A221"/>
      <c r="C221" s="7" t="str">
        <f>IF(AND(B221=0,Data!B217&lt;&gt;0),"",B221)</f>
        <v/>
      </c>
    </row>
    <row r="222" spans="1:3" x14ac:dyDescent="0.25">
      <c r="A222"/>
      <c r="C222" s="7" t="str">
        <f>IF(AND(B222=0,Data!B218&lt;&gt;0),"",B222)</f>
        <v/>
      </c>
    </row>
    <row r="223" spans="1:3" x14ac:dyDescent="0.25">
      <c r="A223"/>
      <c r="C223" s="7" t="str">
        <f>IF(AND(B223=0,Data!B219&lt;&gt;0),"",B223)</f>
        <v/>
      </c>
    </row>
    <row r="224" spans="1:3" x14ac:dyDescent="0.25">
      <c r="A224"/>
      <c r="C224" s="7" t="str">
        <f>IF(AND(B224=0,Data!B220&lt;&gt;0),"",B224)</f>
        <v/>
      </c>
    </row>
    <row r="225" spans="1:3" x14ac:dyDescent="0.25">
      <c r="A225"/>
      <c r="C225" s="7" t="str">
        <f>IF(AND(B225=0,Data!B221&lt;&gt;0),"",B225)</f>
        <v/>
      </c>
    </row>
    <row r="226" spans="1:3" x14ac:dyDescent="0.25">
      <c r="A226"/>
      <c r="C226" s="7" t="str">
        <f>IF(AND(B226=0,Data!B222&lt;&gt;0),"",B226)</f>
        <v/>
      </c>
    </row>
    <row r="227" spans="1:3" x14ac:dyDescent="0.25">
      <c r="A227"/>
      <c r="C227" s="7" t="str">
        <f>IF(AND(B227=0,Data!B223&lt;&gt;0),"",B227)</f>
        <v/>
      </c>
    </row>
    <row r="228" spans="1:3" x14ac:dyDescent="0.25">
      <c r="A228"/>
      <c r="C228" s="7" t="str">
        <f>IF(AND(B228=0,Data!B224&lt;&gt;0),"",B228)</f>
        <v/>
      </c>
    </row>
    <row r="229" spans="1:3" x14ac:dyDescent="0.25">
      <c r="A229"/>
      <c r="C229" s="7" t="str">
        <f>IF(AND(B229=0,Data!B225&lt;&gt;0),"",B229)</f>
        <v/>
      </c>
    </row>
    <row r="230" spans="1:3" x14ac:dyDescent="0.25">
      <c r="A230"/>
      <c r="C230" s="7" t="str">
        <f>IF(AND(B230=0,Data!B226&lt;&gt;0),"",B230)</f>
        <v/>
      </c>
    </row>
    <row r="231" spans="1:3" x14ac:dyDescent="0.25">
      <c r="A231"/>
      <c r="C231" s="7" t="str">
        <f>IF(AND(B231=0,Data!B227&lt;&gt;0),"",B231)</f>
        <v/>
      </c>
    </row>
    <row r="232" spans="1:3" x14ac:dyDescent="0.25">
      <c r="A232"/>
      <c r="C232" s="7" t="str">
        <f>IF(AND(B232=0,Data!B228&lt;&gt;0),"",B232)</f>
        <v/>
      </c>
    </row>
    <row r="233" spans="1:3" x14ac:dyDescent="0.25">
      <c r="A233"/>
      <c r="C233" s="7" t="str">
        <f>IF(AND(B233=0,Data!B229&lt;&gt;0),"",B233)</f>
        <v/>
      </c>
    </row>
    <row r="234" spans="1:3" x14ac:dyDescent="0.25">
      <c r="A234"/>
      <c r="C234" s="7" t="str">
        <f>IF(AND(B234=0,Data!B230&lt;&gt;0),"",B234)</f>
        <v/>
      </c>
    </row>
    <row r="235" spans="1:3" x14ac:dyDescent="0.25">
      <c r="A235"/>
      <c r="C235" s="7" t="str">
        <f>IF(AND(B235=0,Data!B231&lt;&gt;0),"",B235)</f>
        <v/>
      </c>
    </row>
    <row r="236" spans="1:3" x14ac:dyDescent="0.25">
      <c r="A236"/>
      <c r="C236" s="7" t="str">
        <f>IF(AND(B236=0,Data!B232&lt;&gt;0),"",B236)</f>
        <v/>
      </c>
    </row>
    <row r="237" spans="1:3" x14ac:dyDescent="0.25">
      <c r="A237"/>
      <c r="C237" s="7" t="str">
        <f>IF(AND(B237=0,Data!B233&lt;&gt;0),"",B237)</f>
        <v/>
      </c>
    </row>
    <row r="238" spans="1:3" x14ac:dyDescent="0.25">
      <c r="A238"/>
      <c r="C238" s="7" t="str">
        <f>IF(AND(B238=0,Data!B234&lt;&gt;0),"",B238)</f>
        <v/>
      </c>
    </row>
    <row r="239" spans="1:3" x14ac:dyDescent="0.25">
      <c r="A239"/>
      <c r="C239" s="7" t="str">
        <f>IF(AND(B239=0,Data!B235&lt;&gt;0),"",B239)</f>
        <v/>
      </c>
    </row>
    <row r="240" spans="1:3" x14ac:dyDescent="0.25">
      <c r="A240"/>
      <c r="C240" s="7" t="str">
        <f>IF(AND(B240=0,Data!B236&lt;&gt;0),"",B240)</f>
        <v/>
      </c>
    </row>
    <row r="241" spans="1:3" x14ac:dyDescent="0.25">
      <c r="A241"/>
      <c r="C241" s="7" t="str">
        <f>IF(AND(B241=0,Data!B237&lt;&gt;0),"",B241)</f>
        <v/>
      </c>
    </row>
    <row r="242" spans="1:3" x14ac:dyDescent="0.25">
      <c r="A242"/>
      <c r="C242" s="7" t="str">
        <f>IF(AND(B242=0,Data!B238&lt;&gt;0),"",B242)</f>
        <v/>
      </c>
    </row>
    <row r="243" spans="1:3" x14ac:dyDescent="0.25">
      <c r="A243"/>
      <c r="C243" s="7" t="str">
        <f>IF(AND(B243=0,Data!B239&lt;&gt;0),"",B243)</f>
        <v/>
      </c>
    </row>
    <row r="244" spans="1:3" x14ac:dyDescent="0.25">
      <c r="A244"/>
      <c r="C244" s="7" t="str">
        <f>IF(AND(B244=0,Data!B240&lt;&gt;0),"",B244)</f>
        <v/>
      </c>
    </row>
    <row r="245" spans="1:3" x14ac:dyDescent="0.25">
      <c r="A245"/>
      <c r="C245" s="7" t="str">
        <f>IF(AND(B245=0,Data!B241&lt;&gt;0),"",B245)</f>
        <v/>
      </c>
    </row>
    <row r="246" spans="1:3" x14ac:dyDescent="0.25">
      <c r="A246"/>
      <c r="C246" s="7" t="str">
        <f>IF(AND(B246=0,Data!B242&lt;&gt;0),"",B246)</f>
        <v/>
      </c>
    </row>
    <row r="247" spans="1:3" x14ac:dyDescent="0.25">
      <c r="A247"/>
      <c r="C247" s="7" t="str">
        <f>IF(AND(B247=0,Data!B243&lt;&gt;0),"",B247)</f>
        <v/>
      </c>
    </row>
    <row r="248" spans="1:3" x14ac:dyDescent="0.25">
      <c r="A248"/>
      <c r="C248" s="7" t="str">
        <f>IF(AND(B248=0,Data!B244&lt;&gt;0),"",B248)</f>
        <v/>
      </c>
    </row>
    <row r="249" spans="1:3" x14ac:dyDescent="0.25">
      <c r="A249"/>
      <c r="C249" s="7" t="str">
        <f>IF(AND(B249=0,Data!B245&lt;&gt;0),"",B249)</f>
        <v/>
      </c>
    </row>
    <row r="250" spans="1:3" x14ac:dyDescent="0.25">
      <c r="A250"/>
      <c r="C250" s="7" t="str">
        <f>IF(AND(B250=0,Data!B246&lt;&gt;0),"",B250)</f>
        <v/>
      </c>
    </row>
    <row r="251" spans="1:3" x14ac:dyDescent="0.25">
      <c r="A251"/>
      <c r="C251" s="7" t="str">
        <f>IF(AND(B251=0,Data!B247&lt;&gt;0),"",B251)</f>
        <v/>
      </c>
    </row>
    <row r="252" spans="1:3" x14ac:dyDescent="0.25">
      <c r="A252"/>
      <c r="C252" s="7" t="str">
        <f>IF(AND(B252=0,Data!B248&lt;&gt;0),"",B252)</f>
        <v/>
      </c>
    </row>
    <row r="253" spans="1:3" x14ac:dyDescent="0.25">
      <c r="A253"/>
      <c r="C253" s="7" t="str">
        <f>IF(AND(B253=0,Data!B249&lt;&gt;0),"",B253)</f>
        <v/>
      </c>
    </row>
    <row r="254" spans="1:3" x14ac:dyDescent="0.25">
      <c r="A254"/>
      <c r="C254" s="7" t="str">
        <f>IF(AND(B254=0,Data!B250&lt;&gt;0),"",B254)</f>
        <v/>
      </c>
    </row>
    <row r="255" spans="1:3" x14ac:dyDescent="0.25">
      <c r="A255"/>
      <c r="C255" s="7" t="str">
        <f>IF(AND(B255=0,Data!B251&lt;&gt;0),"",B255)</f>
        <v/>
      </c>
    </row>
    <row r="256" spans="1:3" x14ac:dyDescent="0.25">
      <c r="A256"/>
      <c r="C256" s="7" t="str">
        <f>IF(AND(B256=0,Data!B252&lt;&gt;0),"",B256)</f>
        <v/>
      </c>
    </row>
    <row r="257" spans="1:3" x14ac:dyDescent="0.25">
      <c r="A257"/>
      <c r="C257" s="7" t="str">
        <f>IF(AND(B257=0,Data!B253&lt;&gt;0),"",B257)</f>
        <v/>
      </c>
    </row>
    <row r="258" spans="1:3" x14ac:dyDescent="0.25">
      <c r="A258"/>
      <c r="C258" s="7" t="str">
        <f>IF(AND(B258=0,Data!B254&lt;&gt;0),"",B258)</f>
        <v/>
      </c>
    </row>
    <row r="259" spans="1:3" x14ac:dyDescent="0.25">
      <c r="A259"/>
      <c r="C259" s="7" t="str">
        <f>IF(AND(B259=0,Data!B255&lt;&gt;0),"",B259)</f>
        <v/>
      </c>
    </row>
    <row r="260" spans="1:3" x14ac:dyDescent="0.25">
      <c r="A260"/>
      <c r="C260" s="7" t="str">
        <f>IF(AND(B260=0,Data!B256&lt;&gt;0),"",B260)</f>
        <v/>
      </c>
    </row>
    <row r="261" spans="1:3" x14ac:dyDescent="0.25">
      <c r="A261"/>
      <c r="C261" s="7" t="str">
        <f>IF(AND(B261=0,Data!B257&lt;&gt;0),"",B261)</f>
        <v/>
      </c>
    </row>
    <row r="262" spans="1:3" x14ac:dyDescent="0.25">
      <c r="A262"/>
      <c r="C262" s="7" t="str">
        <f>IF(AND(B262=0,Data!B258&lt;&gt;0),"",B262)</f>
        <v/>
      </c>
    </row>
    <row r="263" spans="1:3" x14ac:dyDescent="0.25">
      <c r="A263"/>
      <c r="C263" s="7" t="str">
        <f>IF(AND(B263=0,Data!B259&lt;&gt;0),"",B263)</f>
        <v/>
      </c>
    </row>
    <row r="264" spans="1:3" x14ac:dyDescent="0.25">
      <c r="A264"/>
      <c r="C264" s="7" t="str">
        <f>IF(AND(B264=0,Data!B260&lt;&gt;0),"",B264)</f>
        <v/>
      </c>
    </row>
    <row r="265" spans="1:3" x14ac:dyDescent="0.25">
      <c r="A265"/>
      <c r="C265" s="7" t="str">
        <f>IF(AND(B265=0,Data!B261&lt;&gt;0),"",B265)</f>
        <v/>
      </c>
    </row>
    <row r="266" spans="1:3" x14ac:dyDescent="0.25">
      <c r="A266"/>
      <c r="C266" s="7" t="str">
        <f>IF(AND(B266=0,Data!B262&lt;&gt;0),"",B266)</f>
        <v/>
      </c>
    </row>
    <row r="267" spans="1:3" x14ac:dyDescent="0.25">
      <c r="A267"/>
      <c r="C267" s="7" t="str">
        <f>IF(AND(B267=0,Data!B263&lt;&gt;0),"",B267)</f>
        <v/>
      </c>
    </row>
    <row r="268" spans="1:3" x14ac:dyDescent="0.25">
      <c r="A268"/>
      <c r="C268" s="7" t="str">
        <f>IF(AND(B268=0,Data!B264&lt;&gt;0),"",B268)</f>
        <v/>
      </c>
    </row>
    <row r="269" spans="1:3" x14ac:dyDescent="0.25">
      <c r="A269"/>
      <c r="C269" s="7" t="str">
        <f>IF(AND(B269=0,Data!B265&lt;&gt;0),"",B269)</f>
        <v/>
      </c>
    </row>
    <row r="270" spans="1:3" x14ac:dyDescent="0.25">
      <c r="A270"/>
      <c r="C270" s="7" t="str">
        <f>IF(AND(B270=0,Data!B266&lt;&gt;0),"",B270)</f>
        <v/>
      </c>
    </row>
    <row r="271" spans="1:3" x14ac:dyDescent="0.25">
      <c r="A271"/>
      <c r="C271" s="7" t="str">
        <f>IF(AND(B271=0,Data!B267&lt;&gt;0),"",B271)</f>
        <v/>
      </c>
    </row>
    <row r="272" spans="1:3" x14ac:dyDescent="0.25">
      <c r="A272"/>
      <c r="C272" s="7" t="str">
        <f>IF(AND(B272=0,Data!B268&lt;&gt;0),"",B272)</f>
        <v/>
      </c>
    </row>
    <row r="273" spans="1:3" x14ac:dyDescent="0.25">
      <c r="A273"/>
      <c r="C273" s="7" t="str">
        <f>IF(AND(B273=0,Data!B269&lt;&gt;0),"",B273)</f>
        <v/>
      </c>
    </row>
    <row r="274" spans="1:3" x14ac:dyDescent="0.25">
      <c r="A274"/>
      <c r="C274" s="7" t="str">
        <f>IF(AND(B274=0,Data!B270&lt;&gt;0),"",B274)</f>
        <v/>
      </c>
    </row>
    <row r="275" spans="1:3" x14ac:dyDescent="0.25">
      <c r="A275"/>
      <c r="C275" s="7" t="str">
        <f>IF(AND(B275=0,Data!B271&lt;&gt;0),"",B275)</f>
        <v/>
      </c>
    </row>
    <row r="276" spans="1:3" x14ac:dyDescent="0.25">
      <c r="A276"/>
      <c r="C276" s="7" t="str">
        <f>IF(AND(B276=0,Data!B272&lt;&gt;0),"",B276)</f>
        <v/>
      </c>
    </row>
    <row r="277" spans="1:3" x14ac:dyDescent="0.25">
      <c r="A277"/>
      <c r="C277" s="7" t="str">
        <f>IF(AND(B277=0,Data!B273&lt;&gt;0),"",B277)</f>
        <v/>
      </c>
    </row>
    <row r="278" spans="1:3" x14ac:dyDescent="0.25">
      <c r="A278"/>
      <c r="C278" s="7" t="str">
        <f>IF(AND(B278=0,Data!B274&lt;&gt;0),"",B278)</f>
        <v/>
      </c>
    </row>
    <row r="279" spans="1:3" x14ac:dyDescent="0.25">
      <c r="A279"/>
      <c r="C279" s="7" t="str">
        <f>IF(AND(B279=0,Data!B275&lt;&gt;0),"",B279)</f>
        <v/>
      </c>
    </row>
    <row r="280" spans="1:3" x14ac:dyDescent="0.25">
      <c r="A280"/>
      <c r="C280" s="7" t="str">
        <f>IF(AND(B280=0,Data!B276&lt;&gt;0),"",B280)</f>
        <v/>
      </c>
    </row>
    <row r="281" spans="1:3" x14ac:dyDescent="0.25">
      <c r="A281"/>
      <c r="C281" s="7" t="str">
        <f>IF(AND(B281=0,Data!B277&lt;&gt;0),"",B281)</f>
        <v/>
      </c>
    </row>
    <row r="282" spans="1:3" x14ac:dyDescent="0.25">
      <c r="A282"/>
      <c r="C282" s="7" t="str">
        <f>IF(AND(B282=0,Data!B278&lt;&gt;0),"",B282)</f>
        <v/>
      </c>
    </row>
    <row r="283" spans="1:3" x14ac:dyDescent="0.25">
      <c r="A283"/>
      <c r="C283" s="7" t="str">
        <f>IF(AND(B283=0,Data!B279&lt;&gt;0),"",B283)</f>
        <v/>
      </c>
    </row>
    <row r="284" spans="1:3" x14ac:dyDescent="0.25">
      <c r="A284"/>
      <c r="C284" s="7" t="str">
        <f>IF(AND(B284=0,Data!B280&lt;&gt;0),"",B284)</f>
        <v/>
      </c>
    </row>
    <row r="285" spans="1:3" x14ac:dyDescent="0.25">
      <c r="A285"/>
      <c r="C285" s="7" t="str">
        <f>IF(AND(B285=0,Data!B281&lt;&gt;0),"",B285)</f>
        <v/>
      </c>
    </row>
    <row r="286" spans="1:3" x14ac:dyDescent="0.25">
      <c r="A286"/>
      <c r="C286" s="7" t="str">
        <f>IF(AND(B286=0,Data!B282&lt;&gt;0),"",B286)</f>
        <v/>
      </c>
    </row>
    <row r="287" spans="1:3" x14ac:dyDescent="0.25">
      <c r="A287"/>
      <c r="C287" s="7" t="str">
        <f>IF(AND(B287=0,Data!B283&lt;&gt;0),"",B287)</f>
        <v/>
      </c>
    </row>
    <row r="288" spans="1:3" x14ac:dyDescent="0.25">
      <c r="A288"/>
      <c r="C288" s="7" t="str">
        <f>IF(AND(B288=0,Data!B284&lt;&gt;0),"",B288)</f>
        <v/>
      </c>
    </row>
    <row r="289" spans="1:3" x14ac:dyDescent="0.25">
      <c r="A289"/>
      <c r="C289" s="7" t="str">
        <f>IF(AND(B289=0,Data!B285&lt;&gt;0),"",B289)</f>
        <v/>
      </c>
    </row>
    <row r="290" spans="1:3" x14ac:dyDescent="0.25">
      <c r="A290"/>
      <c r="C290" s="7" t="str">
        <f>IF(AND(B290=0,Data!B286&lt;&gt;0),"",B290)</f>
        <v/>
      </c>
    </row>
    <row r="291" spans="1:3" x14ac:dyDescent="0.25">
      <c r="A291"/>
      <c r="C291" s="7" t="str">
        <f>IF(AND(B291=0,Data!B287&lt;&gt;0),"",B291)</f>
        <v/>
      </c>
    </row>
    <row r="292" spans="1:3" x14ac:dyDescent="0.25">
      <c r="A292"/>
      <c r="C292" s="7" t="str">
        <f>IF(AND(B292=0,Data!B288&lt;&gt;0),"",B292)</f>
        <v/>
      </c>
    </row>
    <row r="293" spans="1:3" x14ac:dyDescent="0.25">
      <c r="A293"/>
      <c r="C293" s="7" t="str">
        <f>IF(AND(B293=0,Data!B289&lt;&gt;0),"",B293)</f>
        <v/>
      </c>
    </row>
    <row r="294" spans="1:3" x14ac:dyDescent="0.25">
      <c r="A294"/>
      <c r="C294" s="7" t="str">
        <f>IF(AND(B294=0,Data!B290&lt;&gt;0),"",B294)</f>
        <v/>
      </c>
    </row>
    <row r="295" spans="1:3" x14ac:dyDescent="0.25">
      <c r="A295"/>
      <c r="C295" s="7" t="str">
        <f>IF(AND(B295=0,Data!B291&lt;&gt;0),"",B295)</f>
        <v/>
      </c>
    </row>
    <row r="296" spans="1:3" x14ac:dyDescent="0.25">
      <c r="A296"/>
      <c r="C296" s="7" t="str">
        <f>IF(AND(B296=0,Data!B292&lt;&gt;0),"",B296)</f>
        <v/>
      </c>
    </row>
    <row r="297" spans="1:3" x14ac:dyDescent="0.25">
      <c r="A297"/>
      <c r="C297" s="7" t="str">
        <f>IF(AND(B297=0,Data!B293&lt;&gt;0),"",B297)</f>
        <v/>
      </c>
    </row>
    <row r="298" spans="1:3" x14ac:dyDescent="0.25">
      <c r="A298"/>
      <c r="C298" s="7" t="str">
        <f>IF(AND(B298=0,Data!B294&lt;&gt;0),"",B298)</f>
        <v/>
      </c>
    </row>
    <row r="299" spans="1:3" x14ac:dyDescent="0.25">
      <c r="A299"/>
      <c r="C299" s="7" t="str">
        <f>IF(AND(B299=0,Data!B295&lt;&gt;0),"",B299)</f>
        <v/>
      </c>
    </row>
    <row r="300" spans="1:3" x14ac:dyDescent="0.25">
      <c r="A300"/>
      <c r="C300" s="7" t="str">
        <f>IF(AND(B300=0,Data!B296&lt;&gt;0),"",B300)</f>
        <v/>
      </c>
    </row>
    <row r="301" spans="1:3" x14ac:dyDescent="0.25">
      <c r="A301"/>
      <c r="C301" s="7" t="str">
        <f>IF(AND(B301=0,Data!B297&lt;&gt;0),"",B301)</f>
        <v/>
      </c>
    </row>
    <row r="302" spans="1:3" x14ac:dyDescent="0.25">
      <c r="A302"/>
      <c r="C302" s="7" t="str">
        <f>IF(AND(B302=0,Data!B298&lt;&gt;0),"",B302)</f>
        <v/>
      </c>
    </row>
    <row r="303" spans="1:3" x14ac:dyDescent="0.25">
      <c r="A303"/>
      <c r="C303" s="7" t="str">
        <f>IF(AND(B303=0,Data!B299&lt;&gt;0),"",B303)</f>
        <v/>
      </c>
    </row>
    <row r="304" spans="1:3" x14ac:dyDescent="0.25">
      <c r="A304"/>
      <c r="C304" s="7" t="str">
        <f>IF(AND(B304=0,Data!B300&lt;&gt;0),"",B304)</f>
        <v/>
      </c>
    </row>
    <row r="305" spans="1:3" x14ac:dyDescent="0.25">
      <c r="A305"/>
      <c r="C305" s="7" t="str">
        <f>IF(AND(B305=0,Data!B301&lt;&gt;0),"",B305)</f>
        <v/>
      </c>
    </row>
    <row r="306" spans="1:3" x14ac:dyDescent="0.25">
      <c r="A306"/>
      <c r="C306" s="7" t="str">
        <f>IF(AND(B306=0,Data!B302&lt;&gt;0),"",B306)</f>
        <v/>
      </c>
    </row>
    <row r="307" spans="1:3" x14ac:dyDescent="0.25">
      <c r="A307"/>
      <c r="C307" s="7" t="str">
        <f>IF(AND(B307=0,Data!B303&lt;&gt;0),"",B307)</f>
        <v/>
      </c>
    </row>
    <row r="308" spans="1:3" x14ac:dyDescent="0.25">
      <c r="A308"/>
      <c r="C308" s="7" t="str">
        <f>IF(AND(B308=0,Data!B304&lt;&gt;0),"",B308)</f>
        <v/>
      </c>
    </row>
    <row r="309" spans="1:3" x14ac:dyDescent="0.25">
      <c r="A309"/>
      <c r="C309" s="7" t="str">
        <f>IF(AND(B309=0,Data!B305&lt;&gt;0),"",B309)</f>
        <v/>
      </c>
    </row>
    <row r="310" spans="1:3" x14ac:dyDescent="0.25">
      <c r="A310"/>
      <c r="C310" s="7" t="str">
        <f>IF(AND(B310=0,Data!B306&lt;&gt;0),"",B310)</f>
        <v/>
      </c>
    </row>
    <row r="311" spans="1:3" x14ac:dyDescent="0.25">
      <c r="A311"/>
      <c r="C311" s="7" t="str">
        <f>IF(AND(B311=0,Data!B307&lt;&gt;0),"",B311)</f>
        <v/>
      </c>
    </row>
    <row r="312" spans="1:3" x14ac:dyDescent="0.25">
      <c r="A312"/>
      <c r="C312" s="7" t="str">
        <f>IF(AND(B312=0,Data!B308&lt;&gt;0),"",B312)</f>
        <v/>
      </c>
    </row>
    <row r="313" spans="1:3" x14ac:dyDescent="0.25">
      <c r="A313"/>
      <c r="C313" s="7" t="str">
        <f>IF(AND(B313=0,Data!B309&lt;&gt;0),"",B313)</f>
        <v/>
      </c>
    </row>
    <row r="314" spans="1:3" x14ac:dyDescent="0.25">
      <c r="A314"/>
      <c r="C314" s="7" t="str">
        <f>IF(AND(B314=0,Data!B310&lt;&gt;0),"",B314)</f>
        <v/>
      </c>
    </row>
    <row r="315" spans="1:3" x14ac:dyDescent="0.25">
      <c r="A315"/>
      <c r="C315" s="7" t="str">
        <f>IF(AND(B315=0,Data!B311&lt;&gt;0),"",B315)</f>
        <v/>
      </c>
    </row>
    <row r="316" spans="1:3" x14ac:dyDescent="0.25">
      <c r="A316"/>
      <c r="C316" s="7" t="str">
        <f>IF(AND(B316=0,Data!B312&lt;&gt;0),"",B316)</f>
        <v/>
      </c>
    </row>
    <row r="317" spans="1:3" x14ac:dyDescent="0.25">
      <c r="A317"/>
      <c r="C317" s="7" t="str">
        <f>IF(AND(B317=0,Data!B313&lt;&gt;0),"",B317)</f>
        <v/>
      </c>
    </row>
    <row r="318" spans="1:3" x14ac:dyDescent="0.25">
      <c r="A318"/>
      <c r="C318" s="7" t="str">
        <f>IF(AND(B318=0,Data!B314&lt;&gt;0),"",B318)</f>
        <v/>
      </c>
    </row>
    <row r="319" spans="1:3" x14ac:dyDescent="0.25">
      <c r="A319"/>
      <c r="C319" s="7" t="str">
        <f>IF(AND(B319=0,Data!B315&lt;&gt;0),"",B319)</f>
        <v/>
      </c>
    </row>
    <row r="320" spans="1:3" x14ac:dyDescent="0.25">
      <c r="A320"/>
      <c r="C320" s="7" t="str">
        <f>IF(AND(B320=0,Data!B316&lt;&gt;0),"",B320)</f>
        <v/>
      </c>
    </row>
    <row r="321" spans="1:3" x14ac:dyDescent="0.25">
      <c r="A321"/>
      <c r="C321" s="7" t="str">
        <f>IF(AND(B321=0,Data!B317&lt;&gt;0),"",B321)</f>
        <v/>
      </c>
    </row>
    <row r="322" spans="1:3" x14ac:dyDescent="0.25">
      <c r="A322"/>
      <c r="C322" s="7" t="str">
        <f>IF(AND(B322=0,Data!B318&lt;&gt;0),"",B322)</f>
        <v/>
      </c>
    </row>
    <row r="323" spans="1:3" x14ac:dyDescent="0.25">
      <c r="A323"/>
      <c r="C323" s="7" t="str">
        <f>IF(AND(B323=0,Data!B319&lt;&gt;0),"",B323)</f>
        <v/>
      </c>
    </row>
    <row r="324" spans="1:3" x14ac:dyDescent="0.25">
      <c r="A324"/>
      <c r="C324" s="7" t="str">
        <f>IF(AND(B324=0,Data!B320&lt;&gt;0),"",B324)</f>
        <v/>
      </c>
    </row>
    <row r="325" spans="1:3" x14ac:dyDescent="0.25">
      <c r="A325"/>
      <c r="C325" s="7" t="str">
        <f>IF(AND(B325=0,Data!B321&lt;&gt;0),"",B325)</f>
        <v/>
      </c>
    </row>
    <row r="326" spans="1:3" x14ac:dyDescent="0.25">
      <c r="A326"/>
      <c r="C326" s="7" t="str">
        <f>IF(AND(B326=0,Data!B322&lt;&gt;0),"",B326)</f>
        <v/>
      </c>
    </row>
    <row r="327" spans="1:3" x14ac:dyDescent="0.25">
      <c r="A327"/>
      <c r="C327" s="7" t="str">
        <f>IF(AND(B327=0,Data!B323&lt;&gt;0),"",B327)</f>
        <v/>
      </c>
    </row>
    <row r="328" spans="1:3" x14ac:dyDescent="0.25">
      <c r="A328"/>
      <c r="C328" s="7" t="str">
        <f>IF(AND(B328=0,Data!B324&lt;&gt;0),"",B328)</f>
        <v/>
      </c>
    </row>
    <row r="329" spans="1:3" x14ac:dyDescent="0.25">
      <c r="A329"/>
      <c r="C329" s="7" t="str">
        <f>IF(AND(B329=0,Data!B325&lt;&gt;0),"",B329)</f>
        <v/>
      </c>
    </row>
    <row r="330" spans="1:3" x14ac:dyDescent="0.25">
      <c r="A330"/>
      <c r="C330" s="7" t="str">
        <f>IF(AND(B330=0,Data!B326&lt;&gt;0),"",B330)</f>
        <v/>
      </c>
    </row>
    <row r="331" spans="1:3" x14ac:dyDescent="0.25">
      <c r="A331"/>
      <c r="C331" s="7" t="str">
        <f>IF(AND(B331=0,Data!B327&lt;&gt;0),"",B331)</f>
        <v/>
      </c>
    </row>
    <row r="332" spans="1:3" x14ac:dyDescent="0.25">
      <c r="A332"/>
      <c r="C332" s="7" t="str">
        <f>IF(AND(B332=0,Data!B328&lt;&gt;0),"",B332)</f>
        <v/>
      </c>
    </row>
    <row r="333" spans="1:3" x14ac:dyDescent="0.25">
      <c r="A333"/>
      <c r="C333" s="7" t="str">
        <f>IF(AND(B333=0,Data!B329&lt;&gt;0),"",B333)</f>
        <v/>
      </c>
    </row>
    <row r="334" spans="1:3" x14ac:dyDescent="0.25">
      <c r="A334"/>
      <c r="C334" s="7" t="str">
        <f>IF(AND(B334=0,Data!B330&lt;&gt;0),"",B334)</f>
        <v/>
      </c>
    </row>
    <row r="335" spans="1:3" x14ac:dyDescent="0.25">
      <c r="A335"/>
      <c r="C335" s="7" t="str">
        <f>IF(AND(B335=0,Data!B331&lt;&gt;0),"",B335)</f>
        <v/>
      </c>
    </row>
    <row r="336" spans="1:3" x14ac:dyDescent="0.25">
      <c r="A336"/>
      <c r="C336" s="7" t="str">
        <f>IF(AND(B336=0,Data!B332&lt;&gt;0),"",B336)</f>
        <v/>
      </c>
    </row>
    <row r="337" spans="1:3" x14ac:dyDescent="0.25">
      <c r="A337"/>
      <c r="C337" s="7" t="str">
        <f>IF(AND(B337=0,Data!B333&lt;&gt;0),"",B337)</f>
        <v/>
      </c>
    </row>
    <row r="338" spans="1:3" x14ac:dyDescent="0.25">
      <c r="A338"/>
      <c r="C338" s="7" t="str">
        <f>IF(AND(B338=0,Data!B334&lt;&gt;0),"",B338)</f>
        <v/>
      </c>
    </row>
    <row r="339" spans="1:3" x14ac:dyDescent="0.25">
      <c r="A339"/>
      <c r="C339" s="7" t="str">
        <f>IF(AND(B339=0,Data!B335&lt;&gt;0),"",B339)</f>
        <v/>
      </c>
    </row>
    <row r="340" spans="1:3" x14ac:dyDescent="0.25">
      <c r="A340"/>
      <c r="C340" s="7" t="str">
        <f>IF(AND(B340=0,Data!B336&lt;&gt;0),"",B340)</f>
        <v/>
      </c>
    </row>
    <row r="341" spans="1:3" x14ac:dyDescent="0.25">
      <c r="A341"/>
      <c r="C341" s="7" t="str">
        <f>IF(AND(B341=0,Data!B337&lt;&gt;0),"",B341)</f>
        <v/>
      </c>
    </row>
    <row r="342" spans="1:3" x14ac:dyDescent="0.25">
      <c r="A342"/>
      <c r="C342" s="7" t="str">
        <f>IF(AND(B342=0,Data!B338&lt;&gt;0),"",B342)</f>
        <v/>
      </c>
    </row>
    <row r="343" spans="1:3" x14ac:dyDescent="0.25">
      <c r="A343"/>
      <c r="C343" s="7" t="str">
        <f>IF(AND(B343=0,Data!B339&lt;&gt;0),"",B343)</f>
        <v/>
      </c>
    </row>
    <row r="344" spans="1:3" x14ac:dyDescent="0.25">
      <c r="A344"/>
      <c r="C344" s="7" t="str">
        <f>IF(AND(B344=0,Data!B340&lt;&gt;0),"",B344)</f>
        <v/>
      </c>
    </row>
    <row r="345" spans="1:3" x14ac:dyDescent="0.25">
      <c r="A345"/>
      <c r="C345" s="7" t="str">
        <f>IF(AND(B345=0,Data!B341&lt;&gt;0),"",B345)</f>
        <v/>
      </c>
    </row>
    <row r="346" spans="1:3" x14ac:dyDescent="0.25">
      <c r="A346"/>
      <c r="C346" s="7" t="str">
        <f>IF(AND(B346=0,Data!B342&lt;&gt;0),"",B346)</f>
        <v/>
      </c>
    </row>
    <row r="347" spans="1:3" x14ac:dyDescent="0.25">
      <c r="A347"/>
      <c r="C347" s="7" t="str">
        <f>IF(AND(B347=0,Data!B343&lt;&gt;0),"",B347)</f>
        <v/>
      </c>
    </row>
    <row r="348" spans="1:3" x14ac:dyDescent="0.25">
      <c r="A348"/>
      <c r="C348" s="7" t="str">
        <f>IF(AND(B348=0,Data!B344&lt;&gt;0),"",B348)</f>
        <v/>
      </c>
    </row>
    <row r="349" spans="1:3" x14ac:dyDescent="0.25">
      <c r="A349"/>
      <c r="C349" s="7" t="str">
        <f>IF(AND(B349=0,Data!B345&lt;&gt;0),"",B349)</f>
        <v/>
      </c>
    </row>
    <row r="350" spans="1:3" x14ac:dyDescent="0.25">
      <c r="A350"/>
      <c r="C350" s="7" t="str">
        <f>IF(AND(B350=0,Data!B346&lt;&gt;0),"",B350)</f>
        <v/>
      </c>
    </row>
    <row r="351" spans="1:3" x14ac:dyDescent="0.25">
      <c r="A351"/>
      <c r="C351" s="7" t="str">
        <f>IF(AND(B351=0,Data!B347&lt;&gt;0),"",B351)</f>
        <v/>
      </c>
    </row>
    <row r="352" spans="1:3" x14ac:dyDescent="0.25">
      <c r="A352"/>
      <c r="C352" s="7" t="str">
        <f>IF(AND(B352=0,Data!B348&lt;&gt;0),"",B352)</f>
        <v/>
      </c>
    </row>
    <row r="353" spans="1:3" x14ac:dyDescent="0.25">
      <c r="A353"/>
      <c r="C353" s="7" t="str">
        <f>IF(AND(B353=0,Data!B349&lt;&gt;0),"",B353)</f>
        <v/>
      </c>
    </row>
    <row r="354" spans="1:3" x14ac:dyDescent="0.25">
      <c r="A354"/>
      <c r="C354" s="7" t="str">
        <f>IF(AND(B354=0,Data!B350&lt;&gt;0),"",B354)</f>
        <v/>
      </c>
    </row>
    <row r="355" spans="1:3" x14ac:dyDescent="0.25">
      <c r="A355"/>
      <c r="C355" s="7" t="str">
        <f>IF(AND(B355=0,Data!B351&lt;&gt;0),"",B355)</f>
        <v/>
      </c>
    </row>
    <row r="356" spans="1:3" x14ac:dyDescent="0.25">
      <c r="A356"/>
      <c r="C356" s="7" t="str">
        <f>IF(AND(B356=0,Data!B352&lt;&gt;0),"",B356)</f>
        <v/>
      </c>
    </row>
    <row r="357" spans="1:3" x14ac:dyDescent="0.25">
      <c r="A357"/>
      <c r="C357" s="7" t="str">
        <f>IF(AND(B357=0,Data!B353&lt;&gt;0),"",B357)</f>
        <v/>
      </c>
    </row>
    <row r="358" spans="1:3" x14ac:dyDescent="0.25">
      <c r="A358"/>
      <c r="C358" s="7" t="str">
        <f>IF(AND(B358=0,Data!B354&lt;&gt;0),"",B358)</f>
        <v/>
      </c>
    </row>
    <row r="359" spans="1:3" x14ac:dyDescent="0.25">
      <c r="A359"/>
      <c r="C359" s="7" t="str">
        <f>IF(AND(B359=0,Data!B355&lt;&gt;0),"",B359)</f>
        <v/>
      </c>
    </row>
    <row r="360" spans="1:3" x14ac:dyDescent="0.25">
      <c r="A360"/>
      <c r="C360" s="7" t="str">
        <f>IF(AND(B360=0,Data!B356&lt;&gt;0),"",B360)</f>
        <v/>
      </c>
    </row>
    <row r="361" spans="1:3" x14ac:dyDescent="0.25">
      <c r="A361"/>
      <c r="C361" s="7" t="str">
        <f>IF(AND(B361=0,Data!B357&lt;&gt;0),"",B361)</f>
        <v/>
      </c>
    </row>
    <row r="362" spans="1:3" x14ac:dyDescent="0.25">
      <c r="A362"/>
      <c r="C362" s="7" t="str">
        <f>IF(AND(B362=0,Data!B358&lt;&gt;0),"",B362)</f>
        <v/>
      </c>
    </row>
    <row r="363" spans="1:3" x14ac:dyDescent="0.25">
      <c r="A363"/>
      <c r="C363" s="7" t="str">
        <f>IF(AND(B363=0,Data!B359&lt;&gt;0),"",B363)</f>
        <v/>
      </c>
    </row>
    <row r="364" spans="1:3" x14ac:dyDescent="0.25">
      <c r="A364"/>
      <c r="C364" s="7" t="str">
        <f>IF(AND(B364=0,Data!B360&lt;&gt;0),"",B364)</f>
        <v/>
      </c>
    </row>
    <row r="365" spans="1:3" x14ac:dyDescent="0.25">
      <c r="A365"/>
      <c r="C365" s="7" t="str">
        <f>IF(AND(B365=0,Data!B361&lt;&gt;0),"",B365)</f>
        <v/>
      </c>
    </row>
    <row r="366" spans="1:3" x14ac:dyDescent="0.25">
      <c r="A366"/>
      <c r="C366" s="7" t="str">
        <f>IF(AND(B366=0,Data!B362&lt;&gt;0),"",B366)</f>
        <v/>
      </c>
    </row>
    <row r="367" spans="1:3" x14ac:dyDescent="0.25">
      <c r="A367"/>
      <c r="C367" s="7" t="str">
        <f>IF(AND(B367=0,Data!B363&lt;&gt;0),"",B367)</f>
        <v/>
      </c>
    </row>
    <row r="368" spans="1:3" x14ac:dyDescent="0.25">
      <c r="A368"/>
      <c r="C368" s="7" t="str">
        <f>IF(AND(B368=0,Data!B364&lt;&gt;0),"",B368)</f>
        <v/>
      </c>
    </row>
    <row r="369" spans="1:3" x14ac:dyDescent="0.25">
      <c r="A369"/>
      <c r="C369" s="7" t="str">
        <f>IF(AND(B369=0,Data!B365&lt;&gt;0),"",B369)</f>
        <v/>
      </c>
    </row>
    <row r="370" spans="1:3" x14ac:dyDescent="0.25">
      <c r="A370"/>
      <c r="C370" s="7" t="str">
        <f>IF(AND(B370=0,Data!B366&lt;&gt;0),"",B370)</f>
        <v/>
      </c>
    </row>
    <row r="371" spans="1:3" x14ac:dyDescent="0.25">
      <c r="A371"/>
      <c r="C371" s="7" t="str">
        <f>IF(AND(B371=0,Data!B367&lt;&gt;0),"",B371)</f>
        <v/>
      </c>
    </row>
    <row r="372" spans="1:3" x14ac:dyDescent="0.25">
      <c r="A372"/>
      <c r="C372" s="7" t="str">
        <f>IF(AND(B372=0,Data!B368&lt;&gt;0),"",B372)</f>
        <v/>
      </c>
    </row>
    <row r="373" spans="1:3" x14ac:dyDescent="0.25">
      <c r="A373"/>
      <c r="C373" s="7" t="str">
        <f>IF(AND(B373=0,Data!B369&lt;&gt;0),"",B373)</f>
        <v/>
      </c>
    </row>
    <row r="374" spans="1:3" x14ac:dyDescent="0.25">
      <c r="A374"/>
      <c r="C374" s="7" t="str">
        <f>IF(AND(B374=0,Data!B370&lt;&gt;0),"",B374)</f>
        <v/>
      </c>
    </row>
    <row r="375" spans="1:3" x14ac:dyDescent="0.25">
      <c r="A375"/>
      <c r="C375" s="7" t="str">
        <f>IF(AND(B375=0,Data!B371&lt;&gt;0),"",B375)</f>
        <v/>
      </c>
    </row>
    <row r="376" spans="1:3" x14ac:dyDescent="0.25">
      <c r="A376"/>
      <c r="C376" s="7" t="str">
        <f>IF(AND(B376=0,Data!B372&lt;&gt;0),"",B376)</f>
        <v/>
      </c>
    </row>
    <row r="377" spans="1:3" x14ac:dyDescent="0.25">
      <c r="A377"/>
      <c r="C377" s="7" t="str">
        <f>IF(AND(B377=0,Data!B373&lt;&gt;0),"",B377)</f>
        <v/>
      </c>
    </row>
    <row r="378" spans="1:3" x14ac:dyDescent="0.25">
      <c r="A378"/>
      <c r="C378" s="7" t="str">
        <f>IF(AND(B378=0,Data!B374&lt;&gt;0),"",B378)</f>
        <v/>
      </c>
    </row>
    <row r="379" spans="1:3" x14ac:dyDescent="0.25">
      <c r="A379"/>
      <c r="C379" s="7" t="str">
        <f>IF(AND(B379=0,Data!B375&lt;&gt;0),"",B379)</f>
        <v/>
      </c>
    </row>
    <row r="380" spans="1:3" x14ac:dyDescent="0.25">
      <c r="A380"/>
      <c r="C380" s="7" t="str">
        <f>IF(AND(B380=0,Data!B376&lt;&gt;0),"",B380)</f>
        <v/>
      </c>
    </row>
    <row r="381" spans="1:3" x14ac:dyDescent="0.25">
      <c r="A381"/>
      <c r="C381" s="7" t="str">
        <f>IF(AND(B381=0,Data!B377&lt;&gt;0),"",B381)</f>
        <v/>
      </c>
    </row>
    <row r="382" spans="1:3" x14ac:dyDescent="0.25">
      <c r="A382"/>
      <c r="C382" s="7" t="str">
        <f>IF(AND(B382=0,Data!B378&lt;&gt;0),"",B382)</f>
        <v/>
      </c>
    </row>
    <row r="383" spans="1:3" x14ac:dyDescent="0.25">
      <c r="A383"/>
      <c r="C383" s="7" t="str">
        <f>IF(AND(B383=0,Data!B379&lt;&gt;0),"",B383)</f>
        <v/>
      </c>
    </row>
    <row r="384" spans="1:3" x14ac:dyDescent="0.25">
      <c r="A384"/>
      <c r="C384" s="7" t="str">
        <f>IF(AND(B384=0,Data!B380&lt;&gt;0),"",B384)</f>
        <v/>
      </c>
    </row>
    <row r="385" spans="1:3" x14ac:dyDescent="0.25">
      <c r="A385"/>
      <c r="C385" s="7" t="str">
        <f>IF(AND(B385=0,Data!B381&lt;&gt;0),"",B385)</f>
        <v/>
      </c>
    </row>
    <row r="386" spans="1:3" x14ac:dyDescent="0.25">
      <c r="A386"/>
      <c r="C386" s="7" t="str">
        <f>IF(AND(B386=0,Data!B382&lt;&gt;0),"",B386)</f>
        <v/>
      </c>
    </row>
    <row r="387" spans="1:3" x14ac:dyDescent="0.25">
      <c r="A387"/>
      <c r="C387" s="7" t="str">
        <f>IF(AND(B387=0,Data!B383&lt;&gt;0),"",B387)</f>
        <v/>
      </c>
    </row>
    <row r="388" spans="1:3" x14ac:dyDescent="0.25">
      <c r="A388"/>
      <c r="C388" s="7" t="str">
        <f>IF(AND(B388=0,Data!B384&lt;&gt;0),"",B388)</f>
        <v/>
      </c>
    </row>
    <row r="389" spans="1:3" x14ac:dyDescent="0.25">
      <c r="A389"/>
      <c r="C389" s="7" t="str">
        <f>IF(AND(B389=0,Data!B385&lt;&gt;0),"",B389)</f>
        <v/>
      </c>
    </row>
    <row r="390" spans="1:3" x14ac:dyDescent="0.25">
      <c r="A390"/>
      <c r="C390" s="7" t="str">
        <f>IF(AND(B390=0,Data!B386&lt;&gt;0),"",B390)</f>
        <v/>
      </c>
    </row>
    <row r="391" spans="1:3" x14ac:dyDescent="0.25">
      <c r="A391"/>
      <c r="C391" s="7" t="str">
        <f>IF(AND(B391=0,Data!B387&lt;&gt;0),"",B391)</f>
        <v/>
      </c>
    </row>
    <row r="392" spans="1:3" x14ac:dyDescent="0.25">
      <c r="A392"/>
      <c r="C392" s="7" t="str">
        <f>IF(AND(B392=0,Data!B388&lt;&gt;0),"",B392)</f>
        <v/>
      </c>
    </row>
    <row r="393" spans="1:3" x14ac:dyDescent="0.25">
      <c r="A393"/>
      <c r="C393" s="7" t="str">
        <f>IF(AND(B393=0,Data!B389&lt;&gt;0),"",B393)</f>
        <v/>
      </c>
    </row>
    <row r="394" spans="1:3" x14ac:dyDescent="0.25">
      <c r="A394"/>
      <c r="C394" s="7" t="str">
        <f>IF(AND(B394=0,Data!B390&lt;&gt;0),"",B394)</f>
        <v/>
      </c>
    </row>
    <row r="395" spans="1:3" x14ac:dyDescent="0.25">
      <c r="A395"/>
      <c r="C395" s="7" t="str">
        <f>IF(AND(B395=0,Data!B391&lt;&gt;0),"",B395)</f>
        <v/>
      </c>
    </row>
    <row r="396" spans="1:3" x14ac:dyDescent="0.25">
      <c r="A396"/>
      <c r="C396" s="7" t="str">
        <f>IF(AND(B396=0,Data!B392&lt;&gt;0),"",B396)</f>
        <v/>
      </c>
    </row>
    <row r="397" spans="1:3" x14ac:dyDescent="0.25">
      <c r="A397"/>
      <c r="C397" s="7" t="str">
        <f>IF(AND(B397=0,Data!B393&lt;&gt;0),"",B397)</f>
        <v/>
      </c>
    </row>
    <row r="398" spans="1:3" x14ac:dyDescent="0.25">
      <c r="A398"/>
      <c r="C398" s="7" t="str">
        <f>IF(AND(B398=0,Data!B394&lt;&gt;0),"",B398)</f>
        <v/>
      </c>
    </row>
    <row r="399" spans="1:3" x14ac:dyDescent="0.25">
      <c r="A399"/>
      <c r="C399" s="7" t="str">
        <f>IF(AND(B399=0,Data!B395&lt;&gt;0),"",B399)</f>
        <v/>
      </c>
    </row>
    <row r="400" spans="1:3" x14ac:dyDescent="0.25">
      <c r="A400"/>
      <c r="C400" s="7" t="str">
        <f>IF(AND(B400=0,Data!B396&lt;&gt;0),"",B400)</f>
        <v/>
      </c>
    </row>
    <row r="401" spans="1:3" x14ac:dyDescent="0.25">
      <c r="A401"/>
      <c r="C401" s="7" t="str">
        <f>IF(AND(B401=0,Data!B397&lt;&gt;0),"",B401)</f>
        <v/>
      </c>
    </row>
    <row r="402" spans="1:3" x14ac:dyDescent="0.25">
      <c r="A402"/>
      <c r="C402" s="7" t="str">
        <f>IF(AND(B402=0,Data!B398&lt;&gt;0),"",B402)</f>
        <v/>
      </c>
    </row>
    <row r="403" spans="1:3" x14ac:dyDescent="0.25">
      <c r="A403"/>
      <c r="C403" s="7" t="str">
        <f>IF(AND(B403=0,Data!B399&lt;&gt;0),"",B403)</f>
        <v/>
      </c>
    </row>
    <row r="404" spans="1:3" x14ac:dyDescent="0.25">
      <c r="A404"/>
      <c r="C404" s="7" t="str">
        <f>IF(AND(B404=0,Data!B400&lt;&gt;0),"",B404)</f>
        <v/>
      </c>
    </row>
    <row r="405" spans="1:3" x14ac:dyDescent="0.25">
      <c r="A405"/>
      <c r="C405" s="7" t="str">
        <f>IF(AND(B405=0,Data!B401&lt;&gt;0),"",B405)</f>
        <v/>
      </c>
    </row>
    <row r="406" spans="1:3" x14ac:dyDescent="0.25">
      <c r="A406"/>
      <c r="C406" s="7" t="str">
        <f>IF(AND(B406=0,Data!B402&lt;&gt;0),"",B406)</f>
        <v/>
      </c>
    </row>
    <row r="407" spans="1:3" x14ac:dyDescent="0.25">
      <c r="A407"/>
      <c r="C407" s="7" t="str">
        <f>IF(AND(B407=0,Data!B403&lt;&gt;0),"",B407)</f>
        <v/>
      </c>
    </row>
    <row r="408" spans="1:3" x14ac:dyDescent="0.25">
      <c r="A408"/>
      <c r="C408" s="7" t="str">
        <f>IF(AND(B408=0,Data!B404&lt;&gt;0),"",B408)</f>
        <v/>
      </c>
    </row>
    <row r="409" spans="1:3" x14ac:dyDescent="0.25">
      <c r="A409"/>
      <c r="C409" s="7" t="str">
        <f>IF(AND(B409=0,Data!B405&lt;&gt;0),"",B409)</f>
        <v/>
      </c>
    </row>
    <row r="410" spans="1:3" x14ac:dyDescent="0.25">
      <c r="A410"/>
      <c r="C410" s="7" t="str">
        <f>IF(AND(B410=0,Data!B406&lt;&gt;0),"",B410)</f>
        <v/>
      </c>
    </row>
    <row r="411" spans="1:3" x14ac:dyDescent="0.25">
      <c r="A411"/>
      <c r="C411" s="7" t="str">
        <f>IF(AND(B411=0,Data!B407&lt;&gt;0),"",B411)</f>
        <v/>
      </c>
    </row>
    <row r="412" spans="1:3" x14ac:dyDescent="0.25">
      <c r="A412"/>
      <c r="C412" s="7" t="str">
        <f>IF(AND(B412=0,Data!B408&lt;&gt;0),"",B412)</f>
        <v/>
      </c>
    </row>
    <row r="413" spans="1:3" x14ac:dyDescent="0.25">
      <c r="A413"/>
      <c r="C413" s="7" t="str">
        <f>IF(AND(B413=0,Data!B409&lt;&gt;0),"",B413)</f>
        <v/>
      </c>
    </row>
    <row r="414" spans="1:3" x14ac:dyDescent="0.25">
      <c r="A414"/>
      <c r="C414" s="7" t="str">
        <f>IF(AND(B414=0,Data!B410&lt;&gt;0),"",B414)</f>
        <v/>
      </c>
    </row>
    <row r="415" spans="1:3" x14ac:dyDescent="0.25">
      <c r="A415"/>
      <c r="C415" s="7" t="str">
        <f>IF(AND(B415=0,Data!B411&lt;&gt;0),"",B415)</f>
        <v/>
      </c>
    </row>
    <row r="416" spans="1:3" x14ac:dyDescent="0.25">
      <c r="A416"/>
      <c r="C416" s="7" t="str">
        <f>IF(AND(B416=0,Data!B412&lt;&gt;0),"",B416)</f>
        <v/>
      </c>
    </row>
    <row r="417" spans="1:3" x14ac:dyDescent="0.25">
      <c r="A417"/>
      <c r="C417" s="7" t="str">
        <f>IF(AND(B417=0,Data!B413&lt;&gt;0),"",B417)</f>
        <v/>
      </c>
    </row>
    <row r="418" spans="1:3" x14ac:dyDescent="0.25">
      <c r="A418"/>
      <c r="C418" s="7" t="str">
        <f>IF(AND(B418=0,Data!B414&lt;&gt;0),"",B418)</f>
        <v/>
      </c>
    </row>
    <row r="419" spans="1:3" x14ac:dyDescent="0.25">
      <c r="A419"/>
      <c r="C419" s="7" t="str">
        <f>IF(AND(B419=0,Data!B415&lt;&gt;0),"",B419)</f>
        <v/>
      </c>
    </row>
    <row r="420" spans="1:3" x14ac:dyDescent="0.25">
      <c r="A420"/>
      <c r="C420" s="7" t="str">
        <f>IF(AND(B420=0,Data!B416&lt;&gt;0),"",B420)</f>
        <v/>
      </c>
    </row>
    <row r="421" spans="1:3" x14ac:dyDescent="0.25">
      <c r="A421"/>
      <c r="C421" s="7" t="str">
        <f>IF(AND(B421=0,Data!B417&lt;&gt;0),"",B421)</f>
        <v/>
      </c>
    </row>
    <row r="422" spans="1:3" x14ac:dyDescent="0.25">
      <c r="A422"/>
      <c r="C422" s="7" t="str">
        <f>IF(AND(B422=0,Data!B418&lt;&gt;0),"",B422)</f>
        <v/>
      </c>
    </row>
    <row r="423" spans="1:3" x14ac:dyDescent="0.25">
      <c r="A423"/>
      <c r="C423" s="7" t="str">
        <f>IF(AND(B423=0,Data!B419&lt;&gt;0),"",B423)</f>
        <v/>
      </c>
    </row>
    <row r="424" spans="1:3" x14ac:dyDescent="0.25">
      <c r="A424"/>
      <c r="C424" s="7" t="str">
        <f>IF(AND(B424=0,Data!B420&lt;&gt;0),"",B424)</f>
        <v/>
      </c>
    </row>
    <row r="425" spans="1:3" x14ac:dyDescent="0.25">
      <c r="A425"/>
      <c r="C425" s="7" t="str">
        <f>IF(AND(B425=0,Data!B421&lt;&gt;0),"",B425)</f>
        <v/>
      </c>
    </row>
    <row r="426" spans="1:3" x14ac:dyDescent="0.25">
      <c r="A426"/>
      <c r="C426" s="7" t="str">
        <f>IF(AND(B426=0,Data!B422&lt;&gt;0),"",B426)</f>
        <v/>
      </c>
    </row>
    <row r="427" spans="1:3" x14ac:dyDescent="0.25">
      <c r="A427"/>
      <c r="C427" s="7" t="str">
        <f>IF(AND(B427=0,Data!B423&lt;&gt;0),"",B427)</f>
        <v/>
      </c>
    </row>
    <row r="428" spans="1:3" x14ac:dyDescent="0.25">
      <c r="A428"/>
      <c r="C428" s="7" t="str">
        <f>IF(AND(B428=0,Data!B424&lt;&gt;0),"",B428)</f>
        <v/>
      </c>
    </row>
    <row r="429" spans="1:3" x14ac:dyDescent="0.25">
      <c r="A429"/>
      <c r="C429" s="7" t="str">
        <f>IF(AND(B429=0,Data!B425&lt;&gt;0),"",B429)</f>
        <v/>
      </c>
    </row>
    <row r="430" spans="1:3" x14ac:dyDescent="0.25">
      <c r="A430"/>
      <c r="C430" s="7" t="str">
        <f>IF(AND(B430=0,Data!B426&lt;&gt;0),"",B430)</f>
        <v/>
      </c>
    </row>
    <row r="431" spans="1:3" x14ac:dyDescent="0.25">
      <c r="A431"/>
      <c r="C431" s="7" t="str">
        <f>IF(AND(B431=0,Data!B427&lt;&gt;0),"",B431)</f>
        <v/>
      </c>
    </row>
    <row r="432" spans="1:3" x14ac:dyDescent="0.25">
      <c r="A432"/>
      <c r="C432" s="7" t="str">
        <f>IF(AND(B432=0,Data!B428&lt;&gt;0),"",B432)</f>
        <v/>
      </c>
    </row>
    <row r="433" spans="1:3" x14ac:dyDescent="0.25">
      <c r="A433"/>
      <c r="C433" s="7" t="str">
        <f>IF(AND(B433=0,Data!B429&lt;&gt;0),"",B433)</f>
        <v/>
      </c>
    </row>
    <row r="434" spans="1:3" x14ac:dyDescent="0.25">
      <c r="A434"/>
      <c r="C434" s="7" t="str">
        <f>IF(AND(B434=0,Data!B430&lt;&gt;0),"",B434)</f>
        <v/>
      </c>
    </row>
    <row r="435" spans="1:3" x14ac:dyDescent="0.25">
      <c r="A435"/>
      <c r="C435" s="7" t="str">
        <f>IF(AND(B435=0,Data!B431&lt;&gt;0),"",B435)</f>
        <v/>
      </c>
    </row>
    <row r="436" spans="1:3" x14ac:dyDescent="0.25">
      <c r="A436"/>
      <c r="C436" s="7" t="str">
        <f>IF(AND(B436=0,Data!B432&lt;&gt;0),"",B436)</f>
        <v/>
      </c>
    </row>
    <row r="437" spans="1:3" x14ac:dyDescent="0.25">
      <c r="A437"/>
      <c r="C437" s="7" t="str">
        <f>IF(AND(B437=0,Data!B433&lt;&gt;0),"",B437)</f>
        <v/>
      </c>
    </row>
    <row r="438" spans="1:3" x14ac:dyDescent="0.25">
      <c r="A438"/>
      <c r="C438" s="7" t="str">
        <f>IF(AND(B438=0,Data!B434&lt;&gt;0),"",B438)</f>
        <v/>
      </c>
    </row>
    <row r="439" spans="1:3" x14ac:dyDescent="0.25">
      <c r="A439"/>
      <c r="C439" s="7" t="str">
        <f>IF(AND(B439=0,Data!B435&lt;&gt;0),"",B439)</f>
        <v/>
      </c>
    </row>
    <row r="440" spans="1:3" x14ac:dyDescent="0.25">
      <c r="A440"/>
      <c r="C440" s="7" t="str">
        <f>IF(AND(B440=0,Data!B436&lt;&gt;0),"",B440)</f>
        <v/>
      </c>
    </row>
    <row r="441" spans="1:3" x14ac:dyDescent="0.25">
      <c r="A441"/>
      <c r="C441" s="7" t="str">
        <f>IF(AND(B441=0,Data!B437&lt;&gt;0),"",B441)</f>
        <v/>
      </c>
    </row>
    <row r="442" spans="1:3" x14ac:dyDescent="0.25">
      <c r="A442"/>
      <c r="C442" s="7" t="str">
        <f>IF(AND(B442=0,Data!B438&lt;&gt;0),"",B442)</f>
        <v/>
      </c>
    </row>
    <row r="443" spans="1:3" x14ac:dyDescent="0.25">
      <c r="A443"/>
      <c r="C443" s="7" t="str">
        <f>IF(AND(B443=0,Data!B439&lt;&gt;0),"",B443)</f>
        <v/>
      </c>
    </row>
    <row r="444" spans="1:3" x14ac:dyDescent="0.25">
      <c r="A444"/>
      <c r="C444" s="7" t="str">
        <f>IF(AND(B444=0,Data!B440&lt;&gt;0),"",B444)</f>
        <v/>
      </c>
    </row>
    <row r="445" spans="1:3" x14ac:dyDescent="0.25">
      <c r="A445"/>
      <c r="C445" s="7" t="str">
        <f>IF(AND(B445=0,Data!B441&lt;&gt;0),"",B445)</f>
        <v/>
      </c>
    </row>
    <row r="446" spans="1:3" x14ac:dyDescent="0.25">
      <c r="A446"/>
      <c r="C446" s="7" t="str">
        <f>IF(AND(B446=0,Data!B442&lt;&gt;0),"",B446)</f>
        <v/>
      </c>
    </row>
    <row r="447" spans="1:3" x14ac:dyDescent="0.25">
      <c r="A447"/>
      <c r="C447" s="7" t="str">
        <f>IF(AND(B447=0,Data!B443&lt;&gt;0),"",B447)</f>
        <v/>
      </c>
    </row>
    <row r="448" spans="1:3" x14ac:dyDescent="0.25">
      <c r="A448"/>
      <c r="C448" s="7" t="str">
        <f>IF(AND(B448=0,Data!B444&lt;&gt;0),"",B448)</f>
        <v/>
      </c>
    </row>
    <row r="449" spans="1:3" x14ac:dyDescent="0.25">
      <c r="A449"/>
      <c r="C449" s="7" t="str">
        <f>IF(AND(B449=0,Data!B445&lt;&gt;0),"",B449)</f>
        <v/>
      </c>
    </row>
    <row r="450" spans="1:3" x14ac:dyDescent="0.25">
      <c r="A450"/>
      <c r="C450" s="7" t="str">
        <f>IF(AND(B450=0,Data!B446&lt;&gt;0),"",B450)</f>
        <v/>
      </c>
    </row>
    <row r="451" spans="1:3" x14ac:dyDescent="0.25">
      <c r="A451"/>
      <c r="C451" s="7" t="str">
        <f>IF(AND(B451=0,Data!B447&lt;&gt;0),"",B451)</f>
        <v/>
      </c>
    </row>
    <row r="452" spans="1:3" x14ac:dyDescent="0.25">
      <c r="A452"/>
      <c r="C452" s="7" t="str">
        <f>IF(AND(B452=0,Data!B448&lt;&gt;0),"",B452)</f>
        <v/>
      </c>
    </row>
    <row r="453" spans="1:3" x14ac:dyDescent="0.25">
      <c r="A453"/>
      <c r="C453" s="7" t="str">
        <f>IF(AND(B453=0,Data!B449&lt;&gt;0),"",B453)</f>
        <v/>
      </c>
    </row>
    <row r="454" spans="1:3" x14ac:dyDescent="0.25">
      <c r="A454"/>
      <c r="C454" s="7" t="str">
        <f>IF(AND(B454=0,Data!B450&lt;&gt;0),"",B454)</f>
        <v/>
      </c>
    </row>
    <row r="455" spans="1:3" x14ac:dyDescent="0.25">
      <c r="A455"/>
      <c r="C455" s="7" t="str">
        <f>IF(AND(B455=0,Data!B451&lt;&gt;0),"",B455)</f>
        <v/>
      </c>
    </row>
    <row r="456" spans="1:3" x14ac:dyDescent="0.25">
      <c r="A456"/>
      <c r="C456" s="7" t="str">
        <f>IF(AND(B456=0,Data!B452&lt;&gt;0),"",B456)</f>
        <v/>
      </c>
    </row>
    <row r="457" spans="1:3" x14ac:dyDescent="0.25">
      <c r="A457"/>
      <c r="C457" s="7" t="str">
        <f>IF(AND(B457=0,Data!B453&lt;&gt;0),"",B457)</f>
        <v/>
      </c>
    </row>
    <row r="458" spans="1:3" x14ac:dyDescent="0.25">
      <c r="A458"/>
      <c r="C458" s="7" t="str">
        <f>IF(AND(B458=0,Data!B454&lt;&gt;0),"",B458)</f>
        <v/>
      </c>
    </row>
    <row r="459" spans="1:3" x14ac:dyDescent="0.25">
      <c r="A459"/>
      <c r="C459" s="7" t="str">
        <f>IF(AND(B459=0,Data!B455&lt;&gt;0),"",B459)</f>
        <v/>
      </c>
    </row>
    <row r="460" spans="1:3" x14ac:dyDescent="0.25">
      <c r="A460"/>
      <c r="C460" s="7" t="str">
        <f>IF(AND(B460=0,Data!B456&lt;&gt;0),"",B460)</f>
        <v/>
      </c>
    </row>
    <row r="461" spans="1:3" x14ac:dyDescent="0.25">
      <c r="A461"/>
      <c r="C461" s="7" t="str">
        <f>IF(AND(B461=0,Data!B457&lt;&gt;0),"",B461)</f>
        <v/>
      </c>
    </row>
    <row r="462" spans="1:3" x14ac:dyDescent="0.25">
      <c r="A462"/>
      <c r="C462" s="7" t="str">
        <f>IF(AND(B462=0,Data!B458&lt;&gt;0),"",B462)</f>
        <v/>
      </c>
    </row>
    <row r="463" spans="1:3" x14ac:dyDescent="0.25">
      <c r="A463"/>
      <c r="C463" s="7" t="str">
        <f>IF(AND(B463=0,Data!B459&lt;&gt;0),"",B463)</f>
        <v/>
      </c>
    </row>
    <row r="464" spans="1:3" x14ac:dyDescent="0.25">
      <c r="A464"/>
      <c r="C464" s="7" t="str">
        <f>IF(AND(B464=0,Data!B460&lt;&gt;0),"",B464)</f>
        <v/>
      </c>
    </row>
    <row r="465" spans="1:3" x14ac:dyDescent="0.25">
      <c r="A465"/>
      <c r="C465" s="7" t="str">
        <f>IF(AND(B465=0,Data!B461&lt;&gt;0),"",B465)</f>
        <v/>
      </c>
    </row>
    <row r="466" spans="1:3" x14ac:dyDescent="0.25">
      <c r="A466"/>
      <c r="C466" s="7" t="str">
        <f>IF(AND(B466=0,Data!B462&lt;&gt;0),"",B466)</f>
        <v/>
      </c>
    </row>
    <row r="467" spans="1:3" x14ac:dyDescent="0.25">
      <c r="A467"/>
      <c r="C467" s="7" t="str">
        <f>IF(AND(B467=0,Data!B463&lt;&gt;0),"",B467)</f>
        <v/>
      </c>
    </row>
    <row r="468" spans="1:3" x14ac:dyDescent="0.25">
      <c r="A468"/>
      <c r="C468" s="7" t="str">
        <f>IF(AND(B468=0,Data!B464&lt;&gt;0),"",B468)</f>
        <v/>
      </c>
    </row>
    <row r="469" spans="1:3" x14ac:dyDescent="0.25">
      <c r="A469"/>
      <c r="C469" s="7" t="str">
        <f>IF(AND(B469=0,Data!B465&lt;&gt;0),"",B469)</f>
        <v/>
      </c>
    </row>
    <row r="470" spans="1:3" x14ac:dyDescent="0.25">
      <c r="A470"/>
      <c r="C470" s="7" t="str">
        <f>IF(AND(B470=0,Data!B466&lt;&gt;0),"",B470)</f>
        <v/>
      </c>
    </row>
    <row r="471" spans="1:3" x14ac:dyDescent="0.25">
      <c r="A471"/>
      <c r="C471" s="7" t="str">
        <f>IF(AND(B471=0,Data!B467&lt;&gt;0),"",B471)</f>
        <v/>
      </c>
    </row>
    <row r="472" spans="1:3" x14ac:dyDescent="0.25">
      <c r="A472"/>
      <c r="C472" s="7" t="str">
        <f>IF(AND(B472=0,Data!B468&lt;&gt;0),"",B472)</f>
        <v/>
      </c>
    </row>
    <row r="473" spans="1:3" x14ac:dyDescent="0.25">
      <c r="A473"/>
      <c r="C473" s="7" t="str">
        <f>IF(AND(B473=0,Data!B469&lt;&gt;0),"",B473)</f>
        <v/>
      </c>
    </row>
    <row r="474" spans="1:3" x14ac:dyDescent="0.25">
      <c r="A474"/>
      <c r="C474" s="7" t="str">
        <f>IF(AND(B474=0,Data!B470&lt;&gt;0),"",B474)</f>
        <v/>
      </c>
    </row>
    <row r="475" spans="1:3" x14ac:dyDescent="0.25">
      <c r="A475"/>
      <c r="C475" s="7" t="str">
        <f>IF(AND(B475=0,Data!B471&lt;&gt;0),"",B475)</f>
        <v/>
      </c>
    </row>
    <row r="476" spans="1:3" x14ac:dyDescent="0.25">
      <c r="A476"/>
      <c r="C476" s="7" t="str">
        <f>IF(AND(B476=0,Data!B472&lt;&gt;0),"",B476)</f>
        <v/>
      </c>
    </row>
    <row r="477" spans="1:3" x14ac:dyDescent="0.25">
      <c r="A477"/>
      <c r="C477" s="7" t="str">
        <f>IF(AND(B477=0,Data!B473&lt;&gt;0),"",B477)</f>
        <v/>
      </c>
    </row>
    <row r="478" spans="1:3" x14ac:dyDescent="0.25">
      <c r="A478"/>
      <c r="C478" s="7" t="str">
        <f>IF(AND(B478=0,Data!B474&lt;&gt;0),"",B478)</f>
        <v/>
      </c>
    </row>
    <row r="479" spans="1:3" x14ac:dyDescent="0.25">
      <c r="A479"/>
      <c r="C479" s="7" t="str">
        <f>IF(AND(B479=0,Data!B475&lt;&gt;0),"",B479)</f>
        <v/>
      </c>
    </row>
    <row r="480" spans="1:3" x14ac:dyDescent="0.25">
      <c r="A480"/>
      <c r="C480" s="7" t="str">
        <f>IF(AND(B480=0,Data!B476&lt;&gt;0),"",B480)</f>
        <v/>
      </c>
    </row>
    <row r="481" spans="1:3" x14ac:dyDescent="0.25">
      <c r="A481"/>
      <c r="C481" s="7" t="str">
        <f>IF(AND(B481=0,Data!B477&lt;&gt;0),"",B481)</f>
        <v/>
      </c>
    </row>
    <row r="482" spans="1:3" x14ac:dyDescent="0.25">
      <c r="A482"/>
      <c r="C482" s="7" t="str">
        <f>IF(AND(B482=0,Data!B478&lt;&gt;0),"",B482)</f>
        <v/>
      </c>
    </row>
    <row r="483" spans="1:3" x14ac:dyDescent="0.25">
      <c r="A483"/>
      <c r="C483" s="7" t="str">
        <f>IF(AND(B483=0,Data!B479&lt;&gt;0),"",B483)</f>
        <v/>
      </c>
    </row>
    <row r="484" spans="1:3" x14ac:dyDescent="0.25">
      <c r="A484"/>
      <c r="C484" s="7" t="str">
        <f>IF(AND(B484=0,Data!B480&lt;&gt;0),"",B484)</f>
        <v/>
      </c>
    </row>
    <row r="485" spans="1:3" x14ac:dyDescent="0.25">
      <c r="A485"/>
      <c r="C485" s="7" t="str">
        <f>IF(AND(B485=0,Data!B481&lt;&gt;0),"",B485)</f>
        <v/>
      </c>
    </row>
    <row r="486" spans="1:3" x14ac:dyDescent="0.25">
      <c r="A486"/>
      <c r="C486" s="7" t="str">
        <f>IF(AND(B486=0,Data!B482&lt;&gt;0),"",B486)</f>
        <v/>
      </c>
    </row>
    <row r="487" spans="1:3" x14ac:dyDescent="0.25">
      <c r="A487"/>
      <c r="C487" s="7" t="str">
        <f>IF(AND(B487=0,Data!B483&lt;&gt;0),"",B487)</f>
        <v/>
      </c>
    </row>
    <row r="488" spans="1:3" x14ac:dyDescent="0.25">
      <c r="A488"/>
      <c r="C488" s="7" t="str">
        <f>IF(AND(B488=0,Data!B484&lt;&gt;0),"",B488)</f>
        <v/>
      </c>
    </row>
    <row r="489" spans="1:3" x14ac:dyDescent="0.25">
      <c r="A489"/>
      <c r="C489" s="7" t="str">
        <f>IF(AND(B489=0,Data!B485&lt;&gt;0),"",B489)</f>
        <v/>
      </c>
    </row>
    <row r="490" spans="1:3" x14ac:dyDescent="0.25">
      <c r="A490"/>
      <c r="C490" s="7" t="str">
        <f>IF(AND(B490=0,Data!B486&lt;&gt;0),"",B490)</f>
        <v/>
      </c>
    </row>
    <row r="491" spans="1:3" x14ac:dyDescent="0.25">
      <c r="A491"/>
      <c r="C491" s="7" t="str">
        <f>IF(AND(B491=0,Data!B487&lt;&gt;0),"",B491)</f>
        <v/>
      </c>
    </row>
    <row r="492" spans="1:3" x14ac:dyDescent="0.25">
      <c r="A492"/>
      <c r="C492" s="7" t="str">
        <f>IF(AND(B492=0,Data!B488&lt;&gt;0),"",B492)</f>
        <v/>
      </c>
    </row>
    <row r="493" spans="1:3" x14ac:dyDescent="0.25">
      <c r="A493"/>
      <c r="C493" s="7" t="str">
        <f>IF(AND(B493=0,Data!B489&lt;&gt;0),"",B493)</f>
        <v/>
      </c>
    </row>
    <row r="494" spans="1:3" x14ac:dyDescent="0.25">
      <c r="A494"/>
      <c r="C494" s="7" t="str">
        <f>IF(AND(B494=0,Data!B490&lt;&gt;0),"",B494)</f>
        <v/>
      </c>
    </row>
    <row r="495" spans="1:3" x14ac:dyDescent="0.25">
      <c r="A495"/>
      <c r="C495" s="7" t="str">
        <f>IF(AND(B495=0,Data!B491&lt;&gt;0),"",B495)</f>
        <v/>
      </c>
    </row>
    <row r="496" spans="1:3" x14ac:dyDescent="0.25">
      <c r="A496"/>
      <c r="C496" s="7" t="str">
        <f>IF(AND(B496=0,Data!B492&lt;&gt;0),"",B496)</f>
        <v/>
      </c>
    </row>
    <row r="497" spans="1:3" x14ac:dyDescent="0.25">
      <c r="A497"/>
      <c r="C497" s="7" t="str">
        <f>IF(AND(B497=0,Data!B493&lt;&gt;0),"",B497)</f>
        <v/>
      </c>
    </row>
    <row r="498" spans="1:3" x14ac:dyDescent="0.25">
      <c r="A498"/>
      <c r="C498" s="7" t="str">
        <f>IF(AND(B498=0,Data!B494&lt;&gt;0),"",B498)</f>
        <v/>
      </c>
    </row>
    <row r="499" spans="1:3" x14ac:dyDescent="0.25">
      <c r="A499"/>
      <c r="C499" s="7" t="str">
        <f>IF(AND(B499=0,Data!B495&lt;&gt;0),"",B499)</f>
        <v/>
      </c>
    </row>
    <row r="500" spans="1:3" x14ac:dyDescent="0.25">
      <c r="A500"/>
      <c r="C500" s="7" t="str">
        <f>IF(AND(B500=0,Data!B496&lt;&gt;0),"",B500)</f>
        <v/>
      </c>
    </row>
    <row r="501" spans="1:3" x14ac:dyDescent="0.25">
      <c r="A501"/>
      <c r="C501" s="7" t="str">
        <f>IF(AND(B501=0,Data!B497&lt;&gt;0),"",B501)</f>
        <v/>
      </c>
    </row>
    <row r="502" spans="1:3" x14ac:dyDescent="0.25">
      <c r="A502"/>
      <c r="C502" s="7" t="str">
        <f>IF(AND(B502=0,Data!B498&lt;&gt;0),"",B502)</f>
        <v/>
      </c>
    </row>
    <row r="503" spans="1:3" x14ac:dyDescent="0.25">
      <c r="A503"/>
      <c r="C503" s="7" t="str">
        <f>IF(AND(B503=0,Data!B499&lt;&gt;0),"",B503)</f>
        <v/>
      </c>
    </row>
    <row r="504" spans="1:3" x14ac:dyDescent="0.25">
      <c r="A504"/>
      <c r="C504" s="7" t="str">
        <f>IF(AND(B504=0,Data!B500&lt;&gt;0),"",B504)</f>
        <v/>
      </c>
    </row>
    <row r="505" spans="1:3" x14ac:dyDescent="0.25">
      <c r="A505"/>
      <c r="C505" s="7" t="str">
        <f>IF(AND(B505=0,Data!B501&lt;&gt;0),"",B505)</f>
        <v/>
      </c>
    </row>
    <row r="506" spans="1:3" x14ac:dyDescent="0.25">
      <c r="A506"/>
      <c r="C506" s="7" t="str">
        <f>IF(AND(B506=0,Data!B502&lt;&gt;0),"",B506)</f>
        <v/>
      </c>
    </row>
    <row r="507" spans="1:3" x14ac:dyDescent="0.25">
      <c r="A507"/>
      <c r="C507" s="7" t="str">
        <f>IF(AND(B507=0,Data!B503&lt;&gt;0),"",B507)</f>
        <v/>
      </c>
    </row>
    <row r="508" spans="1:3" x14ac:dyDescent="0.25">
      <c r="A508"/>
      <c r="C508" s="7" t="str">
        <f>IF(AND(B508=0,Data!B504&lt;&gt;0),"",B508)</f>
        <v/>
      </c>
    </row>
    <row r="509" spans="1:3" x14ac:dyDescent="0.25">
      <c r="A509"/>
      <c r="C509" s="7" t="str">
        <f>IF(AND(B509=0,Data!B505&lt;&gt;0),"",B509)</f>
        <v/>
      </c>
    </row>
    <row r="510" spans="1:3" x14ac:dyDescent="0.25">
      <c r="A510"/>
      <c r="C510" s="7" t="str">
        <f>IF(AND(B510=0,Data!B506&lt;&gt;0),"",B510)</f>
        <v/>
      </c>
    </row>
    <row r="511" spans="1:3" x14ac:dyDescent="0.25">
      <c r="A511"/>
      <c r="C511" s="7" t="str">
        <f>IF(AND(B511=0,Data!B507&lt;&gt;0),"",B511)</f>
        <v/>
      </c>
    </row>
    <row r="512" spans="1:3" x14ac:dyDescent="0.25">
      <c r="A512"/>
      <c r="C512" s="7" t="str">
        <f>IF(AND(B512=0,Data!B508&lt;&gt;0),"",B512)</f>
        <v/>
      </c>
    </row>
    <row r="513" spans="1:3" x14ac:dyDescent="0.25">
      <c r="A513"/>
      <c r="C513" s="7" t="str">
        <f>IF(AND(B513=0,Data!B509&lt;&gt;0),"",B513)</f>
        <v/>
      </c>
    </row>
    <row r="514" spans="1:3" x14ac:dyDescent="0.25">
      <c r="A514"/>
      <c r="C514" s="7" t="str">
        <f>IF(AND(B514=0,Data!B510&lt;&gt;0),"",B514)</f>
        <v/>
      </c>
    </row>
    <row r="515" spans="1:3" x14ac:dyDescent="0.25">
      <c r="A515"/>
      <c r="C515" s="7" t="str">
        <f>IF(AND(B515=0,Data!B511&lt;&gt;0),"",B515)</f>
        <v/>
      </c>
    </row>
    <row r="516" spans="1:3" x14ac:dyDescent="0.25">
      <c r="A516"/>
      <c r="C516" s="7" t="str">
        <f>IF(AND(B516=0,Data!B512&lt;&gt;0),"",B516)</f>
        <v/>
      </c>
    </row>
    <row r="517" spans="1:3" x14ac:dyDescent="0.25">
      <c r="A517"/>
      <c r="C517" s="7" t="str">
        <f>IF(AND(B517=0,Data!B513&lt;&gt;0),"",B517)</f>
        <v/>
      </c>
    </row>
    <row r="518" spans="1:3" x14ac:dyDescent="0.25">
      <c r="A518"/>
      <c r="C518" s="7" t="str">
        <f>IF(AND(B518=0,Data!B514&lt;&gt;0),"",B518)</f>
        <v/>
      </c>
    </row>
    <row r="519" spans="1:3" x14ac:dyDescent="0.25">
      <c r="A519"/>
      <c r="C519" s="7" t="str">
        <f>IF(AND(B519=0,Data!B515&lt;&gt;0),"",B519)</f>
        <v/>
      </c>
    </row>
    <row r="520" spans="1:3" x14ac:dyDescent="0.25">
      <c r="A520"/>
      <c r="C520" s="7" t="str">
        <f>IF(AND(B520=0,Data!B516&lt;&gt;0),"",B520)</f>
        <v/>
      </c>
    </row>
    <row r="521" spans="1:3" x14ac:dyDescent="0.25">
      <c r="A521"/>
      <c r="C521" s="7" t="str">
        <f>IF(AND(B521=0,Data!B517&lt;&gt;0),"",B521)</f>
        <v/>
      </c>
    </row>
    <row r="522" spans="1:3" x14ac:dyDescent="0.25">
      <c r="A522"/>
      <c r="C522" s="7" t="str">
        <f>IF(AND(B522=0,Data!B518&lt;&gt;0),"",B522)</f>
        <v/>
      </c>
    </row>
    <row r="523" spans="1:3" x14ac:dyDescent="0.25">
      <c r="A523"/>
      <c r="C523" s="7" t="str">
        <f>IF(AND(B523=0,Data!B519&lt;&gt;0),"",B523)</f>
        <v/>
      </c>
    </row>
    <row r="524" spans="1:3" x14ac:dyDescent="0.25">
      <c r="A524"/>
      <c r="C524" s="7" t="str">
        <f>IF(AND(B524=0,Data!B520&lt;&gt;0),"",B524)</f>
        <v/>
      </c>
    </row>
    <row r="525" spans="1:3" x14ac:dyDescent="0.25">
      <c r="A525"/>
      <c r="C525" s="7" t="str">
        <f>IF(AND(B525=0,Data!B521&lt;&gt;0),"",B525)</f>
        <v/>
      </c>
    </row>
    <row r="526" spans="1:3" x14ac:dyDescent="0.25">
      <c r="A526"/>
      <c r="C526" s="7" t="str">
        <f>IF(AND(B526=0,Data!B522&lt;&gt;0),"",B526)</f>
        <v/>
      </c>
    </row>
    <row r="527" spans="1:3" x14ac:dyDescent="0.25">
      <c r="A527"/>
      <c r="C527" s="7" t="str">
        <f>IF(AND(B527=0,Data!B523&lt;&gt;0),"",B527)</f>
        <v/>
      </c>
    </row>
    <row r="528" spans="1:3" x14ac:dyDescent="0.25">
      <c r="A528"/>
      <c r="C528" s="7" t="str">
        <f>IF(AND(B528=0,Data!B524&lt;&gt;0),"",B528)</f>
        <v/>
      </c>
    </row>
    <row r="529" spans="1:3" x14ac:dyDescent="0.25">
      <c r="A529"/>
      <c r="C529" s="7" t="str">
        <f>IF(AND(B529=0,Data!B525&lt;&gt;0),"",B529)</f>
        <v/>
      </c>
    </row>
    <row r="530" spans="1:3" x14ac:dyDescent="0.25">
      <c r="A530"/>
      <c r="C530" s="7" t="str">
        <f>IF(AND(B530=0,Data!B526&lt;&gt;0),"",B530)</f>
        <v/>
      </c>
    </row>
    <row r="531" spans="1:3" x14ac:dyDescent="0.25">
      <c r="A531"/>
      <c r="C531" s="7" t="str">
        <f>IF(AND(B531=0,Data!B527&lt;&gt;0),"",B531)</f>
        <v/>
      </c>
    </row>
    <row r="532" spans="1:3" x14ac:dyDescent="0.25">
      <c r="A532"/>
      <c r="C532" s="7" t="str">
        <f>IF(AND(B532=0,Data!B528&lt;&gt;0),"",B532)</f>
        <v/>
      </c>
    </row>
    <row r="533" spans="1:3" x14ac:dyDescent="0.25">
      <c r="A533"/>
      <c r="C533" s="7" t="str">
        <f>IF(AND(B533=0,Data!B529&lt;&gt;0),"",B533)</f>
        <v/>
      </c>
    </row>
    <row r="534" spans="1:3" x14ac:dyDescent="0.25">
      <c r="A534"/>
      <c r="C534" s="7" t="str">
        <f>IF(AND(B534=0,Data!B530&lt;&gt;0),"",B534)</f>
        <v/>
      </c>
    </row>
    <row r="535" spans="1:3" x14ac:dyDescent="0.25">
      <c r="A535"/>
      <c r="C535" s="7" t="str">
        <f>IF(AND(B535=0,Data!B531&lt;&gt;0),"",B535)</f>
        <v/>
      </c>
    </row>
    <row r="536" spans="1:3" x14ac:dyDescent="0.25">
      <c r="A536"/>
      <c r="C536" s="7" t="str">
        <f>IF(AND(B536=0,Data!B532&lt;&gt;0),"",B536)</f>
        <v/>
      </c>
    </row>
    <row r="537" spans="1:3" x14ac:dyDescent="0.25">
      <c r="A537"/>
      <c r="C537" s="7" t="str">
        <f>IF(AND(B537=0,Data!B533&lt;&gt;0),"",B537)</f>
        <v/>
      </c>
    </row>
    <row r="538" spans="1:3" x14ac:dyDescent="0.25">
      <c r="A538"/>
      <c r="C538" s="7" t="str">
        <f>IF(AND(B538=0,Data!B534&lt;&gt;0),"",B538)</f>
        <v/>
      </c>
    </row>
    <row r="539" spans="1:3" x14ac:dyDescent="0.25">
      <c r="A539"/>
      <c r="C539" s="7" t="str">
        <f>IF(AND(B539=0,Data!B535&lt;&gt;0),"",B539)</f>
        <v/>
      </c>
    </row>
    <row r="540" spans="1:3" x14ac:dyDescent="0.25">
      <c r="A540"/>
      <c r="C540" s="7" t="str">
        <f>IF(AND(B540=0,Data!B536&lt;&gt;0),"",B540)</f>
        <v/>
      </c>
    </row>
    <row r="541" spans="1:3" x14ac:dyDescent="0.25">
      <c r="A541"/>
      <c r="C541" s="7" t="str">
        <f>IF(AND(B541=0,Data!B537&lt;&gt;0),"",B541)</f>
        <v/>
      </c>
    </row>
    <row r="542" spans="1:3" x14ac:dyDescent="0.25">
      <c r="A542"/>
      <c r="C542" s="7" t="str">
        <f>IF(AND(B542=0,Data!B538&lt;&gt;0),"",B542)</f>
        <v/>
      </c>
    </row>
    <row r="543" spans="1:3" x14ac:dyDescent="0.25">
      <c r="A543"/>
      <c r="C543" s="7" t="str">
        <f>IF(AND(B543=0,Data!B539&lt;&gt;0),"",B543)</f>
        <v/>
      </c>
    </row>
    <row r="544" spans="1:3" x14ac:dyDescent="0.25">
      <c r="A544"/>
      <c r="C544" s="7" t="str">
        <f>IF(AND(B544=0,Data!B540&lt;&gt;0),"",B544)</f>
        <v/>
      </c>
    </row>
    <row r="545" spans="1:3" x14ac:dyDescent="0.25">
      <c r="A545"/>
      <c r="C545" s="7" t="str">
        <f>IF(AND(B545=0,Data!B541&lt;&gt;0),"",B545)</f>
        <v/>
      </c>
    </row>
    <row r="546" spans="1:3" x14ac:dyDescent="0.25">
      <c r="A546"/>
      <c r="C546" s="7" t="str">
        <f>IF(AND(B546=0,Data!B542&lt;&gt;0),"",B546)</f>
        <v/>
      </c>
    </row>
    <row r="547" spans="1:3" x14ac:dyDescent="0.25">
      <c r="A547"/>
      <c r="C547" s="7" t="str">
        <f>IF(AND(B547=0,Data!B543&lt;&gt;0),"",B547)</f>
        <v/>
      </c>
    </row>
    <row r="548" spans="1:3" x14ac:dyDescent="0.25">
      <c r="A548"/>
      <c r="C548" s="7" t="str">
        <f>IF(AND(B548=0,Data!B544&lt;&gt;0),"",B548)</f>
        <v/>
      </c>
    </row>
    <row r="549" spans="1:3" x14ac:dyDescent="0.25">
      <c r="A549"/>
      <c r="C549" s="7" t="str">
        <f>IF(AND(B549=0,Data!B545&lt;&gt;0),"",B549)</f>
        <v/>
      </c>
    </row>
    <row r="550" spans="1:3" x14ac:dyDescent="0.25">
      <c r="A550"/>
      <c r="C550" s="7" t="str">
        <f>IF(AND(B550=0,Data!B546&lt;&gt;0),"",B550)</f>
        <v/>
      </c>
    </row>
    <row r="551" spans="1:3" x14ac:dyDescent="0.25">
      <c r="A551"/>
      <c r="C551" s="7" t="str">
        <f>IF(AND(B551=0,Data!B547&lt;&gt;0),"",B551)</f>
        <v/>
      </c>
    </row>
    <row r="552" spans="1:3" x14ac:dyDescent="0.25">
      <c r="A552"/>
      <c r="C552" s="7" t="str">
        <f>IF(AND(B552=0,Data!B548&lt;&gt;0),"",B552)</f>
        <v/>
      </c>
    </row>
    <row r="553" spans="1:3" x14ac:dyDescent="0.25">
      <c r="A553"/>
      <c r="C553" s="7" t="str">
        <f>IF(AND(B553=0,Data!B549&lt;&gt;0),"",B553)</f>
        <v/>
      </c>
    </row>
    <row r="554" spans="1:3" x14ac:dyDescent="0.25">
      <c r="A554"/>
      <c r="C554" s="7" t="str">
        <f>IF(AND(B554=0,Data!B550&lt;&gt;0),"",B554)</f>
        <v/>
      </c>
    </row>
    <row r="555" spans="1:3" x14ac:dyDescent="0.25">
      <c r="A555"/>
      <c r="C555" s="7" t="str">
        <f>IF(AND(B555=0,Data!B551&lt;&gt;0),"",B555)</f>
        <v/>
      </c>
    </row>
    <row r="556" spans="1:3" x14ac:dyDescent="0.25">
      <c r="A556"/>
      <c r="C556" s="7" t="str">
        <f>IF(AND(B556=0,Data!B552&lt;&gt;0),"",B556)</f>
        <v/>
      </c>
    </row>
    <row r="557" spans="1:3" x14ac:dyDescent="0.25">
      <c r="A557"/>
      <c r="C557" s="7">
        <f>IF(AND(B557=0,Data!B553&lt;&gt;0),"",B557)</f>
        <v>0</v>
      </c>
    </row>
    <row r="558" spans="1:3" x14ac:dyDescent="0.25">
      <c r="A558"/>
      <c r="C558" s="7" t="str">
        <f>IF(AND(B558=0,Data!B554&lt;&gt;0),"",B558)</f>
        <v/>
      </c>
    </row>
    <row r="559" spans="1:3" x14ac:dyDescent="0.25">
      <c r="A559"/>
      <c r="C559" s="7" t="str">
        <f>IF(AND(B559=0,Data!B555&lt;&gt;0),"",B559)</f>
        <v/>
      </c>
    </row>
    <row r="560" spans="1:3" x14ac:dyDescent="0.25">
      <c r="A560"/>
      <c r="C560" s="7" t="str">
        <f>IF(AND(B560=0,Data!B556&lt;&gt;0),"",B560)</f>
        <v/>
      </c>
    </row>
    <row r="561" spans="1:3" x14ac:dyDescent="0.25">
      <c r="A561"/>
      <c r="C561" s="7" t="str">
        <f>IF(AND(B561=0,Data!B557&lt;&gt;0),"",B561)</f>
        <v/>
      </c>
    </row>
    <row r="562" spans="1:3" x14ac:dyDescent="0.25">
      <c r="A562"/>
      <c r="C562" s="7" t="str">
        <f>IF(AND(B562=0,Data!B558&lt;&gt;0),"",B562)</f>
        <v/>
      </c>
    </row>
    <row r="563" spans="1:3" x14ac:dyDescent="0.25">
      <c r="A563"/>
      <c r="C563" s="7" t="str">
        <f>IF(AND(B563=0,Data!B559&lt;&gt;0),"",B563)</f>
        <v/>
      </c>
    </row>
    <row r="564" spans="1:3" x14ac:dyDescent="0.25">
      <c r="A564"/>
      <c r="C564" s="7" t="str">
        <f>IF(AND(B564=0,Data!B560&lt;&gt;0),"",B564)</f>
        <v/>
      </c>
    </row>
    <row r="565" spans="1:3" x14ac:dyDescent="0.25">
      <c r="A565"/>
      <c r="C565" s="7" t="str">
        <f>IF(AND(B565=0,Data!B561&lt;&gt;0),"",B565)</f>
        <v/>
      </c>
    </row>
    <row r="566" spans="1:3" x14ac:dyDescent="0.25">
      <c r="A566"/>
      <c r="C566" s="7" t="str">
        <f>IF(AND(B566=0,Data!B562&lt;&gt;0),"",B566)</f>
        <v/>
      </c>
    </row>
    <row r="567" spans="1:3" x14ac:dyDescent="0.25">
      <c r="A567"/>
      <c r="C567" s="7" t="str">
        <f>IF(AND(B567=0,Data!B563&lt;&gt;0),"",B567)</f>
        <v/>
      </c>
    </row>
    <row r="568" spans="1:3" x14ac:dyDescent="0.25">
      <c r="A568"/>
      <c r="C568" s="7" t="str">
        <f>IF(AND(B568=0,Data!B564&lt;&gt;0),"",B568)</f>
        <v/>
      </c>
    </row>
    <row r="569" spans="1:3" x14ac:dyDescent="0.25">
      <c r="A569"/>
      <c r="C569" s="7" t="str">
        <f>IF(AND(B569=0,Data!B565&lt;&gt;0),"",B569)</f>
        <v/>
      </c>
    </row>
    <row r="570" spans="1:3" x14ac:dyDescent="0.25">
      <c r="A570"/>
      <c r="C570" s="7" t="str">
        <f>IF(AND(B570=0,Data!B566&lt;&gt;0),"",B570)</f>
        <v/>
      </c>
    </row>
    <row r="571" spans="1:3" x14ac:dyDescent="0.25">
      <c r="A571"/>
      <c r="C571" s="7" t="str">
        <f>IF(AND(B571=0,Data!B567&lt;&gt;0),"",B571)</f>
        <v/>
      </c>
    </row>
    <row r="572" spans="1:3" x14ac:dyDescent="0.25">
      <c r="A572"/>
      <c r="C572" s="7" t="str">
        <f>IF(AND(B572=0,Data!B568&lt;&gt;0),"",B572)</f>
        <v/>
      </c>
    </row>
    <row r="573" spans="1:3" x14ac:dyDescent="0.25">
      <c r="A573"/>
      <c r="C573" s="7" t="str">
        <f>IF(AND(B573=0,Data!B569&lt;&gt;0),"",B573)</f>
        <v/>
      </c>
    </row>
    <row r="574" spans="1:3" x14ac:dyDescent="0.25">
      <c r="A574"/>
      <c r="C574" s="7" t="str">
        <f>IF(AND(B574=0,Data!B570&lt;&gt;0),"",B574)</f>
        <v/>
      </c>
    </row>
    <row r="575" spans="1:3" x14ac:dyDescent="0.25">
      <c r="A575"/>
      <c r="C575" s="7" t="str">
        <f>IF(AND(B575=0,Data!B571&lt;&gt;0),"",B575)</f>
        <v/>
      </c>
    </row>
    <row r="576" spans="1:3" x14ac:dyDescent="0.25">
      <c r="A576"/>
      <c r="C576" s="7" t="str">
        <f>IF(AND(B576=0,Data!B572&lt;&gt;0),"",B576)</f>
        <v/>
      </c>
    </row>
    <row r="577" spans="1:3" x14ac:dyDescent="0.25">
      <c r="A577"/>
      <c r="C577" s="7" t="str">
        <f>IF(AND(B577=0,Data!B573&lt;&gt;0),"",B577)</f>
        <v/>
      </c>
    </row>
    <row r="578" spans="1:3" x14ac:dyDescent="0.25">
      <c r="A578"/>
      <c r="C578" s="7" t="str">
        <f>IF(AND(B578=0,Data!B574&lt;&gt;0),"",B578)</f>
        <v/>
      </c>
    </row>
    <row r="579" spans="1:3" x14ac:dyDescent="0.25">
      <c r="A579"/>
      <c r="C579" s="7" t="str">
        <f>IF(AND(B579=0,Data!B575&lt;&gt;0),"",B579)</f>
        <v/>
      </c>
    </row>
    <row r="580" spans="1:3" x14ac:dyDescent="0.25">
      <c r="A580"/>
      <c r="C580" s="7" t="str">
        <f>IF(AND(B580=0,Data!B576&lt;&gt;0),"",B580)</f>
        <v/>
      </c>
    </row>
    <row r="581" spans="1:3" x14ac:dyDescent="0.25">
      <c r="A581"/>
      <c r="C581" s="7" t="str">
        <f>IF(AND(B581=0,Data!B577&lt;&gt;0),"",B581)</f>
        <v/>
      </c>
    </row>
    <row r="582" spans="1:3" x14ac:dyDescent="0.25">
      <c r="A582"/>
      <c r="C582" s="7" t="str">
        <f>IF(AND(B582=0,Data!B578&lt;&gt;0),"",B582)</f>
        <v/>
      </c>
    </row>
    <row r="583" spans="1:3" x14ac:dyDescent="0.25">
      <c r="A583"/>
      <c r="C583" s="7" t="str">
        <f>IF(AND(B583=0,Data!B579&lt;&gt;0),"",B583)</f>
        <v/>
      </c>
    </row>
    <row r="584" spans="1:3" x14ac:dyDescent="0.25">
      <c r="A584"/>
      <c r="C584" s="7" t="str">
        <f>IF(AND(B584=0,Data!B580&lt;&gt;0),"",B584)</f>
        <v/>
      </c>
    </row>
    <row r="585" spans="1:3" x14ac:dyDescent="0.25">
      <c r="A585"/>
      <c r="C585" s="7" t="str">
        <f>IF(AND(B585=0,Data!B581&lt;&gt;0),"",B585)</f>
        <v/>
      </c>
    </row>
    <row r="586" spans="1:3" x14ac:dyDescent="0.25">
      <c r="A586"/>
      <c r="C586" s="7" t="str">
        <f>IF(AND(B586=0,Data!B582&lt;&gt;0),"",B586)</f>
        <v/>
      </c>
    </row>
    <row r="587" spans="1:3" x14ac:dyDescent="0.25">
      <c r="A587"/>
      <c r="C587" s="7" t="str">
        <f>IF(AND(B587=0,Data!B583&lt;&gt;0),"",B587)</f>
        <v/>
      </c>
    </row>
    <row r="588" spans="1:3" x14ac:dyDescent="0.25">
      <c r="A588"/>
      <c r="C588" s="7" t="str">
        <f>IF(AND(B588=0,Data!B584&lt;&gt;0),"",B588)</f>
        <v/>
      </c>
    </row>
    <row r="589" spans="1:3" x14ac:dyDescent="0.25">
      <c r="A589"/>
      <c r="C589" s="7" t="str">
        <f>IF(AND(B589=0,Data!B585&lt;&gt;0),"",B589)</f>
        <v/>
      </c>
    </row>
    <row r="590" spans="1:3" x14ac:dyDescent="0.25">
      <c r="A590"/>
      <c r="C590" s="7" t="str">
        <f>IF(AND(B590=0,Data!B586&lt;&gt;0),"",B590)</f>
        <v/>
      </c>
    </row>
    <row r="591" spans="1:3" x14ac:dyDescent="0.25">
      <c r="A591"/>
      <c r="C591" s="7" t="str">
        <f>IF(AND(B591=0,Data!B587&lt;&gt;0),"",B591)</f>
        <v/>
      </c>
    </row>
    <row r="592" spans="1:3" x14ac:dyDescent="0.25">
      <c r="A592"/>
      <c r="C592" s="7" t="str">
        <f>IF(AND(B592=0,Data!B588&lt;&gt;0),"",B592)</f>
        <v/>
      </c>
    </row>
    <row r="593" spans="1:3" x14ac:dyDescent="0.25">
      <c r="A593"/>
      <c r="C593" s="7" t="str">
        <f>IF(AND(B593=0,Data!B589&lt;&gt;0),"",B593)</f>
        <v/>
      </c>
    </row>
    <row r="594" spans="1:3" x14ac:dyDescent="0.25">
      <c r="A594"/>
      <c r="C594" s="7" t="str">
        <f>IF(AND(B594=0,Data!B590&lt;&gt;0),"",B594)</f>
        <v/>
      </c>
    </row>
    <row r="595" spans="1:3" x14ac:dyDescent="0.25">
      <c r="A595"/>
      <c r="C595" s="7" t="str">
        <f>IF(AND(B595=0,Data!B591&lt;&gt;0),"",B595)</f>
        <v/>
      </c>
    </row>
    <row r="596" spans="1:3" x14ac:dyDescent="0.25">
      <c r="A596"/>
      <c r="C596" s="7" t="str">
        <f>IF(AND(B596=0,Data!B592&lt;&gt;0),"",B596)</f>
        <v/>
      </c>
    </row>
    <row r="597" spans="1:3" x14ac:dyDescent="0.25">
      <c r="A597"/>
      <c r="C597" s="7" t="str">
        <f>IF(AND(B597=0,Data!B593&lt;&gt;0),"",B597)</f>
        <v/>
      </c>
    </row>
    <row r="598" spans="1:3" x14ac:dyDescent="0.25">
      <c r="A598"/>
      <c r="C598" s="7" t="str">
        <f>IF(AND(B598=0,Data!B594&lt;&gt;0),"",B598)</f>
        <v/>
      </c>
    </row>
    <row r="599" spans="1:3" x14ac:dyDescent="0.25">
      <c r="A599"/>
      <c r="C599" s="7" t="str">
        <f>IF(AND(B599=0,Data!B595&lt;&gt;0),"",B599)</f>
        <v/>
      </c>
    </row>
    <row r="600" spans="1:3" x14ac:dyDescent="0.25">
      <c r="A600"/>
      <c r="C600" s="7" t="str">
        <f>IF(AND(B600=0,Data!B596&lt;&gt;0),"",B600)</f>
        <v/>
      </c>
    </row>
    <row r="601" spans="1:3" x14ac:dyDescent="0.25">
      <c r="A601"/>
      <c r="C601" s="7" t="str">
        <f>IF(AND(B601=0,Data!B597&lt;&gt;0),"",B601)</f>
        <v/>
      </c>
    </row>
    <row r="602" spans="1:3" x14ac:dyDescent="0.25">
      <c r="A602"/>
      <c r="C602" s="7" t="str">
        <f>IF(AND(B602=0,Data!B598&lt;&gt;0),"",B602)</f>
        <v/>
      </c>
    </row>
    <row r="603" spans="1:3" x14ac:dyDescent="0.25">
      <c r="A603"/>
      <c r="C603" s="7" t="str">
        <f>IF(AND(B603=0,Data!B599&lt;&gt;0),"",B603)</f>
        <v/>
      </c>
    </row>
    <row r="604" spans="1:3" x14ac:dyDescent="0.25">
      <c r="A604"/>
      <c r="C604" s="7" t="str">
        <f>IF(AND(B604=0,Data!B600&lt;&gt;0),"",B604)</f>
        <v/>
      </c>
    </row>
    <row r="605" spans="1:3" x14ac:dyDescent="0.25">
      <c r="A605"/>
      <c r="C605" s="7" t="str">
        <f>IF(AND(B605=0,Data!B601&lt;&gt;0),"",B605)</f>
        <v/>
      </c>
    </row>
    <row r="606" spans="1:3" x14ac:dyDescent="0.25">
      <c r="A606"/>
      <c r="C606" s="7" t="str">
        <f>IF(AND(B606=0,Data!B602&lt;&gt;0),"",B606)</f>
        <v/>
      </c>
    </row>
    <row r="607" spans="1:3" x14ac:dyDescent="0.25">
      <c r="A607"/>
      <c r="C607" s="7" t="str">
        <f>IF(AND(B607=0,Data!B603&lt;&gt;0),"",B607)</f>
        <v/>
      </c>
    </row>
    <row r="608" spans="1:3" x14ac:dyDescent="0.25">
      <c r="A608"/>
      <c r="C608" s="7" t="str">
        <f>IF(AND(B608=0,Data!B604&lt;&gt;0),"",B608)</f>
        <v/>
      </c>
    </row>
    <row r="609" spans="1:3" x14ac:dyDescent="0.25">
      <c r="A609"/>
      <c r="C609" s="7" t="str">
        <f>IF(AND(B609=0,Data!B605&lt;&gt;0),"",B609)</f>
        <v/>
      </c>
    </row>
    <row r="610" spans="1:3" x14ac:dyDescent="0.25">
      <c r="A610"/>
      <c r="C610" s="7" t="str">
        <f>IF(AND(B610=0,Data!B606&lt;&gt;0),"",B610)</f>
        <v/>
      </c>
    </row>
    <row r="611" spans="1:3" x14ac:dyDescent="0.25">
      <c r="A611"/>
      <c r="C611" s="7" t="str">
        <f>IF(AND(B611=0,Data!B607&lt;&gt;0),"",B611)</f>
        <v/>
      </c>
    </row>
    <row r="612" spans="1:3" x14ac:dyDescent="0.25">
      <c r="A612"/>
      <c r="C612" s="7" t="str">
        <f>IF(AND(B612=0,Data!B608&lt;&gt;0),"",B612)</f>
        <v/>
      </c>
    </row>
    <row r="613" spans="1:3" x14ac:dyDescent="0.25">
      <c r="A613"/>
      <c r="C613" s="7" t="str">
        <f>IF(AND(B613=0,Data!B609&lt;&gt;0),"",B613)</f>
        <v/>
      </c>
    </row>
    <row r="614" spans="1:3" x14ac:dyDescent="0.25">
      <c r="A614"/>
      <c r="C614" s="7" t="str">
        <f>IF(AND(B614=0,Data!B610&lt;&gt;0),"",B614)</f>
        <v/>
      </c>
    </row>
    <row r="615" spans="1:3" x14ac:dyDescent="0.25">
      <c r="A615"/>
      <c r="C615" s="7" t="str">
        <f>IF(AND(B615=0,Data!B611&lt;&gt;0),"",B615)</f>
        <v/>
      </c>
    </row>
    <row r="616" spans="1:3" x14ac:dyDescent="0.25">
      <c r="A616"/>
      <c r="C616" s="7" t="str">
        <f>IF(AND(B616=0,Data!B612&lt;&gt;0),"",B616)</f>
        <v/>
      </c>
    </row>
    <row r="617" spans="1:3" x14ac:dyDescent="0.25">
      <c r="A617"/>
      <c r="C617" s="7" t="str">
        <f>IF(AND(B617=0,Data!B613&lt;&gt;0),"",B617)</f>
        <v/>
      </c>
    </row>
    <row r="618" spans="1:3" x14ac:dyDescent="0.25">
      <c r="A618"/>
      <c r="C618" s="7" t="str">
        <f>IF(AND(B618=0,Data!B614&lt;&gt;0),"",B618)</f>
        <v/>
      </c>
    </row>
    <row r="619" spans="1:3" x14ac:dyDescent="0.25">
      <c r="A619"/>
      <c r="C619" s="7" t="str">
        <f>IF(AND(B619=0,Data!B615&lt;&gt;0),"",B619)</f>
        <v/>
      </c>
    </row>
    <row r="620" spans="1:3" x14ac:dyDescent="0.25">
      <c r="A620"/>
      <c r="C620" s="7" t="str">
        <f>IF(AND(B620=0,Data!B616&lt;&gt;0),"",B620)</f>
        <v/>
      </c>
    </row>
    <row r="621" spans="1:3" x14ac:dyDescent="0.25">
      <c r="A621"/>
      <c r="C621" s="7" t="str">
        <f>IF(AND(B621=0,Data!B617&lt;&gt;0),"",B621)</f>
        <v/>
      </c>
    </row>
    <row r="622" spans="1:3" x14ac:dyDescent="0.25">
      <c r="A622"/>
      <c r="C622" s="7" t="str">
        <f>IF(AND(B622=0,Data!B618&lt;&gt;0),"",B622)</f>
        <v/>
      </c>
    </row>
    <row r="623" spans="1:3" x14ac:dyDescent="0.25">
      <c r="A623"/>
      <c r="C623" s="7" t="str">
        <f>IF(AND(B623=0,Data!B619&lt;&gt;0),"",B623)</f>
        <v/>
      </c>
    </row>
    <row r="624" spans="1:3" x14ac:dyDescent="0.25">
      <c r="A624"/>
      <c r="C624" s="7" t="str">
        <f>IF(AND(B624=0,Data!B620&lt;&gt;0),"",B624)</f>
        <v/>
      </c>
    </row>
    <row r="625" spans="1:3" x14ac:dyDescent="0.25">
      <c r="A625"/>
      <c r="C625" s="7" t="str">
        <f>IF(AND(B625=0,Data!B621&lt;&gt;0),"",B625)</f>
        <v/>
      </c>
    </row>
    <row r="626" spans="1:3" x14ac:dyDescent="0.25">
      <c r="A626"/>
      <c r="C626" s="7" t="str">
        <f>IF(AND(B626=0,Data!B622&lt;&gt;0),"",B626)</f>
        <v/>
      </c>
    </row>
    <row r="627" spans="1:3" x14ac:dyDescent="0.25">
      <c r="A627"/>
      <c r="C627" s="7" t="str">
        <f>IF(AND(B627=0,Data!B623&lt;&gt;0),"",B627)</f>
        <v/>
      </c>
    </row>
    <row r="628" spans="1:3" x14ac:dyDescent="0.25">
      <c r="A628"/>
      <c r="C628" s="7" t="str">
        <f>IF(AND(B628=0,Data!B624&lt;&gt;0),"",B628)</f>
        <v/>
      </c>
    </row>
    <row r="629" spans="1:3" x14ac:dyDescent="0.25">
      <c r="A629"/>
      <c r="C629" s="7" t="str">
        <f>IF(AND(B629=0,Data!B625&lt;&gt;0),"",B629)</f>
        <v/>
      </c>
    </row>
    <row r="630" spans="1:3" x14ac:dyDescent="0.25">
      <c r="A630"/>
      <c r="C630" s="7" t="str">
        <f>IF(AND(B630=0,Data!B626&lt;&gt;0),"",B630)</f>
        <v/>
      </c>
    </row>
    <row r="631" spans="1:3" x14ac:dyDescent="0.25">
      <c r="A631"/>
      <c r="C631" s="7" t="str">
        <f>IF(AND(B631=0,Data!B627&lt;&gt;0),"",B631)</f>
        <v/>
      </c>
    </row>
    <row r="632" spans="1:3" x14ac:dyDescent="0.25">
      <c r="A632"/>
      <c r="C632" s="7" t="str">
        <f>IF(AND(B632=0,Data!B628&lt;&gt;0),"",B632)</f>
        <v/>
      </c>
    </row>
    <row r="633" spans="1:3" x14ac:dyDescent="0.25">
      <c r="A633"/>
      <c r="C633" s="7" t="str">
        <f>IF(AND(B633=0,Data!B629&lt;&gt;0),"",B633)</f>
        <v/>
      </c>
    </row>
    <row r="634" spans="1:3" x14ac:dyDescent="0.25">
      <c r="A634"/>
      <c r="C634" s="7" t="str">
        <f>IF(AND(B634=0,Data!B630&lt;&gt;0),"",B634)</f>
        <v/>
      </c>
    </row>
    <row r="635" spans="1:3" x14ac:dyDescent="0.25">
      <c r="A635"/>
      <c r="C635" s="7" t="str">
        <f>IF(AND(B635=0,Data!B631&lt;&gt;0),"",B635)</f>
        <v/>
      </c>
    </row>
    <row r="636" spans="1:3" x14ac:dyDescent="0.25">
      <c r="A636"/>
      <c r="C636" s="7" t="str">
        <f>IF(AND(B636=0,Data!B632&lt;&gt;0),"",B636)</f>
        <v/>
      </c>
    </row>
    <row r="637" spans="1:3" x14ac:dyDescent="0.25">
      <c r="A637"/>
      <c r="C637" s="7" t="str">
        <f>IF(AND(B637=0,Data!B633&lt;&gt;0),"",B637)</f>
        <v/>
      </c>
    </row>
    <row r="638" spans="1:3" x14ac:dyDescent="0.25">
      <c r="A638"/>
      <c r="C638" s="7" t="str">
        <f>IF(AND(B638=0,Data!B634&lt;&gt;0),"",B638)</f>
        <v/>
      </c>
    </row>
    <row r="639" spans="1:3" x14ac:dyDescent="0.25">
      <c r="A639"/>
      <c r="C639" s="7" t="str">
        <f>IF(AND(B639=0,Data!B635&lt;&gt;0),"",B639)</f>
        <v/>
      </c>
    </row>
    <row r="640" spans="1:3" x14ac:dyDescent="0.25">
      <c r="A640"/>
      <c r="C640" s="7" t="str">
        <f>IF(AND(B640=0,Data!B636&lt;&gt;0),"",B640)</f>
        <v/>
      </c>
    </row>
    <row r="641" spans="1:3" x14ac:dyDescent="0.25">
      <c r="A641"/>
      <c r="C641" s="7" t="str">
        <f>IF(AND(B641=0,Data!B637&lt;&gt;0),"",B641)</f>
        <v/>
      </c>
    </row>
    <row r="642" spans="1:3" x14ac:dyDescent="0.25">
      <c r="A642"/>
      <c r="C642" s="7" t="str">
        <f>IF(AND(B642=0,Data!B638&lt;&gt;0),"",B642)</f>
        <v/>
      </c>
    </row>
    <row r="643" spans="1:3" x14ac:dyDescent="0.25">
      <c r="A643"/>
      <c r="C643" s="7" t="str">
        <f>IF(AND(B643=0,Data!B639&lt;&gt;0),"",B643)</f>
        <v/>
      </c>
    </row>
    <row r="644" spans="1:3" x14ac:dyDescent="0.25">
      <c r="A644"/>
      <c r="C644" s="7" t="str">
        <f>IF(AND(B644=0,Data!B640&lt;&gt;0),"",B644)</f>
        <v/>
      </c>
    </row>
    <row r="645" spans="1:3" x14ac:dyDescent="0.25">
      <c r="A645"/>
      <c r="C645" s="7" t="str">
        <f>IF(AND(B645=0,Data!B641&lt;&gt;0),"",B645)</f>
        <v/>
      </c>
    </row>
    <row r="646" spans="1:3" x14ac:dyDescent="0.25">
      <c r="A646"/>
      <c r="C646" s="7" t="str">
        <f>IF(AND(B646=0,Data!B642&lt;&gt;0),"",B646)</f>
        <v/>
      </c>
    </row>
    <row r="647" spans="1:3" x14ac:dyDescent="0.25">
      <c r="A647"/>
      <c r="C647" s="7" t="str">
        <f>IF(AND(B647=0,Data!B643&lt;&gt;0),"",B647)</f>
        <v/>
      </c>
    </row>
    <row r="648" spans="1:3" x14ac:dyDescent="0.25">
      <c r="A648"/>
      <c r="C648" s="7" t="str">
        <f>IF(AND(B648=0,Data!B644&lt;&gt;0),"",B648)</f>
        <v/>
      </c>
    </row>
    <row r="649" spans="1:3" x14ac:dyDescent="0.25">
      <c r="A649"/>
      <c r="C649" s="7" t="str">
        <f>IF(AND(B649=0,Data!B645&lt;&gt;0),"",B649)</f>
        <v/>
      </c>
    </row>
    <row r="650" spans="1:3" x14ac:dyDescent="0.25">
      <c r="A650"/>
      <c r="C650" s="7" t="str">
        <f>IF(AND(B650=0,Data!B646&lt;&gt;0),"",B650)</f>
        <v/>
      </c>
    </row>
    <row r="651" spans="1:3" x14ac:dyDescent="0.25">
      <c r="A651"/>
      <c r="C651" s="7" t="str">
        <f>IF(AND(B651=0,Data!B647&lt;&gt;0),"",B651)</f>
        <v/>
      </c>
    </row>
    <row r="652" spans="1:3" x14ac:dyDescent="0.25">
      <c r="A652"/>
      <c r="C652" s="7" t="str">
        <f>IF(AND(B652=0,Data!B648&lt;&gt;0),"",B652)</f>
        <v/>
      </c>
    </row>
    <row r="653" spans="1:3" x14ac:dyDescent="0.25">
      <c r="A653"/>
      <c r="C653" s="7" t="str">
        <f>IF(AND(B653=0,Data!B649&lt;&gt;0),"",B653)</f>
        <v/>
      </c>
    </row>
    <row r="654" spans="1:3" x14ac:dyDescent="0.25">
      <c r="A654"/>
      <c r="C654" s="7" t="str">
        <f>IF(AND(B654=0,Data!B650&lt;&gt;0),"",B654)</f>
        <v/>
      </c>
    </row>
    <row r="655" spans="1:3" x14ac:dyDescent="0.25">
      <c r="A655"/>
      <c r="C655" s="7" t="str">
        <f>IF(AND(B655=0,Data!B651&lt;&gt;0),"",B655)</f>
        <v/>
      </c>
    </row>
    <row r="656" spans="1:3" x14ac:dyDescent="0.25">
      <c r="A656"/>
      <c r="C656" s="7" t="str">
        <f>IF(AND(B656=0,Data!B652&lt;&gt;0),"",B656)</f>
        <v/>
      </c>
    </row>
    <row r="657" spans="1:3" x14ac:dyDescent="0.25">
      <c r="A657"/>
      <c r="C657" s="7" t="str">
        <f>IF(AND(B657=0,Data!B653&lt;&gt;0),"",B657)</f>
        <v/>
      </c>
    </row>
    <row r="658" spans="1:3" x14ac:dyDescent="0.25">
      <c r="A658"/>
      <c r="C658" s="7" t="str">
        <f>IF(AND(B658=0,Data!B654&lt;&gt;0),"",B658)</f>
        <v/>
      </c>
    </row>
    <row r="659" spans="1:3" x14ac:dyDescent="0.25">
      <c r="A659"/>
      <c r="C659" s="7" t="str">
        <f>IF(AND(B659=0,Data!B655&lt;&gt;0),"",B659)</f>
        <v/>
      </c>
    </row>
    <row r="660" spans="1:3" x14ac:dyDescent="0.25">
      <c r="A660"/>
      <c r="C660" s="7" t="str">
        <f>IF(AND(B660=0,Data!B656&lt;&gt;0),"",B660)</f>
        <v/>
      </c>
    </row>
    <row r="661" spans="1:3" x14ac:dyDescent="0.25">
      <c r="A661"/>
      <c r="C661" s="7" t="str">
        <f>IF(AND(B661=0,Data!B657&lt;&gt;0),"",B661)</f>
        <v/>
      </c>
    </row>
    <row r="662" spans="1:3" x14ac:dyDescent="0.25">
      <c r="A662"/>
      <c r="C662" s="7" t="str">
        <f>IF(AND(B662=0,Data!B658&lt;&gt;0),"",B662)</f>
        <v/>
      </c>
    </row>
    <row r="663" spans="1:3" x14ac:dyDescent="0.25">
      <c r="A663"/>
      <c r="C663" s="7" t="str">
        <f>IF(AND(B663=0,Data!B659&lt;&gt;0),"",B663)</f>
        <v/>
      </c>
    </row>
    <row r="664" spans="1:3" x14ac:dyDescent="0.25">
      <c r="A664"/>
      <c r="C664" s="7" t="str">
        <f>IF(AND(B664=0,Data!B660&lt;&gt;0),"",B664)</f>
        <v/>
      </c>
    </row>
    <row r="665" spans="1:3" x14ac:dyDescent="0.25">
      <c r="A665"/>
      <c r="C665" s="7" t="str">
        <f>IF(AND(B665=0,Data!B661&lt;&gt;0),"",B665)</f>
        <v/>
      </c>
    </row>
    <row r="666" spans="1:3" x14ac:dyDescent="0.25">
      <c r="A666"/>
      <c r="C666" s="7" t="str">
        <f>IF(AND(B666=0,Data!B662&lt;&gt;0),"",B666)</f>
        <v/>
      </c>
    </row>
    <row r="667" spans="1:3" x14ac:dyDescent="0.25">
      <c r="A667"/>
      <c r="C667" s="7" t="str">
        <f>IF(AND(B667=0,Data!B663&lt;&gt;0),"",B667)</f>
        <v/>
      </c>
    </row>
    <row r="668" spans="1:3" x14ac:dyDescent="0.25">
      <c r="A668"/>
      <c r="C668" s="7" t="str">
        <f>IF(AND(B668=0,Data!B664&lt;&gt;0),"",B668)</f>
        <v/>
      </c>
    </row>
    <row r="669" spans="1:3" x14ac:dyDescent="0.25">
      <c r="A669"/>
      <c r="C669" s="7" t="str">
        <f>IF(AND(B669=0,Data!B665&lt;&gt;0),"",B669)</f>
        <v/>
      </c>
    </row>
    <row r="670" spans="1:3" x14ac:dyDescent="0.25">
      <c r="A670"/>
      <c r="C670" s="7" t="str">
        <f>IF(AND(B670=0,Data!B666&lt;&gt;0),"",B670)</f>
        <v/>
      </c>
    </row>
    <row r="671" spans="1:3" x14ac:dyDescent="0.25">
      <c r="A671"/>
      <c r="C671" s="7" t="str">
        <f>IF(AND(B671=0,Data!B667&lt;&gt;0),"",B671)</f>
        <v/>
      </c>
    </row>
    <row r="672" spans="1:3" x14ac:dyDescent="0.25">
      <c r="A672"/>
      <c r="C672" s="7" t="str">
        <f>IF(AND(B672=0,Data!B668&lt;&gt;0),"",B672)</f>
        <v/>
      </c>
    </row>
    <row r="673" spans="1:3" x14ac:dyDescent="0.25">
      <c r="A673"/>
      <c r="C673" s="7" t="str">
        <f>IF(AND(B673=0,Data!B669&lt;&gt;0),"",B673)</f>
        <v/>
      </c>
    </row>
    <row r="674" spans="1:3" x14ac:dyDescent="0.25">
      <c r="A674"/>
      <c r="C674" s="7" t="str">
        <f>IF(AND(B674=0,Data!B670&lt;&gt;0),"",B674)</f>
        <v/>
      </c>
    </row>
    <row r="675" spans="1:3" x14ac:dyDescent="0.25">
      <c r="A675"/>
      <c r="C675" s="7" t="str">
        <f>IF(AND(B675=0,Data!B671&lt;&gt;0),"",B675)</f>
        <v/>
      </c>
    </row>
    <row r="676" spans="1:3" x14ac:dyDescent="0.25">
      <c r="A676"/>
      <c r="C676" s="7" t="str">
        <f>IF(AND(B676=0,Data!B672&lt;&gt;0),"",B676)</f>
        <v/>
      </c>
    </row>
    <row r="677" spans="1:3" x14ac:dyDescent="0.25">
      <c r="A677"/>
      <c r="C677" s="7" t="str">
        <f>IF(AND(B677=0,Data!B673&lt;&gt;0),"",B677)</f>
        <v/>
      </c>
    </row>
    <row r="678" spans="1:3" x14ac:dyDescent="0.25">
      <c r="A678"/>
      <c r="C678" s="7" t="str">
        <f>IF(AND(B678=0,Data!B674&lt;&gt;0),"",B678)</f>
        <v/>
      </c>
    </row>
    <row r="679" spans="1:3" x14ac:dyDescent="0.25">
      <c r="A679"/>
      <c r="C679" s="7" t="str">
        <f>IF(AND(B679=0,Data!B675&lt;&gt;0),"",B679)</f>
        <v/>
      </c>
    </row>
    <row r="680" spans="1:3" x14ac:dyDescent="0.25">
      <c r="A680"/>
      <c r="C680" s="7" t="str">
        <f>IF(AND(B680=0,Data!B676&lt;&gt;0),"",B680)</f>
        <v/>
      </c>
    </row>
    <row r="681" spans="1:3" x14ac:dyDescent="0.25">
      <c r="A681"/>
      <c r="C681" s="7" t="str">
        <f>IF(AND(B681=0,Data!B677&lt;&gt;0),"",B681)</f>
        <v/>
      </c>
    </row>
    <row r="682" spans="1:3" x14ac:dyDescent="0.25">
      <c r="A682"/>
      <c r="C682" s="7" t="str">
        <f>IF(AND(B682=0,Data!B678&lt;&gt;0),"",B682)</f>
        <v/>
      </c>
    </row>
    <row r="683" spans="1:3" x14ac:dyDescent="0.25">
      <c r="A683"/>
      <c r="C683" s="7" t="str">
        <f>IF(AND(B683=0,Data!B679&lt;&gt;0),"",B683)</f>
        <v/>
      </c>
    </row>
    <row r="684" spans="1:3" x14ac:dyDescent="0.25">
      <c r="A684"/>
      <c r="C684" s="7" t="str">
        <f>IF(AND(B684=0,Data!B680&lt;&gt;0),"",B684)</f>
        <v/>
      </c>
    </row>
    <row r="685" spans="1:3" x14ac:dyDescent="0.25">
      <c r="A685"/>
      <c r="C685" s="7" t="str">
        <f>IF(AND(B685=0,Data!B681&lt;&gt;0),"",B685)</f>
        <v/>
      </c>
    </row>
    <row r="686" spans="1:3" x14ac:dyDescent="0.25">
      <c r="A686"/>
      <c r="C686" s="7" t="str">
        <f>IF(AND(B686=0,Data!B682&lt;&gt;0),"",B686)</f>
        <v/>
      </c>
    </row>
    <row r="687" spans="1:3" x14ac:dyDescent="0.25">
      <c r="A687"/>
      <c r="C687" s="7" t="str">
        <f>IF(AND(B687=0,Data!B683&lt;&gt;0),"",B687)</f>
        <v/>
      </c>
    </row>
    <row r="688" spans="1:3" x14ac:dyDescent="0.25">
      <c r="A688"/>
      <c r="C688" s="7" t="str">
        <f>IF(AND(B688=0,Data!B684&lt;&gt;0),"",B688)</f>
        <v/>
      </c>
    </row>
    <row r="689" spans="1:3" x14ac:dyDescent="0.25">
      <c r="A689"/>
      <c r="C689" s="7" t="str">
        <f>IF(AND(B689=0,Data!B685&lt;&gt;0),"",B689)</f>
        <v/>
      </c>
    </row>
    <row r="690" spans="1:3" x14ac:dyDescent="0.25">
      <c r="A690"/>
      <c r="C690" s="7" t="str">
        <f>IF(AND(B690=0,Data!B686&lt;&gt;0),"",B690)</f>
        <v/>
      </c>
    </row>
    <row r="691" spans="1:3" x14ac:dyDescent="0.25">
      <c r="A691"/>
      <c r="C691" s="7" t="str">
        <f>IF(AND(B691=0,Data!B687&lt;&gt;0),"",B691)</f>
        <v/>
      </c>
    </row>
    <row r="692" spans="1:3" x14ac:dyDescent="0.25">
      <c r="A692"/>
      <c r="C692" s="7" t="str">
        <f>IF(AND(B692=0,Data!B688&lt;&gt;0),"",B692)</f>
        <v/>
      </c>
    </row>
    <row r="693" spans="1:3" x14ac:dyDescent="0.25">
      <c r="A693"/>
      <c r="C693" s="7" t="str">
        <f>IF(AND(B693=0,Data!B689&lt;&gt;0),"",B693)</f>
        <v/>
      </c>
    </row>
    <row r="694" spans="1:3" x14ac:dyDescent="0.25">
      <c r="A694"/>
      <c r="C694" s="7" t="str">
        <f>IF(AND(B694=0,Data!B690&lt;&gt;0),"",B694)</f>
        <v/>
      </c>
    </row>
    <row r="695" spans="1:3" x14ac:dyDescent="0.25">
      <c r="A695"/>
      <c r="C695" s="7" t="str">
        <f>IF(AND(B695=0,Data!B691&lt;&gt;0),"",B695)</f>
        <v/>
      </c>
    </row>
    <row r="696" spans="1:3" x14ac:dyDescent="0.25">
      <c r="A696"/>
      <c r="C696" s="7" t="str">
        <f>IF(AND(B696=0,Data!B692&lt;&gt;0),"",B696)</f>
        <v/>
      </c>
    </row>
    <row r="697" spans="1:3" x14ac:dyDescent="0.25">
      <c r="A697"/>
      <c r="C697" s="7" t="str">
        <f>IF(AND(B697=0,Data!B693&lt;&gt;0),"",B697)</f>
        <v/>
      </c>
    </row>
    <row r="698" spans="1:3" x14ac:dyDescent="0.25">
      <c r="A698"/>
      <c r="C698" s="7" t="str">
        <f>IF(AND(B698=0,Data!B694&lt;&gt;0),"",B698)</f>
        <v/>
      </c>
    </row>
    <row r="699" spans="1:3" x14ac:dyDescent="0.25">
      <c r="A699"/>
      <c r="C699" s="7" t="str">
        <f>IF(AND(B699=0,Data!B695&lt;&gt;0),"",B699)</f>
        <v/>
      </c>
    </row>
    <row r="700" spans="1:3" x14ac:dyDescent="0.25">
      <c r="A700"/>
      <c r="C700" s="7" t="str">
        <f>IF(AND(B700=0,Data!B696&lt;&gt;0),"",B700)</f>
        <v/>
      </c>
    </row>
    <row r="701" spans="1:3" x14ac:dyDescent="0.25">
      <c r="A701"/>
      <c r="C701" s="7" t="str">
        <f>IF(AND(B701=0,Data!B697&lt;&gt;0),"",B701)</f>
        <v/>
      </c>
    </row>
    <row r="702" spans="1:3" x14ac:dyDescent="0.25">
      <c r="A702"/>
      <c r="C702" s="7" t="str">
        <f>IF(AND(B702=0,Data!B698&lt;&gt;0),"",B702)</f>
        <v/>
      </c>
    </row>
    <row r="703" spans="1:3" x14ac:dyDescent="0.25">
      <c r="A703"/>
      <c r="C703" s="7" t="str">
        <f>IF(AND(B703=0,Data!B699&lt;&gt;0),"",B703)</f>
        <v/>
      </c>
    </row>
    <row r="704" spans="1:3" x14ac:dyDescent="0.25">
      <c r="A704"/>
      <c r="C704" s="7" t="str">
        <f>IF(AND(B704=0,Data!B700&lt;&gt;0),"",B704)</f>
        <v/>
      </c>
    </row>
    <row r="705" spans="1:3" x14ac:dyDescent="0.25">
      <c r="A705"/>
      <c r="C705" s="7" t="str">
        <f>IF(AND(B705=0,Data!B701&lt;&gt;0),"",B705)</f>
        <v/>
      </c>
    </row>
    <row r="706" spans="1:3" x14ac:dyDescent="0.25">
      <c r="A706"/>
      <c r="C706" s="7" t="str">
        <f>IF(AND(B706=0,Data!B702&lt;&gt;0),"",B706)</f>
        <v/>
      </c>
    </row>
    <row r="707" spans="1:3" x14ac:dyDescent="0.25">
      <c r="A707"/>
      <c r="C707" s="7" t="str">
        <f>IF(AND(B707=0,Data!B703&lt;&gt;0),"",B707)</f>
        <v/>
      </c>
    </row>
    <row r="708" spans="1:3" x14ac:dyDescent="0.25">
      <c r="A708"/>
      <c r="C708" s="7" t="str">
        <f>IF(AND(B708=0,Data!B704&lt;&gt;0),"",B708)</f>
        <v/>
      </c>
    </row>
    <row r="709" spans="1:3" x14ac:dyDescent="0.25">
      <c r="A709"/>
      <c r="C709" s="7" t="str">
        <f>IF(AND(B709=0,Data!B705&lt;&gt;0),"",B709)</f>
        <v/>
      </c>
    </row>
    <row r="710" spans="1:3" x14ac:dyDescent="0.25">
      <c r="A710"/>
      <c r="C710" s="7" t="str">
        <f>IF(AND(B710=0,Data!B706&lt;&gt;0),"",B710)</f>
        <v/>
      </c>
    </row>
    <row r="711" spans="1:3" x14ac:dyDescent="0.25">
      <c r="A711"/>
      <c r="C711" s="7" t="str">
        <f>IF(AND(B711=0,Data!B707&lt;&gt;0),"",B711)</f>
        <v/>
      </c>
    </row>
    <row r="712" spans="1:3" x14ac:dyDescent="0.25">
      <c r="A712"/>
      <c r="C712" s="7" t="str">
        <f>IF(AND(B712=0,Data!B708&lt;&gt;0),"",B712)</f>
        <v/>
      </c>
    </row>
    <row r="713" spans="1:3" x14ac:dyDescent="0.25">
      <c r="A713"/>
      <c r="C713" s="7" t="str">
        <f>IF(AND(B713=0,Data!B709&lt;&gt;0),"",B713)</f>
        <v/>
      </c>
    </row>
    <row r="714" spans="1:3" x14ac:dyDescent="0.25">
      <c r="A714"/>
      <c r="C714" s="7" t="str">
        <f>IF(AND(B714=0,Data!B710&lt;&gt;0),"",B714)</f>
        <v/>
      </c>
    </row>
    <row r="715" spans="1:3" x14ac:dyDescent="0.25">
      <c r="A715"/>
      <c r="C715" s="7" t="str">
        <f>IF(AND(B715=0,Data!B711&lt;&gt;0),"",B715)</f>
        <v/>
      </c>
    </row>
    <row r="716" spans="1:3" x14ac:dyDescent="0.25">
      <c r="A716"/>
      <c r="C716" s="7" t="str">
        <f>IF(AND(B716=0,Data!B712&lt;&gt;0),"",B716)</f>
        <v/>
      </c>
    </row>
    <row r="717" spans="1:3" x14ac:dyDescent="0.25">
      <c r="A717"/>
      <c r="C717" s="7" t="str">
        <f>IF(AND(B717=0,Data!B713&lt;&gt;0),"",B717)</f>
        <v/>
      </c>
    </row>
    <row r="718" spans="1:3" x14ac:dyDescent="0.25">
      <c r="A718"/>
      <c r="C718" s="7" t="str">
        <f>IF(AND(B718=0,Data!B714&lt;&gt;0),"",B718)</f>
        <v/>
      </c>
    </row>
    <row r="719" spans="1:3" x14ac:dyDescent="0.25">
      <c r="A719"/>
      <c r="C719" s="7" t="str">
        <f>IF(AND(B719=0,Data!B715&lt;&gt;0),"",B719)</f>
        <v/>
      </c>
    </row>
    <row r="720" spans="1:3" x14ac:dyDescent="0.25">
      <c r="A720"/>
      <c r="C720" s="7" t="str">
        <f>IF(AND(B720=0,Data!B716&lt;&gt;0),"",B720)</f>
        <v/>
      </c>
    </row>
    <row r="721" spans="1:3" x14ac:dyDescent="0.25">
      <c r="A721"/>
      <c r="C721" s="7" t="str">
        <f>IF(AND(B721=0,Data!B717&lt;&gt;0),"",B721)</f>
        <v/>
      </c>
    </row>
    <row r="722" spans="1:3" x14ac:dyDescent="0.25">
      <c r="A722"/>
      <c r="C722" s="7" t="str">
        <f>IF(AND(B722=0,Data!B718&lt;&gt;0),"",B722)</f>
        <v/>
      </c>
    </row>
    <row r="723" spans="1:3" x14ac:dyDescent="0.25">
      <c r="A723"/>
      <c r="C723" s="7" t="str">
        <f>IF(AND(B723=0,Data!B719&lt;&gt;0),"",B723)</f>
        <v/>
      </c>
    </row>
    <row r="724" spans="1:3" x14ac:dyDescent="0.25">
      <c r="A724"/>
      <c r="C724" s="7" t="str">
        <f>IF(AND(B724=0,Data!B720&lt;&gt;0),"",B724)</f>
        <v/>
      </c>
    </row>
    <row r="725" spans="1:3" x14ac:dyDescent="0.25">
      <c r="A725"/>
      <c r="C725" s="7" t="str">
        <f>IF(AND(B725=0,Data!B721&lt;&gt;0),"",B725)</f>
        <v/>
      </c>
    </row>
    <row r="726" spans="1:3" x14ac:dyDescent="0.25">
      <c r="A726"/>
      <c r="C726" s="7" t="str">
        <f>IF(AND(B726=0,Data!B722&lt;&gt;0),"",B726)</f>
        <v/>
      </c>
    </row>
    <row r="727" spans="1:3" x14ac:dyDescent="0.25">
      <c r="A727"/>
      <c r="C727" s="7" t="str">
        <f>IF(AND(B727=0,Data!B723&lt;&gt;0),"",B727)</f>
        <v/>
      </c>
    </row>
    <row r="728" spans="1:3" x14ac:dyDescent="0.25">
      <c r="A728"/>
      <c r="C728" s="7" t="str">
        <f>IF(AND(B728=0,Data!B724&lt;&gt;0),"",B728)</f>
        <v/>
      </c>
    </row>
    <row r="729" spans="1:3" x14ac:dyDescent="0.25">
      <c r="A729"/>
      <c r="C729" s="7" t="str">
        <f>IF(AND(B729=0,Data!B725&lt;&gt;0),"",B729)</f>
        <v/>
      </c>
    </row>
    <row r="730" spans="1:3" x14ac:dyDescent="0.25">
      <c r="A730"/>
      <c r="C730" s="7" t="str">
        <f>IF(AND(B730=0,Data!B726&lt;&gt;0),"",B730)</f>
        <v/>
      </c>
    </row>
    <row r="731" spans="1:3" x14ac:dyDescent="0.25">
      <c r="A731"/>
      <c r="C731" s="7" t="str">
        <f>IF(AND(B731=0,Data!B727&lt;&gt;0),"",B731)</f>
        <v/>
      </c>
    </row>
    <row r="732" spans="1:3" x14ac:dyDescent="0.25">
      <c r="A732"/>
      <c r="C732" s="7" t="str">
        <f>IF(AND(B732=0,Data!B728&lt;&gt;0),"",B732)</f>
        <v/>
      </c>
    </row>
    <row r="733" spans="1:3" x14ac:dyDescent="0.25">
      <c r="A733"/>
      <c r="C733" s="7" t="str">
        <f>IF(AND(B733=0,Data!B729&lt;&gt;0),"",B733)</f>
        <v/>
      </c>
    </row>
    <row r="734" spans="1:3" x14ac:dyDescent="0.25">
      <c r="A734"/>
      <c r="C734" s="7" t="str">
        <f>IF(AND(B734=0,Data!B730&lt;&gt;0),"",B734)</f>
        <v/>
      </c>
    </row>
    <row r="735" spans="1:3" x14ac:dyDescent="0.25">
      <c r="A735"/>
      <c r="C735" s="7" t="str">
        <f>IF(AND(B735=0,Data!B731&lt;&gt;0),"",B735)</f>
        <v/>
      </c>
    </row>
    <row r="736" spans="1:3" x14ac:dyDescent="0.25">
      <c r="A736"/>
      <c r="C736" s="7" t="str">
        <f>IF(AND(B736=0,Data!B732&lt;&gt;0),"",B736)</f>
        <v/>
      </c>
    </row>
    <row r="737" spans="1:3" x14ac:dyDescent="0.25">
      <c r="A737"/>
      <c r="C737" s="7" t="str">
        <f>IF(AND(B737=0,Data!B733&lt;&gt;0),"",B737)</f>
        <v/>
      </c>
    </row>
    <row r="738" spans="1:3" x14ac:dyDescent="0.25">
      <c r="A738"/>
      <c r="C738" s="7" t="str">
        <f>IF(AND(B738=0,Data!B734&lt;&gt;0),"",B738)</f>
        <v/>
      </c>
    </row>
    <row r="739" spans="1:3" x14ac:dyDescent="0.25">
      <c r="A739"/>
      <c r="C739" s="7" t="str">
        <f>IF(AND(B739=0,Data!B735&lt;&gt;0),"",B739)</f>
        <v/>
      </c>
    </row>
    <row r="740" spans="1:3" x14ac:dyDescent="0.25">
      <c r="A740"/>
      <c r="C740" s="7" t="str">
        <f>IF(AND(B740=0,Data!B736&lt;&gt;0),"",B740)</f>
        <v/>
      </c>
    </row>
    <row r="741" spans="1:3" x14ac:dyDescent="0.25">
      <c r="A741"/>
      <c r="C741" s="7" t="str">
        <f>IF(AND(B741=0,Data!B737&lt;&gt;0),"",B741)</f>
        <v/>
      </c>
    </row>
    <row r="742" spans="1:3" x14ac:dyDescent="0.25">
      <c r="A742"/>
      <c r="C742" s="7" t="str">
        <f>IF(AND(B742=0,Data!B738&lt;&gt;0),"",B742)</f>
        <v/>
      </c>
    </row>
    <row r="743" spans="1:3" x14ac:dyDescent="0.25">
      <c r="A743"/>
      <c r="C743" s="7" t="str">
        <f>IF(AND(B743=0,Data!B739&lt;&gt;0),"",B743)</f>
        <v/>
      </c>
    </row>
    <row r="744" spans="1:3" x14ac:dyDescent="0.25">
      <c r="A744"/>
      <c r="C744" s="7" t="str">
        <f>IF(AND(B744=0,Data!B740&lt;&gt;0),"",B744)</f>
        <v/>
      </c>
    </row>
    <row r="745" spans="1:3" x14ac:dyDescent="0.25">
      <c r="A745"/>
      <c r="C745" s="7" t="str">
        <f>IF(AND(B745=0,Data!B741&lt;&gt;0),"",B745)</f>
        <v/>
      </c>
    </row>
    <row r="746" spans="1:3" x14ac:dyDescent="0.25">
      <c r="A746"/>
      <c r="C746" s="7" t="str">
        <f>IF(AND(B746=0,Data!B742&lt;&gt;0),"",B746)</f>
        <v/>
      </c>
    </row>
    <row r="747" spans="1:3" x14ac:dyDescent="0.25">
      <c r="A747"/>
      <c r="C747" s="7" t="str">
        <f>IF(AND(B747=0,Data!B743&lt;&gt;0),"",B747)</f>
        <v/>
      </c>
    </row>
    <row r="748" spans="1:3" x14ac:dyDescent="0.25">
      <c r="A748"/>
      <c r="C748" s="7" t="str">
        <f>IF(AND(B748=0,Data!B744&lt;&gt;0),"",B748)</f>
        <v/>
      </c>
    </row>
    <row r="749" spans="1:3" x14ac:dyDescent="0.25">
      <c r="A749"/>
      <c r="C749" s="7" t="str">
        <f>IF(AND(B749=0,Data!B745&lt;&gt;0),"",B749)</f>
        <v/>
      </c>
    </row>
    <row r="750" spans="1:3" x14ac:dyDescent="0.25">
      <c r="A750"/>
      <c r="C750" s="7" t="str">
        <f>IF(AND(B750=0,Data!B746&lt;&gt;0),"",B750)</f>
        <v/>
      </c>
    </row>
    <row r="751" spans="1:3" x14ac:dyDescent="0.25">
      <c r="A751"/>
      <c r="C751" s="7" t="str">
        <f>IF(AND(B751=0,Data!B747&lt;&gt;0),"",B751)</f>
        <v/>
      </c>
    </row>
    <row r="752" spans="1:3" x14ac:dyDescent="0.25">
      <c r="A752"/>
      <c r="C752" s="7" t="str">
        <f>IF(AND(B752=0,Data!B748&lt;&gt;0),"",B752)</f>
        <v/>
      </c>
    </row>
    <row r="753" spans="1:3" x14ac:dyDescent="0.25">
      <c r="A753"/>
      <c r="C753" s="7" t="str">
        <f>IF(AND(B753=0,Data!B749&lt;&gt;0),"",B753)</f>
        <v/>
      </c>
    </row>
    <row r="754" spans="1:3" x14ac:dyDescent="0.25">
      <c r="A754"/>
      <c r="C754" s="7" t="str">
        <f>IF(AND(B754=0,Data!B750&lt;&gt;0),"",B754)</f>
        <v/>
      </c>
    </row>
    <row r="755" spans="1:3" x14ac:dyDescent="0.25">
      <c r="A755"/>
      <c r="C755" s="7" t="str">
        <f>IF(AND(B755=0,Data!B751&lt;&gt;0),"",B755)</f>
        <v/>
      </c>
    </row>
    <row r="756" spans="1:3" x14ac:dyDescent="0.25">
      <c r="A756"/>
      <c r="C756" s="7" t="str">
        <f>IF(AND(B756=0,Data!B752&lt;&gt;0),"",B756)</f>
        <v/>
      </c>
    </row>
    <row r="757" spans="1:3" x14ac:dyDescent="0.25">
      <c r="A757"/>
      <c r="C757" s="7" t="str">
        <f>IF(AND(B757=0,Data!B753&lt;&gt;0),"",B757)</f>
        <v/>
      </c>
    </row>
    <row r="758" spans="1:3" x14ac:dyDescent="0.25">
      <c r="A758"/>
      <c r="C758" s="7" t="str">
        <f>IF(AND(B758=0,Data!B754&lt;&gt;0),"",B758)</f>
        <v/>
      </c>
    </row>
    <row r="759" spans="1:3" x14ac:dyDescent="0.25">
      <c r="A759"/>
      <c r="C759" s="7" t="str">
        <f>IF(AND(B759=0,Data!B755&lt;&gt;0),"",B759)</f>
        <v/>
      </c>
    </row>
    <row r="760" spans="1:3" x14ac:dyDescent="0.25">
      <c r="A760"/>
      <c r="C760" s="7" t="str">
        <f>IF(AND(B760=0,Data!B756&lt;&gt;0),"",B760)</f>
        <v/>
      </c>
    </row>
    <row r="761" spans="1:3" x14ac:dyDescent="0.25">
      <c r="A761"/>
      <c r="C761" s="7" t="str">
        <f>IF(AND(B761=0,Data!B757&lt;&gt;0),"",B761)</f>
        <v/>
      </c>
    </row>
    <row r="762" spans="1:3" x14ac:dyDescent="0.25">
      <c r="A762"/>
      <c r="C762" s="7" t="str">
        <f>IF(AND(B762=0,Data!B758&lt;&gt;0),"",B762)</f>
        <v/>
      </c>
    </row>
    <row r="763" spans="1:3" x14ac:dyDescent="0.25">
      <c r="A763"/>
      <c r="C763" s="7" t="str">
        <f>IF(AND(B763=0,Data!B759&lt;&gt;0),"",B763)</f>
        <v/>
      </c>
    </row>
    <row r="764" spans="1:3" x14ac:dyDescent="0.25">
      <c r="A764"/>
      <c r="C764" s="7" t="str">
        <f>IF(AND(B764=0,Data!B760&lt;&gt;0),"",B764)</f>
        <v/>
      </c>
    </row>
    <row r="765" spans="1:3" x14ac:dyDescent="0.25">
      <c r="A765"/>
      <c r="C765" s="7" t="str">
        <f>IF(AND(B765=0,Data!B761&lt;&gt;0),"",B765)</f>
        <v/>
      </c>
    </row>
    <row r="766" spans="1:3" x14ac:dyDescent="0.25">
      <c r="A766"/>
      <c r="C766" s="7" t="str">
        <f>IF(AND(B766=0,Data!B762&lt;&gt;0),"",B766)</f>
        <v/>
      </c>
    </row>
    <row r="767" spans="1:3" x14ac:dyDescent="0.25">
      <c r="A767"/>
      <c r="C767" s="7" t="str">
        <f>IF(AND(B767=0,Data!B763&lt;&gt;0),"",B767)</f>
        <v/>
      </c>
    </row>
    <row r="768" spans="1:3" x14ac:dyDescent="0.25">
      <c r="A768"/>
      <c r="C768" s="7" t="str">
        <f>IF(AND(B768=0,Data!B764&lt;&gt;0),"",B768)</f>
        <v/>
      </c>
    </row>
    <row r="769" spans="1:3" x14ac:dyDescent="0.25">
      <c r="A769"/>
      <c r="C769" s="7" t="str">
        <f>IF(AND(B769=0,Data!B765&lt;&gt;0),"",B769)</f>
        <v/>
      </c>
    </row>
    <row r="770" spans="1:3" x14ac:dyDescent="0.25">
      <c r="A770"/>
      <c r="C770" s="7" t="str">
        <f>IF(AND(B770=0,Data!B766&lt;&gt;0),"",B770)</f>
        <v/>
      </c>
    </row>
    <row r="771" spans="1:3" x14ac:dyDescent="0.25">
      <c r="A771"/>
      <c r="C771" s="7" t="str">
        <f>IF(AND(B771=0,Data!B767&lt;&gt;0),"",B771)</f>
        <v/>
      </c>
    </row>
    <row r="772" spans="1:3" x14ac:dyDescent="0.25">
      <c r="A772"/>
      <c r="C772" s="7" t="str">
        <f>IF(AND(B772=0,Data!B768&lt;&gt;0),"",B772)</f>
        <v/>
      </c>
    </row>
    <row r="773" spans="1:3" x14ac:dyDescent="0.25">
      <c r="A773"/>
      <c r="C773" s="7" t="str">
        <f>IF(AND(B773=0,Data!B769&lt;&gt;0),"",B773)</f>
        <v/>
      </c>
    </row>
    <row r="774" spans="1:3" x14ac:dyDescent="0.25">
      <c r="A774"/>
      <c r="C774" s="7" t="str">
        <f>IF(AND(B774=0,Data!B770&lt;&gt;0),"",B774)</f>
        <v/>
      </c>
    </row>
    <row r="775" spans="1:3" x14ac:dyDescent="0.25">
      <c r="A775"/>
      <c r="C775" s="7" t="str">
        <f>IF(AND(B775=0,Data!B771&lt;&gt;0),"",B775)</f>
        <v/>
      </c>
    </row>
    <row r="776" spans="1:3" x14ac:dyDescent="0.25">
      <c r="A776"/>
      <c r="C776" s="7" t="str">
        <f>IF(AND(B776=0,Data!B772&lt;&gt;0),"",B776)</f>
        <v/>
      </c>
    </row>
    <row r="777" spans="1:3" x14ac:dyDescent="0.25">
      <c r="A777"/>
      <c r="C777" s="7" t="str">
        <f>IF(AND(B777=0,Data!B773&lt;&gt;0),"",B777)</f>
        <v/>
      </c>
    </row>
    <row r="778" spans="1:3" x14ac:dyDescent="0.25">
      <c r="A778"/>
      <c r="C778" s="7" t="str">
        <f>IF(AND(B778=0,Data!B774&lt;&gt;0),"",B778)</f>
        <v/>
      </c>
    </row>
    <row r="779" spans="1:3" x14ac:dyDescent="0.25">
      <c r="A779"/>
      <c r="C779" s="7" t="str">
        <f>IF(AND(B779=0,Data!B775&lt;&gt;0),"",B779)</f>
        <v/>
      </c>
    </row>
    <row r="780" spans="1:3" x14ac:dyDescent="0.25">
      <c r="A780"/>
      <c r="C780" s="7" t="str">
        <f>IF(AND(B780=0,Data!B776&lt;&gt;0),"",B780)</f>
        <v/>
      </c>
    </row>
    <row r="781" spans="1:3" x14ac:dyDescent="0.25">
      <c r="A781"/>
      <c r="C781" s="7" t="str">
        <f>IF(AND(B781=0,Data!B777&lt;&gt;0),"",B781)</f>
        <v/>
      </c>
    </row>
    <row r="782" spans="1:3" x14ac:dyDescent="0.25">
      <c r="A782"/>
      <c r="C782" s="7" t="str">
        <f>IF(AND(B782=0,Data!B778&lt;&gt;0),"",B782)</f>
        <v/>
      </c>
    </row>
    <row r="783" spans="1:3" x14ac:dyDescent="0.25">
      <c r="A783"/>
      <c r="C783" s="7" t="str">
        <f>IF(AND(B783=0,Data!B779&lt;&gt;0),"",B783)</f>
        <v/>
      </c>
    </row>
    <row r="784" spans="1:3" x14ac:dyDescent="0.25">
      <c r="A784"/>
      <c r="C784" s="7" t="str">
        <f>IF(AND(B784=0,Data!B780&lt;&gt;0),"",B784)</f>
        <v/>
      </c>
    </row>
    <row r="785" spans="1:3" x14ac:dyDescent="0.25">
      <c r="A785"/>
      <c r="C785" s="7" t="str">
        <f>IF(AND(B785=0,Data!B781&lt;&gt;0),"",B785)</f>
        <v/>
      </c>
    </row>
    <row r="786" spans="1:3" x14ac:dyDescent="0.25">
      <c r="A786"/>
      <c r="C786" s="7" t="str">
        <f>IF(AND(B786=0,Data!B782&lt;&gt;0),"",B786)</f>
        <v/>
      </c>
    </row>
    <row r="787" spans="1:3" x14ac:dyDescent="0.25">
      <c r="A787"/>
      <c r="C787" s="7" t="str">
        <f>IF(AND(B787=0,Data!B783&lt;&gt;0),"",B787)</f>
        <v/>
      </c>
    </row>
    <row r="788" spans="1:3" x14ac:dyDescent="0.25">
      <c r="A788"/>
      <c r="C788" s="7" t="str">
        <f>IF(AND(B788=0,Data!B784&lt;&gt;0),"",B788)</f>
        <v/>
      </c>
    </row>
    <row r="789" spans="1:3" x14ac:dyDescent="0.25">
      <c r="A789"/>
      <c r="C789" s="7" t="str">
        <f>IF(AND(B789=0,Data!B785&lt;&gt;0),"",B789)</f>
        <v/>
      </c>
    </row>
    <row r="790" spans="1:3" x14ac:dyDescent="0.25">
      <c r="A790"/>
      <c r="C790" s="7" t="str">
        <f>IF(AND(B790=0,Data!B786&lt;&gt;0),"",B790)</f>
        <v/>
      </c>
    </row>
    <row r="791" spans="1:3" x14ac:dyDescent="0.25">
      <c r="A791"/>
      <c r="C791" s="7" t="str">
        <f>IF(AND(B791=0,Data!B787&lt;&gt;0),"",B791)</f>
        <v/>
      </c>
    </row>
    <row r="792" spans="1:3" x14ac:dyDescent="0.25">
      <c r="A792"/>
      <c r="C792" s="7" t="str">
        <f>IF(AND(B792=0,Data!B788&lt;&gt;0),"",B792)</f>
        <v/>
      </c>
    </row>
    <row r="793" spans="1:3" x14ac:dyDescent="0.25">
      <c r="A793"/>
      <c r="C793" s="7" t="str">
        <f>IF(AND(B793=0,Data!B789&lt;&gt;0),"",B793)</f>
        <v/>
      </c>
    </row>
    <row r="794" spans="1:3" x14ac:dyDescent="0.25">
      <c r="A794"/>
      <c r="C794" s="7" t="str">
        <f>IF(AND(B794=0,Data!B790&lt;&gt;0),"",B794)</f>
        <v/>
      </c>
    </row>
    <row r="795" spans="1:3" x14ac:dyDescent="0.25">
      <c r="A795"/>
      <c r="C795" s="7" t="str">
        <f>IF(AND(B795=0,Data!B791&lt;&gt;0),"",B795)</f>
        <v/>
      </c>
    </row>
    <row r="796" spans="1:3" x14ac:dyDescent="0.25">
      <c r="A796"/>
      <c r="C796" s="7" t="str">
        <f>IF(AND(B796=0,Data!B792&lt;&gt;0),"",B796)</f>
        <v/>
      </c>
    </row>
    <row r="797" spans="1:3" x14ac:dyDescent="0.25">
      <c r="A797"/>
      <c r="C797" s="7" t="str">
        <f>IF(AND(B797=0,Data!B793&lt;&gt;0),"",B797)</f>
        <v/>
      </c>
    </row>
    <row r="798" spans="1:3" x14ac:dyDescent="0.25">
      <c r="A798"/>
      <c r="C798" s="7" t="str">
        <f>IF(AND(B798=0,Data!B794&lt;&gt;0),"",B798)</f>
        <v/>
      </c>
    </row>
    <row r="799" spans="1:3" x14ac:dyDescent="0.25">
      <c r="A799"/>
      <c r="C799" s="7" t="str">
        <f>IF(AND(B799=0,Data!B795&lt;&gt;0),"",B799)</f>
        <v/>
      </c>
    </row>
    <row r="800" spans="1:3" x14ac:dyDescent="0.25">
      <c r="A800"/>
      <c r="C800" s="7" t="str">
        <f>IF(AND(B800=0,Data!B796&lt;&gt;0),"",B800)</f>
        <v/>
      </c>
    </row>
    <row r="801" spans="1:3" x14ac:dyDescent="0.25">
      <c r="A801"/>
      <c r="C801" s="7" t="str">
        <f>IF(AND(B801=0,Data!B797&lt;&gt;0),"",B801)</f>
        <v/>
      </c>
    </row>
    <row r="802" spans="1:3" x14ac:dyDescent="0.25">
      <c r="A802"/>
      <c r="C802" s="7" t="str">
        <f>IF(AND(B802=0,Data!B798&lt;&gt;0),"",B802)</f>
        <v/>
      </c>
    </row>
    <row r="803" spans="1:3" x14ac:dyDescent="0.25">
      <c r="A803"/>
      <c r="C803" s="7" t="str">
        <f>IF(AND(B803=0,Data!B799&lt;&gt;0),"",B803)</f>
        <v/>
      </c>
    </row>
    <row r="804" spans="1:3" x14ac:dyDescent="0.25">
      <c r="A804"/>
      <c r="C804" s="7" t="str">
        <f>IF(AND(B804=0,Data!B800&lt;&gt;0),"",B804)</f>
        <v/>
      </c>
    </row>
    <row r="805" spans="1:3" x14ac:dyDescent="0.25">
      <c r="A805"/>
      <c r="C805" s="7" t="str">
        <f>IF(AND(B805=0,Data!B801&lt;&gt;0),"",B805)</f>
        <v/>
      </c>
    </row>
    <row r="806" spans="1:3" x14ac:dyDescent="0.25">
      <c r="A806"/>
      <c r="C806" s="7" t="str">
        <f>IF(AND(B806=0,Data!B802&lt;&gt;0),"",B806)</f>
        <v/>
      </c>
    </row>
    <row r="807" spans="1:3" x14ac:dyDescent="0.25">
      <c r="A807"/>
      <c r="C807" s="7" t="str">
        <f>IF(AND(B807=0,Data!B803&lt;&gt;0),"",B807)</f>
        <v/>
      </c>
    </row>
    <row r="808" spans="1:3" x14ac:dyDescent="0.25">
      <c r="A808"/>
      <c r="C808" s="7" t="str">
        <f>IF(AND(B808=0,Data!B804&lt;&gt;0),"",B808)</f>
        <v/>
      </c>
    </row>
    <row r="809" spans="1:3" x14ac:dyDescent="0.25">
      <c r="A809"/>
      <c r="C809" s="7" t="str">
        <f>IF(AND(B809=0,Data!B805&lt;&gt;0),"",B809)</f>
        <v/>
      </c>
    </row>
    <row r="810" spans="1:3" x14ac:dyDescent="0.25">
      <c r="A810"/>
      <c r="C810" s="7" t="str">
        <f>IF(AND(B810=0,Data!B806&lt;&gt;0),"",B810)</f>
        <v/>
      </c>
    </row>
    <row r="811" spans="1:3" x14ac:dyDescent="0.25">
      <c r="A811"/>
      <c r="C811" s="7" t="str">
        <f>IF(AND(B811=0,Data!B807&lt;&gt;0),"",B811)</f>
        <v/>
      </c>
    </row>
    <row r="812" spans="1:3" x14ac:dyDescent="0.25">
      <c r="A812"/>
      <c r="C812" s="7" t="str">
        <f>IF(AND(B812=0,Data!B808&lt;&gt;0),"",B812)</f>
        <v/>
      </c>
    </row>
    <row r="813" spans="1:3" x14ac:dyDescent="0.25">
      <c r="A813"/>
      <c r="C813" s="7" t="str">
        <f>IF(AND(B813=0,Data!B809&lt;&gt;0),"",B813)</f>
        <v/>
      </c>
    </row>
    <row r="814" spans="1:3" x14ac:dyDescent="0.25">
      <c r="A814"/>
      <c r="C814" s="7" t="str">
        <f>IF(AND(B814=0,Data!B810&lt;&gt;0),"",B814)</f>
        <v/>
      </c>
    </row>
    <row r="815" spans="1:3" x14ac:dyDescent="0.25">
      <c r="A815"/>
      <c r="C815" s="7" t="str">
        <f>IF(AND(B815=0,Data!B811&lt;&gt;0),"",B815)</f>
        <v/>
      </c>
    </row>
    <row r="816" spans="1:3" x14ac:dyDescent="0.25">
      <c r="A816"/>
      <c r="C816" s="7" t="str">
        <f>IF(AND(B816=0,Data!B812&lt;&gt;0),"",B816)</f>
        <v/>
      </c>
    </row>
    <row r="817" spans="1:3" x14ac:dyDescent="0.25">
      <c r="A817"/>
      <c r="C817" s="7" t="str">
        <f>IF(AND(B817=0,Data!B813&lt;&gt;0),"",B817)</f>
        <v/>
      </c>
    </row>
    <row r="818" spans="1:3" x14ac:dyDescent="0.25">
      <c r="A818"/>
      <c r="C818" s="7" t="str">
        <f>IF(AND(B818=0,Data!B814&lt;&gt;0),"",B818)</f>
        <v/>
      </c>
    </row>
    <row r="819" spans="1:3" x14ac:dyDescent="0.25">
      <c r="A819"/>
      <c r="C819" s="7" t="str">
        <f>IF(AND(B819=0,Data!B815&lt;&gt;0),"",B819)</f>
        <v/>
      </c>
    </row>
    <row r="820" spans="1:3" x14ac:dyDescent="0.25">
      <c r="A820"/>
      <c r="C820" s="7" t="str">
        <f>IF(AND(B820=0,Data!B816&lt;&gt;0),"",B820)</f>
        <v/>
      </c>
    </row>
    <row r="821" spans="1:3" x14ac:dyDescent="0.25">
      <c r="A821"/>
      <c r="C821" s="7" t="str">
        <f>IF(AND(B821=0,Data!B817&lt;&gt;0),"",B821)</f>
        <v/>
      </c>
    </row>
    <row r="822" spans="1:3" x14ac:dyDescent="0.25">
      <c r="A822"/>
      <c r="C822" s="7" t="str">
        <f>IF(AND(B822=0,Data!B818&lt;&gt;0),"",B822)</f>
        <v/>
      </c>
    </row>
    <row r="823" spans="1:3" x14ac:dyDescent="0.25">
      <c r="A823"/>
      <c r="C823" s="7" t="str">
        <f>IF(AND(B823=0,Data!B819&lt;&gt;0),"",B823)</f>
        <v/>
      </c>
    </row>
    <row r="824" spans="1:3" x14ac:dyDescent="0.25">
      <c r="A824"/>
      <c r="C824" s="7" t="str">
        <f>IF(AND(B824=0,Data!B820&lt;&gt;0),"",B824)</f>
        <v/>
      </c>
    </row>
    <row r="825" spans="1:3" x14ac:dyDescent="0.25">
      <c r="A825"/>
      <c r="C825" s="7" t="str">
        <f>IF(AND(B825=0,Data!B821&lt;&gt;0),"",B825)</f>
        <v/>
      </c>
    </row>
    <row r="826" spans="1:3" x14ac:dyDescent="0.25">
      <c r="A826"/>
      <c r="C826" s="7" t="str">
        <f>IF(AND(B826=0,Data!B822&lt;&gt;0),"",B826)</f>
        <v/>
      </c>
    </row>
    <row r="827" spans="1:3" x14ac:dyDescent="0.25">
      <c r="A827"/>
      <c r="C827" s="7" t="str">
        <f>IF(AND(B827=0,Data!B823&lt;&gt;0),"",B827)</f>
        <v/>
      </c>
    </row>
    <row r="828" spans="1:3" x14ac:dyDescent="0.25">
      <c r="A828"/>
      <c r="C828" s="7" t="str">
        <f>IF(AND(B828=0,Data!B824&lt;&gt;0),"",B828)</f>
        <v/>
      </c>
    </row>
    <row r="829" spans="1:3" x14ac:dyDescent="0.25">
      <c r="A829"/>
      <c r="C829" s="7" t="str">
        <f>IF(AND(B829=0,Data!B825&lt;&gt;0),"",B829)</f>
        <v/>
      </c>
    </row>
    <row r="830" spans="1:3" x14ac:dyDescent="0.25">
      <c r="A830"/>
      <c r="C830" s="7" t="str">
        <f>IF(AND(B830=0,Data!B826&lt;&gt;0),"",B830)</f>
        <v/>
      </c>
    </row>
    <row r="831" spans="1:3" x14ac:dyDescent="0.25">
      <c r="A831"/>
      <c r="C831" s="7" t="str">
        <f>IF(AND(B831=0,Data!B827&lt;&gt;0),"",B831)</f>
        <v/>
      </c>
    </row>
    <row r="832" spans="1:3" x14ac:dyDescent="0.25">
      <c r="A832"/>
      <c r="C832" s="7" t="str">
        <f>IF(AND(B832=0,Data!B828&lt;&gt;0),"",B832)</f>
        <v/>
      </c>
    </row>
    <row r="833" spans="1:3" x14ac:dyDescent="0.25">
      <c r="A833"/>
      <c r="C833" s="7" t="str">
        <f>IF(AND(B833=0,Data!B829&lt;&gt;0),"",B833)</f>
        <v/>
      </c>
    </row>
    <row r="834" spans="1:3" x14ac:dyDescent="0.25">
      <c r="A834"/>
      <c r="C834" s="7" t="str">
        <f>IF(AND(B834=0,Data!B830&lt;&gt;0),"",B834)</f>
        <v/>
      </c>
    </row>
    <row r="835" spans="1:3" x14ac:dyDescent="0.25">
      <c r="A835"/>
      <c r="C835" s="7" t="str">
        <f>IF(AND(B835=0,Data!B831&lt;&gt;0),"",B835)</f>
        <v/>
      </c>
    </row>
    <row r="836" spans="1:3" x14ac:dyDescent="0.25">
      <c r="A836"/>
      <c r="C836" s="7" t="str">
        <f>IF(AND(B836=0,Data!B832&lt;&gt;0),"",B836)</f>
        <v/>
      </c>
    </row>
    <row r="837" spans="1:3" x14ac:dyDescent="0.25">
      <c r="A837"/>
      <c r="C837" s="7" t="str">
        <f>IF(AND(B837=0,Data!B833&lt;&gt;0),"",B837)</f>
        <v/>
      </c>
    </row>
    <row r="838" spans="1:3" x14ac:dyDescent="0.25">
      <c r="A838"/>
      <c r="C838" s="7" t="str">
        <f>IF(AND(B838=0,Data!B834&lt;&gt;0),"",B838)</f>
        <v/>
      </c>
    </row>
    <row r="839" spans="1:3" x14ac:dyDescent="0.25">
      <c r="A839"/>
      <c r="C839" s="7" t="str">
        <f>IF(AND(B839=0,Data!B835&lt;&gt;0),"",B839)</f>
        <v/>
      </c>
    </row>
    <row r="840" spans="1:3" x14ac:dyDescent="0.25">
      <c r="A840"/>
      <c r="C840" s="7" t="str">
        <f>IF(AND(B840=0,Data!B836&lt;&gt;0),"",B840)</f>
        <v/>
      </c>
    </row>
    <row r="841" spans="1:3" x14ac:dyDescent="0.25">
      <c r="A841"/>
      <c r="C841" s="7" t="str">
        <f>IF(AND(B841=0,Data!B837&lt;&gt;0),"",B841)</f>
        <v/>
      </c>
    </row>
    <row r="842" spans="1:3" x14ac:dyDescent="0.25">
      <c r="A842"/>
      <c r="C842" s="7" t="str">
        <f>IF(AND(B842=0,Data!B838&lt;&gt;0),"",B842)</f>
        <v/>
      </c>
    </row>
    <row r="843" spans="1:3" x14ac:dyDescent="0.25">
      <c r="A843"/>
      <c r="C843" s="7" t="str">
        <f>IF(AND(B843=0,Data!B839&lt;&gt;0),"",B843)</f>
        <v/>
      </c>
    </row>
    <row r="844" spans="1:3" x14ac:dyDescent="0.25">
      <c r="A844"/>
      <c r="C844" s="7" t="str">
        <f>IF(AND(B844=0,Data!B840&lt;&gt;0),"",B844)</f>
        <v/>
      </c>
    </row>
    <row r="845" spans="1:3" x14ac:dyDescent="0.25">
      <c r="A845"/>
      <c r="C845" s="7" t="str">
        <f>IF(AND(B845=0,Data!B841&lt;&gt;0),"",B845)</f>
        <v/>
      </c>
    </row>
    <row r="846" spans="1:3" x14ac:dyDescent="0.25">
      <c r="A846"/>
      <c r="C846" s="7" t="str">
        <f>IF(AND(B846=0,Data!B842&lt;&gt;0),"",B846)</f>
        <v/>
      </c>
    </row>
    <row r="847" spans="1:3" x14ac:dyDescent="0.25">
      <c r="A847"/>
      <c r="C847" s="7" t="str">
        <f>IF(AND(B847=0,Data!B843&lt;&gt;0),"",B847)</f>
        <v/>
      </c>
    </row>
    <row r="848" spans="1:3" x14ac:dyDescent="0.25">
      <c r="A848"/>
      <c r="C848" s="7" t="str">
        <f>IF(AND(B848=0,Data!B844&lt;&gt;0),"",B848)</f>
        <v/>
      </c>
    </row>
    <row r="849" spans="1:3" x14ac:dyDescent="0.25">
      <c r="A849"/>
      <c r="C849" s="7" t="str">
        <f>IF(AND(B849=0,Data!B845&lt;&gt;0),"",B849)</f>
        <v/>
      </c>
    </row>
    <row r="850" spans="1:3" x14ac:dyDescent="0.25">
      <c r="A850"/>
      <c r="C850" s="7" t="str">
        <f>IF(AND(B850=0,Data!B846&lt;&gt;0),"",B850)</f>
        <v/>
      </c>
    </row>
    <row r="851" spans="1:3" x14ac:dyDescent="0.25">
      <c r="A851"/>
      <c r="C851" s="7" t="str">
        <f>IF(AND(B851=0,Data!B847&lt;&gt;0),"",B851)</f>
        <v/>
      </c>
    </row>
    <row r="852" spans="1:3" x14ac:dyDescent="0.25">
      <c r="A852"/>
      <c r="C852" s="7" t="str">
        <f>IF(AND(B852=0,Data!B848&lt;&gt;0),"",B852)</f>
        <v/>
      </c>
    </row>
    <row r="853" spans="1:3" x14ac:dyDescent="0.25">
      <c r="A853"/>
      <c r="C853" s="7" t="str">
        <f>IF(AND(B853=0,Data!B849&lt;&gt;0),"",B853)</f>
        <v/>
      </c>
    </row>
    <row r="854" spans="1:3" x14ac:dyDescent="0.25">
      <c r="A854"/>
      <c r="C854" s="7" t="str">
        <f>IF(AND(B854=0,Data!B850&lt;&gt;0),"",B854)</f>
        <v/>
      </c>
    </row>
    <row r="855" spans="1:3" x14ac:dyDescent="0.25">
      <c r="A855"/>
      <c r="C855" s="7" t="str">
        <f>IF(AND(B855=0,Data!B851&lt;&gt;0),"",B855)</f>
        <v/>
      </c>
    </row>
    <row r="856" spans="1:3" x14ac:dyDescent="0.25">
      <c r="A856"/>
      <c r="C856" s="7" t="str">
        <f>IF(AND(B856=0,Data!B852&lt;&gt;0),"",B856)</f>
        <v/>
      </c>
    </row>
    <row r="857" spans="1:3" x14ac:dyDescent="0.25">
      <c r="A857"/>
      <c r="C857" s="7" t="str">
        <f>IF(AND(B857=0,Data!B853&lt;&gt;0),"",B857)</f>
        <v/>
      </c>
    </row>
    <row r="858" spans="1:3" x14ac:dyDescent="0.25">
      <c r="A858"/>
      <c r="C858" s="7" t="str">
        <f>IF(AND(B858=0,Data!B854&lt;&gt;0),"",B858)</f>
        <v/>
      </c>
    </row>
    <row r="859" spans="1:3" x14ac:dyDescent="0.25">
      <c r="A859"/>
      <c r="C859" s="7" t="str">
        <f>IF(AND(B859=0,Data!B855&lt;&gt;0),"",B859)</f>
        <v/>
      </c>
    </row>
    <row r="860" spans="1:3" x14ac:dyDescent="0.25">
      <c r="A860"/>
      <c r="C860" s="7" t="str">
        <f>IF(AND(B860=0,Data!B856&lt;&gt;0),"",B860)</f>
        <v/>
      </c>
    </row>
    <row r="861" spans="1:3" x14ac:dyDescent="0.25">
      <c r="A861"/>
      <c r="C861" s="7" t="str">
        <f>IF(AND(B861=0,Data!B857&lt;&gt;0),"",B861)</f>
        <v/>
      </c>
    </row>
    <row r="862" spans="1:3" x14ac:dyDescent="0.25">
      <c r="A862"/>
      <c r="C862" s="7" t="str">
        <f>IF(AND(B862=0,Data!B858&lt;&gt;0),"",B862)</f>
        <v/>
      </c>
    </row>
    <row r="863" spans="1:3" x14ac:dyDescent="0.25">
      <c r="A863"/>
      <c r="C863" s="7" t="str">
        <f>IF(AND(B863=0,Data!B859&lt;&gt;0),"",B863)</f>
        <v/>
      </c>
    </row>
    <row r="864" spans="1:3" x14ac:dyDescent="0.25">
      <c r="A864"/>
      <c r="C864" s="7" t="str">
        <f>IF(AND(B864=0,Data!B860&lt;&gt;0),"",B864)</f>
        <v/>
      </c>
    </row>
    <row r="865" spans="1:3" x14ac:dyDescent="0.25">
      <c r="A865"/>
      <c r="C865" s="7" t="str">
        <f>IF(AND(B865=0,Data!B861&lt;&gt;0),"",B865)</f>
        <v/>
      </c>
    </row>
    <row r="866" spans="1:3" x14ac:dyDescent="0.25">
      <c r="A866"/>
      <c r="C866" s="7" t="str">
        <f>IF(AND(B866=0,Data!B862&lt;&gt;0),"",B866)</f>
        <v/>
      </c>
    </row>
    <row r="867" spans="1:3" x14ac:dyDescent="0.25">
      <c r="A867"/>
      <c r="C867" s="7" t="str">
        <f>IF(AND(B867=0,Data!B863&lt;&gt;0),"",B867)</f>
        <v/>
      </c>
    </row>
    <row r="868" spans="1:3" x14ac:dyDescent="0.25">
      <c r="A868"/>
      <c r="C868" s="7" t="str">
        <f>IF(AND(B868=0,Data!B864&lt;&gt;0),"",B868)</f>
        <v/>
      </c>
    </row>
    <row r="869" spans="1:3" x14ac:dyDescent="0.25">
      <c r="A869"/>
      <c r="C869" s="7" t="str">
        <f>IF(AND(B869=0,Data!B865&lt;&gt;0),"",B869)</f>
        <v/>
      </c>
    </row>
    <row r="870" spans="1:3" x14ac:dyDescent="0.25">
      <c r="A870"/>
      <c r="C870" s="7" t="str">
        <f>IF(AND(B870=0,Data!B866&lt;&gt;0),"",B870)</f>
        <v/>
      </c>
    </row>
    <row r="871" spans="1:3" x14ac:dyDescent="0.25">
      <c r="A871"/>
      <c r="C871" s="7" t="str">
        <f>IF(AND(B871=0,Data!B867&lt;&gt;0),"",B871)</f>
        <v/>
      </c>
    </row>
    <row r="872" spans="1:3" x14ac:dyDescent="0.25">
      <c r="A872"/>
      <c r="C872" s="7" t="str">
        <f>IF(AND(B872=0,Data!B868&lt;&gt;0),"",B872)</f>
        <v/>
      </c>
    </row>
    <row r="873" spans="1:3" x14ac:dyDescent="0.25">
      <c r="A873"/>
      <c r="C873" s="7" t="str">
        <f>IF(AND(B873=0,Data!B869&lt;&gt;0),"",B873)</f>
        <v/>
      </c>
    </row>
    <row r="874" spans="1:3" x14ac:dyDescent="0.25">
      <c r="A874"/>
      <c r="C874" s="7" t="str">
        <f>IF(AND(B874=0,Data!B870&lt;&gt;0),"",B874)</f>
        <v/>
      </c>
    </row>
    <row r="875" spans="1:3" x14ac:dyDescent="0.25">
      <c r="A875"/>
      <c r="C875" s="7" t="str">
        <f>IF(AND(B875=0,Data!B871&lt;&gt;0),"",B875)</f>
        <v/>
      </c>
    </row>
    <row r="876" spans="1:3" x14ac:dyDescent="0.25">
      <c r="A876"/>
      <c r="C876" s="7" t="str">
        <f>IF(AND(B876=0,Data!B872&lt;&gt;0),"",B876)</f>
        <v/>
      </c>
    </row>
    <row r="877" spans="1:3" x14ac:dyDescent="0.25">
      <c r="A877"/>
      <c r="C877" s="7" t="str">
        <f>IF(AND(B877=0,Data!B873&lt;&gt;0),"",B877)</f>
        <v/>
      </c>
    </row>
    <row r="878" spans="1:3" x14ac:dyDescent="0.25">
      <c r="A878"/>
      <c r="C878" s="7" t="str">
        <f>IF(AND(B878=0,Data!B874&lt;&gt;0),"",B878)</f>
        <v/>
      </c>
    </row>
    <row r="879" spans="1:3" x14ac:dyDescent="0.25">
      <c r="A879"/>
      <c r="C879" s="7" t="str">
        <f>IF(AND(B879=0,Data!B875&lt;&gt;0),"",B879)</f>
        <v/>
      </c>
    </row>
    <row r="880" spans="1:3" x14ac:dyDescent="0.25">
      <c r="A880"/>
      <c r="C880" s="7" t="str">
        <f>IF(AND(B880=0,Data!B876&lt;&gt;0),"",B880)</f>
        <v/>
      </c>
    </row>
    <row r="881" spans="1:3" x14ac:dyDescent="0.25">
      <c r="A881"/>
      <c r="C881" s="7" t="str">
        <f>IF(AND(B881=0,Data!B877&lt;&gt;0),"",B881)</f>
        <v/>
      </c>
    </row>
    <row r="882" spans="1:3" x14ac:dyDescent="0.25">
      <c r="A882"/>
      <c r="C882" s="7" t="str">
        <f>IF(AND(B882=0,Data!B878&lt;&gt;0),"",B882)</f>
        <v/>
      </c>
    </row>
    <row r="883" spans="1:3" x14ac:dyDescent="0.25">
      <c r="A883"/>
      <c r="C883" s="7" t="str">
        <f>IF(AND(B883=0,Data!B879&lt;&gt;0),"",B883)</f>
        <v/>
      </c>
    </row>
    <row r="884" spans="1:3" x14ac:dyDescent="0.25">
      <c r="A884"/>
      <c r="C884" s="7" t="str">
        <f>IF(AND(B884=0,Data!B880&lt;&gt;0),"",B884)</f>
        <v/>
      </c>
    </row>
    <row r="885" spans="1:3" x14ac:dyDescent="0.25">
      <c r="A885"/>
      <c r="C885" s="7" t="str">
        <f>IF(AND(B885=0,Data!B881&lt;&gt;0),"",B885)</f>
        <v/>
      </c>
    </row>
    <row r="886" spans="1:3" x14ac:dyDescent="0.25">
      <c r="A886"/>
      <c r="C886" s="7" t="str">
        <f>IF(AND(B886=0,Data!B882&lt;&gt;0),"",B886)</f>
        <v/>
      </c>
    </row>
    <row r="887" spans="1:3" x14ac:dyDescent="0.25">
      <c r="A887"/>
      <c r="C887" s="7" t="str">
        <f>IF(AND(B887=0,Data!B883&lt;&gt;0),"",B887)</f>
        <v/>
      </c>
    </row>
    <row r="888" spans="1:3" x14ac:dyDescent="0.25">
      <c r="A888"/>
      <c r="C888" s="7" t="str">
        <f>IF(AND(B888=0,Data!B884&lt;&gt;0),"",B888)</f>
        <v/>
      </c>
    </row>
    <row r="889" spans="1:3" x14ac:dyDescent="0.25">
      <c r="A889"/>
      <c r="C889" s="7" t="str">
        <f>IF(AND(B889=0,Data!B885&lt;&gt;0),"",B889)</f>
        <v/>
      </c>
    </row>
    <row r="890" spans="1:3" x14ac:dyDescent="0.25">
      <c r="A890"/>
      <c r="C890" s="7" t="str">
        <f>IF(AND(B890=0,Data!B886&lt;&gt;0),"",B890)</f>
        <v/>
      </c>
    </row>
    <row r="891" spans="1:3" x14ac:dyDescent="0.25">
      <c r="A891"/>
      <c r="C891" s="7" t="str">
        <f>IF(AND(B891=0,Data!B887&lt;&gt;0),"",B891)</f>
        <v/>
      </c>
    </row>
    <row r="892" spans="1:3" x14ac:dyDescent="0.25">
      <c r="A892"/>
      <c r="C892" s="7" t="str">
        <f>IF(AND(B892=0,Data!B888&lt;&gt;0),"",B892)</f>
        <v/>
      </c>
    </row>
    <row r="893" spans="1:3" x14ac:dyDescent="0.25">
      <c r="A893"/>
      <c r="C893" s="7" t="str">
        <f>IF(AND(B893=0,Data!B889&lt;&gt;0),"",B893)</f>
        <v/>
      </c>
    </row>
    <row r="894" spans="1:3" x14ac:dyDescent="0.25">
      <c r="A894"/>
      <c r="C894" s="7" t="str">
        <f>IF(AND(B894=0,Data!B890&lt;&gt;0),"",B894)</f>
        <v/>
      </c>
    </row>
    <row r="895" spans="1:3" x14ac:dyDescent="0.25">
      <c r="A895"/>
      <c r="C895" s="7" t="str">
        <f>IF(AND(B895=0,Data!B891&lt;&gt;0),"",B895)</f>
        <v/>
      </c>
    </row>
    <row r="896" spans="1:3" x14ac:dyDescent="0.25">
      <c r="A896"/>
      <c r="C896" s="7" t="str">
        <f>IF(AND(B896=0,Data!B892&lt;&gt;0),"",B896)</f>
        <v/>
      </c>
    </row>
    <row r="897" spans="1:3" x14ac:dyDescent="0.25">
      <c r="A897"/>
      <c r="C897" s="7" t="str">
        <f>IF(AND(B897=0,Data!B893&lt;&gt;0),"",B897)</f>
        <v/>
      </c>
    </row>
    <row r="898" spans="1:3" x14ac:dyDescent="0.25">
      <c r="A898"/>
      <c r="C898" s="7" t="str">
        <f>IF(AND(B898=0,Data!B894&lt;&gt;0),"",B898)</f>
        <v/>
      </c>
    </row>
    <row r="899" spans="1:3" x14ac:dyDescent="0.25">
      <c r="A899"/>
      <c r="C899" s="7" t="str">
        <f>IF(AND(B899=0,Data!B895&lt;&gt;0),"",B899)</f>
        <v/>
      </c>
    </row>
    <row r="900" spans="1:3" x14ac:dyDescent="0.25">
      <c r="A900"/>
      <c r="C900" s="7" t="str">
        <f>IF(AND(B900=0,Data!B896&lt;&gt;0),"",B900)</f>
        <v/>
      </c>
    </row>
    <row r="901" spans="1:3" x14ac:dyDescent="0.25">
      <c r="A901"/>
      <c r="C901" s="7" t="str">
        <f>IF(AND(B901=0,Data!B897&lt;&gt;0),"",B901)</f>
        <v/>
      </c>
    </row>
    <row r="902" spans="1:3" x14ac:dyDescent="0.25">
      <c r="A902"/>
      <c r="C902" s="7" t="str">
        <f>IF(AND(B902=0,Data!B898&lt;&gt;0),"",B902)</f>
        <v/>
      </c>
    </row>
    <row r="903" spans="1:3" x14ac:dyDescent="0.25">
      <c r="A903"/>
      <c r="C903" s="7" t="str">
        <f>IF(AND(B903=0,Data!B899&lt;&gt;0),"",B903)</f>
        <v/>
      </c>
    </row>
    <row r="904" spans="1:3" x14ac:dyDescent="0.25">
      <c r="A904"/>
      <c r="C904" s="7" t="str">
        <f>IF(AND(B904=0,Data!B900&lt;&gt;0),"",B904)</f>
        <v/>
      </c>
    </row>
    <row r="905" spans="1:3" x14ac:dyDescent="0.25">
      <c r="A905"/>
      <c r="C905" s="7" t="str">
        <f>IF(AND(B905=0,Data!B901&lt;&gt;0),"",B905)</f>
        <v/>
      </c>
    </row>
    <row r="906" spans="1:3" x14ac:dyDescent="0.25">
      <c r="A906"/>
      <c r="C906" s="7">
        <f>IF(AND(B906=0,Data!B902&lt;&gt;0),"",B906)</f>
        <v>0</v>
      </c>
    </row>
    <row r="907" spans="1:3" x14ac:dyDescent="0.25">
      <c r="A907"/>
      <c r="C907" s="7">
        <f>IF(AND(B907=0,Data!B903&lt;&gt;0),"",B907)</f>
        <v>0</v>
      </c>
    </row>
    <row r="908" spans="1:3" x14ac:dyDescent="0.25">
      <c r="A908"/>
      <c r="C908" s="7">
        <f>IF(AND(B908=0,Data!B904&lt;&gt;0),"",B908)</f>
        <v>0</v>
      </c>
    </row>
    <row r="909" spans="1:3" x14ac:dyDescent="0.25">
      <c r="A909"/>
      <c r="C909" s="7">
        <f>IF(AND(B909=0,Data!B905&lt;&gt;0),"",B909)</f>
        <v>0</v>
      </c>
    </row>
    <row r="910" spans="1:3" x14ac:dyDescent="0.25">
      <c r="A910"/>
      <c r="C910" s="7">
        <f>IF(AND(B910=0,Data!B906&lt;&gt;0),"",B910)</f>
        <v>0</v>
      </c>
    </row>
    <row r="911" spans="1:3" x14ac:dyDescent="0.25">
      <c r="A911"/>
      <c r="C911" s="7">
        <f>IF(AND(B911=0,Data!B907&lt;&gt;0),"",B911)</f>
        <v>0</v>
      </c>
    </row>
    <row r="912" spans="1:3" x14ac:dyDescent="0.25">
      <c r="A912"/>
      <c r="C912" s="7">
        <f>IF(AND(B912=0,Data!B908&lt;&gt;0),"",B912)</f>
        <v>0</v>
      </c>
    </row>
    <row r="913" spans="1:3" x14ac:dyDescent="0.25">
      <c r="A913"/>
      <c r="C913" s="7">
        <f>IF(AND(B913=0,Data!B909&lt;&gt;0),"",B913)</f>
        <v>0</v>
      </c>
    </row>
    <row r="914" spans="1:3" x14ac:dyDescent="0.25">
      <c r="A914"/>
      <c r="C914" s="7">
        <f>IF(AND(B914=0,Data!B910&lt;&gt;0),"",B914)</f>
        <v>0</v>
      </c>
    </row>
    <row r="915" spans="1:3" x14ac:dyDescent="0.25">
      <c r="A915"/>
      <c r="C915" s="7">
        <f>IF(AND(B915=0,Data!B911&lt;&gt;0),"",B915)</f>
        <v>0</v>
      </c>
    </row>
    <row r="916" spans="1:3" x14ac:dyDescent="0.25">
      <c r="A916"/>
      <c r="C916" s="7">
        <f>IF(AND(B916=0,Data!B912&lt;&gt;0),"",B916)</f>
        <v>0</v>
      </c>
    </row>
    <row r="917" spans="1:3" x14ac:dyDescent="0.25">
      <c r="A917"/>
      <c r="C917" s="7">
        <f>IF(AND(B917=0,Data!B913&lt;&gt;0),"",B917)</f>
        <v>0</v>
      </c>
    </row>
    <row r="918" spans="1:3" x14ac:dyDescent="0.25">
      <c r="A918"/>
      <c r="C918" s="7">
        <f>IF(AND(B918=0,Data!B914&lt;&gt;0),"",B918)</f>
        <v>0</v>
      </c>
    </row>
    <row r="919" spans="1:3" x14ac:dyDescent="0.25">
      <c r="A919"/>
      <c r="C919" s="7">
        <f>IF(AND(B919=0,Data!B915&lt;&gt;0),"",B919)</f>
        <v>0</v>
      </c>
    </row>
    <row r="920" spans="1:3" x14ac:dyDescent="0.25">
      <c r="A920"/>
      <c r="C920" s="7">
        <f>IF(AND(B920=0,Data!B916&lt;&gt;0),"",B920)</f>
        <v>0</v>
      </c>
    </row>
    <row r="921" spans="1:3" x14ac:dyDescent="0.25">
      <c r="A921"/>
      <c r="C921" s="7">
        <f>IF(AND(B921=0,Data!B917&lt;&gt;0),"",B921)</f>
        <v>0</v>
      </c>
    </row>
    <row r="922" spans="1:3" x14ac:dyDescent="0.25">
      <c r="A922"/>
      <c r="C922" s="7">
        <f>IF(AND(B922=0,Data!B918&lt;&gt;0),"",B922)</f>
        <v>0</v>
      </c>
    </row>
    <row r="923" spans="1:3" x14ac:dyDescent="0.25">
      <c r="A923"/>
      <c r="C923" s="7">
        <f>IF(AND(B923=0,Data!B919&lt;&gt;0),"",B923)</f>
        <v>0</v>
      </c>
    </row>
    <row r="924" spans="1:3" x14ac:dyDescent="0.25">
      <c r="A924"/>
      <c r="C924" s="7">
        <f>IF(AND(B924=0,Data!B920&lt;&gt;0),"",B924)</f>
        <v>0</v>
      </c>
    </row>
    <row r="925" spans="1:3" x14ac:dyDescent="0.25">
      <c r="A925"/>
      <c r="C925" s="7">
        <f>IF(AND(B925=0,Data!B921&lt;&gt;0),"",B925)</f>
        <v>0</v>
      </c>
    </row>
    <row r="926" spans="1:3" x14ac:dyDescent="0.25">
      <c r="A926"/>
      <c r="C926" s="7">
        <f>IF(AND(B926=0,Data!B922&lt;&gt;0),"",B926)</f>
        <v>0</v>
      </c>
    </row>
    <row r="927" spans="1:3" x14ac:dyDescent="0.25">
      <c r="A927"/>
      <c r="C927" s="7">
        <f>IF(AND(B927=0,Data!B923&lt;&gt;0),"",B927)</f>
        <v>0</v>
      </c>
    </row>
    <row r="928" spans="1:3" x14ac:dyDescent="0.25">
      <c r="A928"/>
      <c r="C928" s="7">
        <f>IF(AND(B928=0,Data!B924&lt;&gt;0),"",B928)</f>
        <v>0</v>
      </c>
    </row>
    <row r="929" spans="1:3" x14ac:dyDescent="0.25">
      <c r="A929"/>
      <c r="C929" s="7">
        <f>IF(AND(B929=0,Data!B925&lt;&gt;0),"",B929)</f>
        <v>0</v>
      </c>
    </row>
    <row r="930" spans="1:3" x14ac:dyDescent="0.25">
      <c r="A930"/>
      <c r="C930" s="7">
        <f>IF(AND(B930=0,Data!B926&lt;&gt;0),"",B930)</f>
        <v>0</v>
      </c>
    </row>
    <row r="931" spans="1:3" x14ac:dyDescent="0.25">
      <c r="A931"/>
      <c r="C931" s="7">
        <f>IF(AND(B931=0,Data!B927&lt;&gt;0),"",B931)</f>
        <v>0</v>
      </c>
    </row>
    <row r="932" spans="1:3" x14ac:dyDescent="0.25">
      <c r="A932"/>
      <c r="C932" s="7">
        <f>IF(AND(B932=0,Data!B928&lt;&gt;0),"",B932)</f>
        <v>0</v>
      </c>
    </row>
    <row r="933" spans="1:3" x14ac:dyDescent="0.25">
      <c r="A933"/>
      <c r="C933" s="7">
        <f>IF(AND(B933=0,Data!B929&lt;&gt;0),"",B933)</f>
        <v>0</v>
      </c>
    </row>
    <row r="934" spans="1:3" x14ac:dyDescent="0.25">
      <c r="A934"/>
      <c r="C934" s="7">
        <f>IF(AND(B934=0,Data!B930&lt;&gt;0),"",B934)</f>
        <v>0</v>
      </c>
    </row>
    <row r="935" spans="1:3" x14ac:dyDescent="0.25">
      <c r="A935"/>
      <c r="C935" s="7">
        <f>IF(AND(B935=0,Data!B931&lt;&gt;0),"",B935)</f>
        <v>0</v>
      </c>
    </row>
    <row r="936" spans="1:3" x14ac:dyDescent="0.25">
      <c r="A936"/>
      <c r="C936" s="7">
        <f>IF(AND(B936=0,Data!B932&lt;&gt;0),"",B936)</f>
        <v>0</v>
      </c>
    </row>
    <row r="937" spans="1:3" x14ac:dyDescent="0.25">
      <c r="A937"/>
      <c r="C937" s="7">
        <f>IF(AND(B937=0,Data!B933&lt;&gt;0),"",B937)</f>
        <v>0</v>
      </c>
    </row>
    <row r="938" spans="1:3" x14ac:dyDescent="0.25">
      <c r="A938"/>
      <c r="C938" s="7">
        <f>IF(AND(B938=0,Data!B934&lt;&gt;0),"",B938)</f>
        <v>0</v>
      </c>
    </row>
    <row r="939" spans="1:3" x14ac:dyDescent="0.25">
      <c r="A939"/>
      <c r="C939" s="7">
        <f>IF(AND(B939=0,Data!B935&lt;&gt;0),"",B939)</f>
        <v>0</v>
      </c>
    </row>
    <row r="940" spans="1:3" x14ac:dyDescent="0.25">
      <c r="A940"/>
      <c r="C940" s="7">
        <f>IF(AND(B940=0,Data!B936&lt;&gt;0),"",B940)</f>
        <v>0</v>
      </c>
    </row>
    <row r="941" spans="1:3" x14ac:dyDescent="0.25">
      <c r="A941"/>
      <c r="C941" s="7">
        <f>IF(AND(B941=0,Data!B937&lt;&gt;0),"",B941)</f>
        <v>0</v>
      </c>
    </row>
    <row r="942" spans="1:3" x14ac:dyDescent="0.25">
      <c r="A942"/>
      <c r="C942" s="7">
        <f>IF(AND(B942=0,Data!B938&lt;&gt;0),"",B942)</f>
        <v>0</v>
      </c>
    </row>
    <row r="943" spans="1:3" x14ac:dyDescent="0.25">
      <c r="A943"/>
      <c r="C943" s="7">
        <f>IF(AND(B943=0,Data!B939&lt;&gt;0),"",B943)</f>
        <v>0</v>
      </c>
    </row>
    <row r="944" spans="1:3" x14ac:dyDescent="0.25">
      <c r="A944"/>
      <c r="C944" s="7">
        <f>IF(AND(B944=0,Data!B940&lt;&gt;0),"",B944)</f>
        <v>0</v>
      </c>
    </row>
    <row r="945" spans="1:3" x14ac:dyDescent="0.25">
      <c r="A945"/>
      <c r="C945" s="7">
        <f>IF(AND(B945=0,Data!B941&lt;&gt;0),"",B945)</f>
        <v>0</v>
      </c>
    </row>
    <row r="946" spans="1:3" x14ac:dyDescent="0.25">
      <c r="A946"/>
      <c r="C946" s="7">
        <f>IF(AND(B946=0,Data!B942&lt;&gt;0),"",B946)</f>
        <v>0</v>
      </c>
    </row>
    <row r="947" spans="1:3" x14ac:dyDescent="0.25">
      <c r="A947"/>
      <c r="C947" s="7">
        <f>IF(AND(B947=0,Data!B943&lt;&gt;0),"",B947)</f>
        <v>0</v>
      </c>
    </row>
    <row r="948" spans="1:3" x14ac:dyDescent="0.25">
      <c r="A948"/>
      <c r="C948" s="7">
        <f>IF(AND(B948=0,Data!B944&lt;&gt;0),"",B948)</f>
        <v>0</v>
      </c>
    </row>
    <row r="949" spans="1:3" x14ac:dyDescent="0.25">
      <c r="A949"/>
      <c r="C949" s="7">
        <f>IF(AND(B949=0,Data!B945&lt;&gt;0),"",B949)</f>
        <v>0</v>
      </c>
    </row>
    <row r="950" spans="1:3" x14ac:dyDescent="0.25">
      <c r="A950"/>
      <c r="C950" s="7">
        <f>IF(AND(B950=0,Data!B946&lt;&gt;0),"",B950)</f>
        <v>0</v>
      </c>
    </row>
    <row r="951" spans="1:3" x14ac:dyDescent="0.25">
      <c r="A951"/>
      <c r="C951" s="7">
        <f>IF(AND(B951=0,Data!B947&lt;&gt;0),"",B951)</f>
        <v>0</v>
      </c>
    </row>
    <row r="952" spans="1:3" x14ac:dyDescent="0.25">
      <c r="A952"/>
      <c r="C952" s="7">
        <f>IF(AND(B952=0,Data!B948&lt;&gt;0),"",B952)</f>
        <v>0</v>
      </c>
    </row>
    <row r="953" spans="1:3" x14ac:dyDescent="0.25">
      <c r="A953"/>
      <c r="C953" s="7">
        <f>IF(AND(B953=0,Data!B949&lt;&gt;0),"",B953)</f>
        <v>0</v>
      </c>
    </row>
    <row r="954" spans="1:3" x14ac:dyDescent="0.25">
      <c r="A954"/>
      <c r="C954" s="7">
        <f>IF(AND(B954=0,Data!B950&lt;&gt;0),"",B954)</f>
        <v>0</v>
      </c>
    </row>
    <row r="955" spans="1:3" x14ac:dyDescent="0.25">
      <c r="A955"/>
      <c r="C955" s="7">
        <f>IF(AND(B955=0,Data!B951&lt;&gt;0),"",B955)</f>
        <v>0</v>
      </c>
    </row>
    <row r="956" spans="1:3" x14ac:dyDescent="0.25">
      <c r="A956"/>
      <c r="C956" s="7">
        <f>IF(AND(B956=0,Data!B952&lt;&gt;0),"",B956)</f>
        <v>0</v>
      </c>
    </row>
    <row r="957" spans="1:3" x14ac:dyDescent="0.25">
      <c r="A957"/>
      <c r="C957" s="7">
        <f>IF(AND(B957=0,Data!B953&lt;&gt;0),"",B957)</f>
        <v>0</v>
      </c>
    </row>
    <row r="958" spans="1:3" x14ac:dyDescent="0.25">
      <c r="A958"/>
      <c r="C958" s="7">
        <f>IF(AND(B958=0,Data!B954&lt;&gt;0),"",B958)</f>
        <v>0</v>
      </c>
    </row>
    <row r="959" spans="1:3" x14ac:dyDescent="0.25">
      <c r="A959"/>
      <c r="C959" s="7">
        <f>IF(AND(B959=0,Data!B955&lt;&gt;0),"",B959)</f>
        <v>0</v>
      </c>
    </row>
    <row r="960" spans="1:3" x14ac:dyDescent="0.25">
      <c r="A960"/>
      <c r="C960" s="7">
        <f>IF(AND(B960=0,Data!B956&lt;&gt;0),"",B960)</f>
        <v>0</v>
      </c>
    </row>
    <row r="961" spans="1:3" x14ac:dyDescent="0.25">
      <c r="A961"/>
      <c r="C961" s="7">
        <f>IF(AND(B961=0,Data!B957&lt;&gt;0),"",B961)</f>
        <v>0</v>
      </c>
    </row>
    <row r="962" spans="1:3" x14ac:dyDescent="0.25">
      <c r="A962"/>
      <c r="C962" s="7">
        <f>IF(AND(B962=0,Data!B958&lt;&gt;0),"",B962)</f>
        <v>0</v>
      </c>
    </row>
    <row r="963" spans="1:3" x14ac:dyDescent="0.25">
      <c r="A963"/>
      <c r="C963" s="7">
        <f>IF(AND(B963=0,Data!B959&lt;&gt;0),"",B963)</f>
        <v>0</v>
      </c>
    </row>
    <row r="964" spans="1:3" x14ac:dyDescent="0.25">
      <c r="A964"/>
      <c r="C964" s="7">
        <f>IF(AND(B964=0,Data!B960&lt;&gt;0),"",B964)</f>
        <v>0</v>
      </c>
    </row>
    <row r="965" spans="1:3" x14ac:dyDescent="0.25">
      <c r="A965"/>
      <c r="C965" s="7">
        <f>IF(AND(B965=0,Data!B961&lt;&gt;0),"",B965)</f>
        <v>0</v>
      </c>
    </row>
    <row r="966" spans="1:3" x14ac:dyDescent="0.25">
      <c r="A966"/>
      <c r="C966" s="7">
        <f>IF(AND(B966=0,Data!B962&lt;&gt;0),"",B966)</f>
        <v>0</v>
      </c>
    </row>
    <row r="967" spans="1:3" x14ac:dyDescent="0.25">
      <c r="A967"/>
      <c r="C967" s="7">
        <f>IF(AND(B967=0,Data!B963&lt;&gt;0),"",B967)</f>
        <v>0</v>
      </c>
    </row>
    <row r="968" spans="1:3" x14ac:dyDescent="0.25">
      <c r="A968"/>
      <c r="C968" s="7">
        <f>IF(AND(B968=0,Data!B964&lt;&gt;0),"",B968)</f>
        <v>0</v>
      </c>
    </row>
    <row r="969" spans="1:3" x14ac:dyDescent="0.25">
      <c r="A969"/>
      <c r="C969" s="7">
        <f>IF(AND(B969=0,Data!B965&lt;&gt;0),"",B969)</f>
        <v>0</v>
      </c>
    </row>
    <row r="970" spans="1:3" x14ac:dyDescent="0.25">
      <c r="A970"/>
      <c r="C970" s="7">
        <f>IF(AND(B970=0,Data!B966&lt;&gt;0),"",B970)</f>
        <v>0</v>
      </c>
    </row>
    <row r="971" spans="1:3" x14ac:dyDescent="0.25">
      <c r="A971"/>
      <c r="C971" s="7">
        <f>IF(AND(B971=0,Data!B967&lt;&gt;0),"",B971)</f>
        <v>0</v>
      </c>
    </row>
    <row r="972" spans="1:3" x14ac:dyDescent="0.25">
      <c r="A972"/>
      <c r="C972" s="7">
        <f>IF(AND(B972=0,Data!B968&lt;&gt;0),"",B972)</f>
        <v>0</v>
      </c>
    </row>
    <row r="973" spans="1:3" x14ac:dyDescent="0.25">
      <c r="A973"/>
      <c r="C973" s="7">
        <f>IF(AND(B973=0,Data!B969&lt;&gt;0),"",B973)</f>
        <v>0</v>
      </c>
    </row>
    <row r="974" spans="1:3" x14ac:dyDescent="0.25">
      <c r="A974"/>
      <c r="C974" s="7">
        <f>IF(AND(B974=0,Data!B970&lt;&gt;0),"",B974)</f>
        <v>0</v>
      </c>
    </row>
    <row r="975" spans="1:3" x14ac:dyDescent="0.25">
      <c r="A975"/>
      <c r="C975" s="7">
        <f>IF(AND(B975=0,Data!B971&lt;&gt;0),"",B975)</f>
        <v>0</v>
      </c>
    </row>
    <row r="976" spans="1:3" x14ac:dyDescent="0.25">
      <c r="A976"/>
      <c r="C976" s="7">
        <f>IF(AND(B976=0,Data!B972&lt;&gt;0),"",B976)</f>
        <v>0</v>
      </c>
    </row>
    <row r="977" spans="1:3" x14ac:dyDescent="0.25">
      <c r="A977"/>
      <c r="C977" s="7">
        <f>IF(AND(B977=0,Data!B973&lt;&gt;0),"",B977)</f>
        <v>0</v>
      </c>
    </row>
    <row r="978" spans="1:3" x14ac:dyDescent="0.25">
      <c r="A978"/>
      <c r="C978" s="7">
        <f>IF(AND(B978=0,Data!B974&lt;&gt;0),"",B978)</f>
        <v>0</v>
      </c>
    </row>
    <row r="979" spans="1:3" x14ac:dyDescent="0.25">
      <c r="A979"/>
      <c r="C979" s="7">
        <f>IF(AND(B979=0,Data!B975&lt;&gt;0),"",B979)</f>
        <v>0</v>
      </c>
    </row>
  </sheetData>
  <mergeCells count="2">
    <mergeCell ref="I27:J27"/>
    <mergeCell ref="I1:M2"/>
  </mergeCells>
  <pageMargins left="0.7" right="0.7" top="0.75" bottom="0.75" header="0.3" footer="0.3"/>
  <pageSetup scale="6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refreshall">
                <anchor moveWithCells="1" sizeWithCells="1">
                  <from>
                    <xdr:col>15</xdr:col>
                    <xdr:colOff>123825</xdr:colOff>
                    <xdr:row>25</xdr:row>
                    <xdr:rowOff>161925</xdr:rowOff>
                  </from>
                  <to>
                    <xdr:col>17</xdr:col>
                    <xdr:colOff>238125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07B7AF-FEE3-4D8D-9F1E-B73AD145A5B1}">
          <x14:formula1>
            <xm:f>Admin!$B$2:$B$15</xm:f>
          </x14:formula1>
          <xm:sqref>I27:J27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EE84-CFB3-4CD7-B787-7FAEEFCEFBD1}">
  <sheetPr codeName="Sheet2">
    <tabColor theme="2" tint="-0.249977111117893"/>
  </sheetPr>
  <dimension ref="A1:C783"/>
  <sheetViews>
    <sheetView workbookViewId="0">
      <selection activeCell="J24" sqref="J24"/>
    </sheetView>
  </sheetViews>
  <sheetFormatPr defaultRowHeight="15" x14ac:dyDescent="0.25"/>
  <cols>
    <col min="1" max="1" width="15.85546875" bestFit="1" customWidth="1"/>
    <col min="2" max="2" width="16.7109375" bestFit="1" customWidth="1"/>
    <col min="3" max="3" width="11.140625" bestFit="1" customWidth="1"/>
  </cols>
  <sheetData>
    <row r="1" spans="1:3" x14ac:dyDescent="0.25">
      <c r="A1" t="s">
        <v>0</v>
      </c>
      <c r="B1" t="s">
        <v>1</v>
      </c>
      <c r="C1" t="s">
        <v>5</v>
      </c>
    </row>
    <row r="2" spans="1:3" x14ac:dyDescent="0.25">
      <c r="A2" s="1">
        <v>21186</v>
      </c>
      <c r="B2">
        <v>17.399999999999999</v>
      </c>
      <c r="C2" s="2">
        <f t="shared" ref="C2:C65" si="0">1-(B$2/B2)</f>
        <v>0</v>
      </c>
    </row>
    <row r="3" spans="1:3" x14ac:dyDescent="0.25">
      <c r="A3" s="1">
        <v>21217</v>
      </c>
      <c r="B3">
        <v>17.399999999999999</v>
      </c>
      <c r="C3" s="2">
        <f t="shared" si="0"/>
        <v>0</v>
      </c>
    </row>
    <row r="4" spans="1:3" x14ac:dyDescent="0.25">
      <c r="A4" s="1">
        <v>21245</v>
      </c>
      <c r="B4">
        <v>17.399999999999999</v>
      </c>
      <c r="C4" s="2">
        <f t="shared" si="0"/>
        <v>0</v>
      </c>
    </row>
    <row r="5" spans="1:3" x14ac:dyDescent="0.25">
      <c r="A5" s="1">
        <v>21276</v>
      </c>
      <c r="B5">
        <v>17.399999999999999</v>
      </c>
      <c r="C5" s="2">
        <f t="shared" si="0"/>
        <v>0</v>
      </c>
    </row>
    <row r="6" spans="1:3" x14ac:dyDescent="0.25">
      <c r="A6" s="1">
        <v>21306</v>
      </c>
      <c r="B6">
        <v>17.399999999999999</v>
      </c>
      <c r="C6" s="2">
        <f t="shared" si="0"/>
        <v>0</v>
      </c>
    </row>
    <row r="7" spans="1:3" x14ac:dyDescent="0.25">
      <c r="A7" s="1">
        <v>21337</v>
      </c>
      <c r="B7">
        <v>17.399999999999999</v>
      </c>
      <c r="C7" s="2">
        <f t="shared" si="0"/>
        <v>0</v>
      </c>
    </row>
    <row r="8" spans="1:3" x14ac:dyDescent="0.25">
      <c r="A8" s="1">
        <v>21367</v>
      </c>
      <c r="B8">
        <v>17.399999999999999</v>
      </c>
      <c r="C8" s="2">
        <f t="shared" si="0"/>
        <v>0</v>
      </c>
    </row>
    <row r="9" spans="1:3" x14ac:dyDescent="0.25">
      <c r="A9" s="1">
        <v>21398</v>
      </c>
      <c r="B9">
        <v>17.5</v>
      </c>
      <c r="C9" s="2">
        <f t="shared" si="0"/>
        <v>5.7142857142857828E-3</v>
      </c>
    </row>
    <row r="10" spans="1:3" x14ac:dyDescent="0.25">
      <c r="A10" s="1">
        <v>21429</v>
      </c>
      <c r="B10">
        <v>17.5</v>
      </c>
      <c r="C10" s="2">
        <f t="shared" si="0"/>
        <v>5.7142857142857828E-3</v>
      </c>
    </row>
    <row r="11" spans="1:3" x14ac:dyDescent="0.25">
      <c r="A11" s="1">
        <v>21459</v>
      </c>
      <c r="B11">
        <v>17.5</v>
      </c>
      <c r="C11" s="2">
        <f t="shared" si="0"/>
        <v>5.7142857142857828E-3</v>
      </c>
    </row>
    <row r="12" spans="1:3" x14ac:dyDescent="0.25">
      <c r="A12" s="1">
        <v>21490</v>
      </c>
      <c r="B12">
        <v>17.5</v>
      </c>
      <c r="C12" s="2">
        <f t="shared" si="0"/>
        <v>5.7142857142857828E-3</v>
      </c>
    </row>
    <row r="13" spans="1:3" x14ac:dyDescent="0.25">
      <c r="A13" s="1">
        <v>21520</v>
      </c>
      <c r="B13">
        <v>17.5</v>
      </c>
      <c r="C13" s="2">
        <f t="shared" si="0"/>
        <v>5.7142857142857828E-3</v>
      </c>
    </row>
    <row r="14" spans="1:3" x14ac:dyDescent="0.25">
      <c r="A14" s="1">
        <v>21551</v>
      </c>
      <c r="B14">
        <v>17.5</v>
      </c>
      <c r="C14" s="2">
        <f t="shared" si="0"/>
        <v>5.7142857142857828E-3</v>
      </c>
    </row>
    <row r="15" spans="1:3" x14ac:dyDescent="0.25">
      <c r="A15" s="1">
        <v>21582</v>
      </c>
      <c r="B15">
        <v>17.5</v>
      </c>
      <c r="C15" s="2">
        <f t="shared" si="0"/>
        <v>5.7142857142857828E-3</v>
      </c>
    </row>
    <row r="16" spans="1:3" x14ac:dyDescent="0.25">
      <c r="A16" s="1">
        <v>21610</v>
      </c>
      <c r="B16">
        <v>17.5</v>
      </c>
      <c r="C16" s="2">
        <f t="shared" si="0"/>
        <v>5.7142857142857828E-3</v>
      </c>
    </row>
    <row r="17" spans="1:3" x14ac:dyDescent="0.25">
      <c r="A17" s="1">
        <v>21641</v>
      </c>
      <c r="B17">
        <v>17.5</v>
      </c>
      <c r="C17" s="2">
        <f t="shared" si="0"/>
        <v>5.7142857142857828E-3</v>
      </c>
    </row>
    <row r="18" spans="1:3" x14ac:dyDescent="0.25">
      <c r="A18" s="1">
        <v>21671</v>
      </c>
      <c r="B18">
        <v>17.5</v>
      </c>
      <c r="C18" s="2">
        <f t="shared" si="0"/>
        <v>5.7142857142857828E-3</v>
      </c>
    </row>
    <row r="19" spans="1:3" x14ac:dyDescent="0.25">
      <c r="A19" s="1">
        <v>21702</v>
      </c>
      <c r="B19">
        <v>17.5</v>
      </c>
      <c r="C19" s="2">
        <f t="shared" si="0"/>
        <v>5.7142857142857828E-3</v>
      </c>
    </row>
    <row r="20" spans="1:3" x14ac:dyDescent="0.25">
      <c r="A20" s="1">
        <v>21732</v>
      </c>
      <c r="B20">
        <v>17.5</v>
      </c>
      <c r="C20" s="2">
        <f t="shared" si="0"/>
        <v>5.7142857142857828E-3</v>
      </c>
    </row>
    <row r="21" spans="1:3" x14ac:dyDescent="0.25">
      <c r="A21" s="1">
        <v>21763</v>
      </c>
      <c r="B21">
        <v>17.5</v>
      </c>
      <c r="C21" s="2">
        <f t="shared" si="0"/>
        <v>5.7142857142857828E-3</v>
      </c>
    </row>
    <row r="22" spans="1:3" x14ac:dyDescent="0.25">
      <c r="A22" s="1">
        <v>21794</v>
      </c>
      <c r="B22">
        <v>17.5</v>
      </c>
      <c r="C22" s="2">
        <f t="shared" si="0"/>
        <v>5.7142857142857828E-3</v>
      </c>
    </row>
    <row r="23" spans="1:3" x14ac:dyDescent="0.25">
      <c r="A23" s="1">
        <v>21824</v>
      </c>
      <c r="B23">
        <v>17.5</v>
      </c>
      <c r="C23" s="2">
        <f t="shared" si="0"/>
        <v>5.7142857142857828E-3</v>
      </c>
    </row>
    <row r="24" spans="1:3" x14ac:dyDescent="0.25">
      <c r="A24" s="1">
        <v>21855</v>
      </c>
      <c r="B24">
        <v>17.5</v>
      </c>
      <c r="C24" s="2">
        <f t="shared" si="0"/>
        <v>5.7142857142857828E-3</v>
      </c>
    </row>
    <row r="25" spans="1:3" x14ac:dyDescent="0.25">
      <c r="A25" s="1">
        <v>21885</v>
      </c>
      <c r="B25">
        <v>17.600000000000001</v>
      </c>
      <c r="C25" s="2">
        <f t="shared" si="0"/>
        <v>1.1363636363636576E-2</v>
      </c>
    </row>
    <row r="26" spans="1:3" x14ac:dyDescent="0.25">
      <c r="A26" s="1">
        <v>21916</v>
      </c>
      <c r="B26">
        <v>17.600000000000001</v>
      </c>
      <c r="C26" s="2">
        <f t="shared" si="0"/>
        <v>1.1363636363636576E-2</v>
      </c>
    </row>
    <row r="27" spans="1:3" x14ac:dyDescent="0.25">
      <c r="A27" s="1">
        <v>21947</v>
      </c>
      <c r="B27">
        <v>17.8</v>
      </c>
      <c r="C27" s="2">
        <f t="shared" si="0"/>
        <v>2.2471910112359716E-2</v>
      </c>
    </row>
    <row r="28" spans="1:3" x14ac:dyDescent="0.25">
      <c r="A28" s="1">
        <v>21976</v>
      </c>
      <c r="B28">
        <v>17.8</v>
      </c>
      <c r="C28" s="2">
        <f t="shared" si="0"/>
        <v>2.2471910112359716E-2</v>
      </c>
    </row>
    <row r="29" spans="1:3" x14ac:dyDescent="0.25">
      <c r="A29" s="1">
        <v>22007</v>
      </c>
      <c r="B29">
        <v>17.8</v>
      </c>
      <c r="C29" s="2">
        <f t="shared" si="0"/>
        <v>2.2471910112359716E-2</v>
      </c>
    </row>
    <row r="30" spans="1:3" x14ac:dyDescent="0.25">
      <c r="A30" s="1">
        <v>22037</v>
      </c>
      <c r="B30">
        <v>17.8</v>
      </c>
      <c r="C30" s="2">
        <f t="shared" si="0"/>
        <v>2.2471910112359716E-2</v>
      </c>
    </row>
    <row r="31" spans="1:3" x14ac:dyDescent="0.25">
      <c r="A31" s="1">
        <v>22068</v>
      </c>
      <c r="B31">
        <v>17.8</v>
      </c>
      <c r="C31" s="2">
        <f t="shared" si="0"/>
        <v>2.2471910112359716E-2</v>
      </c>
    </row>
    <row r="32" spans="1:3" x14ac:dyDescent="0.25">
      <c r="A32" s="1">
        <v>22098</v>
      </c>
      <c r="B32">
        <v>17.8</v>
      </c>
      <c r="C32" s="2">
        <f t="shared" si="0"/>
        <v>2.2471910112359716E-2</v>
      </c>
    </row>
    <row r="33" spans="1:3" x14ac:dyDescent="0.25">
      <c r="A33" s="1">
        <v>22129</v>
      </c>
      <c r="B33">
        <v>17.8</v>
      </c>
      <c r="C33" s="2">
        <f t="shared" si="0"/>
        <v>2.2471910112359716E-2</v>
      </c>
    </row>
    <row r="34" spans="1:3" x14ac:dyDescent="0.25">
      <c r="A34" s="1">
        <v>22160</v>
      </c>
      <c r="B34">
        <v>17.8</v>
      </c>
      <c r="C34" s="2">
        <f t="shared" si="0"/>
        <v>2.2471910112359716E-2</v>
      </c>
    </row>
    <row r="35" spans="1:3" x14ac:dyDescent="0.25">
      <c r="A35" s="1">
        <v>22190</v>
      </c>
      <c r="B35">
        <v>17.8</v>
      </c>
      <c r="C35" s="2">
        <f t="shared" si="0"/>
        <v>2.2471910112359716E-2</v>
      </c>
    </row>
    <row r="36" spans="1:3" x14ac:dyDescent="0.25">
      <c r="A36" s="1">
        <v>22221</v>
      </c>
      <c r="B36">
        <v>17.899999999999999</v>
      </c>
      <c r="C36" s="2">
        <f t="shared" si="0"/>
        <v>2.7932960893854775E-2</v>
      </c>
    </row>
    <row r="37" spans="1:3" x14ac:dyDescent="0.25">
      <c r="A37" s="1">
        <v>22251</v>
      </c>
      <c r="B37">
        <v>17.899999999999999</v>
      </c>
      <c r="C37" s="2">
        <f t="shared" si="0"/>
        <v>2.7932960893854775E-2</v>
      </c>
    </row>
    <row r="38" spans="1:3" x14ac:dyDescent="0.25">
      <c r="A38" s="1">
        <v>22282</v>
      </c>
      <c r="B38">
        <v>17.899999999999999</v>
      </c>
      <c r="C38" s="2">
        <f t="shared" si="0"/>
        <v>2.7932960893854775E-2</v>
      </c>
    </row>
    <row r="39" spans="1:3" x14ac:dyDescent="0.25">
      <c r="A39" s="1">
        <v>22313</v>
      </c>
      <c r="B39">
        <v>17.899999999999999</v>
      </c>
      <c r="C39" s="2">
        <f t="shared" si="0"/>
        <v>2.7932960893854775E-2</v>
      </c>
    </row>
    <row r="40" spans="1:3" x14ac:dyDescent="0.25">
      <c r="A40" s="1">
        <v>22341</v>
      </c>
      <c r="B40">
        <v>17.899999999999999</v>
      </c>
      <c r="C40" s="2">
        <f t="shared" si="0"/>
        <v>2.7932960893854775E-2</v>
      </c>
    </row>
    <row r="41" spans="1:3" x14ac:dyDescent="0.25">
      <c r="A41" s="1">
        <v>22372</v>
      </c>
      <c r="B41">
        <v>17.899999999999999</v>
      </c>
      <c r="C41" s="2">
        <f t="shared" si="0"/>
        <v>2.7932960893854775E-2</v>
      </c>
    </row>
    <row r="42" spans="1:3" x14ac:dyDescent="0.25">
      <c r="A42" s="1">
        <v>22402</v>
      </c>
      <c r="B42">
        <v>17.899999999999999</v>
      </c>
      <c r="C42" s="2">
        <f t="shared" si="0"/>
        <v>2.7932960893854775E-2</v>
      </c>
    </row>
    <row r="43" spans="1:3" x14ac:dyDescent="0.25">
      <c r="A43" s="1">
        <v>22433</v>
      </c>
      <c r="B43">
        <v>17.899999999999999</v>
      </c>
      <c r="C43" s="2">
        <f t="shared" si="0"/>
        <v>2.7932960893854775E-2</v>
      </c>
    </row>
    <row r="44" spans="1:3" x14ac:dyDescent="0.25">
      <c r="A44" s="1">
        <v>22463</v>
      </c>
      <c r="B44">
        <v>17.899999999999999</v>
      </c>
      <c r="C44" s="2">
        <f t="shared" si="0"/>
        <v>2.7932960893854775E-2</v>
      </c>
    </row>
    <row r="45" spans="1:3" x14ac:dyDescent="0.25">
      <c r="A45" s="1">
        <v>22494</v>
      </c>
      <c r="B45">
        <v>17.899999999999999</v>
      </c>
      <c r="C45" s="2">
        <f t="shared" si="0"/>
        <v>2.7932960893854775E-2</v>
      </c>
    </row>
    <row r="46" spans="1:3" x14ac:dyDescent="0.25">
      <c r="A46" s="1">
        <v>22525</v>
      </c>
      <c r="B46">
        <v>17.899999999999999</v>
      </c>
      <c r="C46" s="2">
        <f t="shared" si="0"/>
        <v>2.7932960893854775E-2</v>
      </c>
    </row>
    <row r="47" spans="1:3" x14ac:dyDescent="0.25">
      <c r="A47" s="1">
        <v>22555</v>
      </c>
      <c r="B47">
        <v>17.899999999999999</v>
      </c>
      <c r="C47" s="2">
        <f t="shared" si="0"/>
        <v>2.7932960893854775E-2</v>
      </c>
    </row>
    <row r="48" spans="1:3" x14ac:dyDescent="0.25">
      <c r="A48" s="1">
        <v>22586</v>
      </c>
      <c r="B48">
        <v>17.899999999999999</v>
      </c>
      <c r="C48" s="2">
        <f t="shared" si="0"/>
        <v>2.7932960893854775E-2</v>
      </c>
    </row>
    <row r="49" spans="1:3" x14ac:dyDescent="0.25">
      <c r="A49" s="1">
        <v>22616</v>
      </c>
      <c r="B49">
        <v>17.899999999999999</v>
      </c>
      <c r="C49" s="2">
        <f t="shared" si="0"/>
        <v>2.7932960893854775E-2</v>
      </c>
    </row>
    <row r="50" spans="1:3" x14ac:dyDescent="0.25">
      <c r="A50" s="1">
        <v>22647</v>
      </c>
      <c r="B50">
        <v>17.899999999999999</v>
      </c>
      <c r="C50" s="2">
        <f t="shared" si="0"/>
        <v>2.7932960893854775E-2</v>
      </c>
    </row>
    <row r="51" spans="1:3" x14ac:dyDescent="0.25">
      <c r="A51" s="1">
        <v>22678</v>
      </c>
      <c r="B51">
        <v>18.2</v>
      </c>
      <c r="C51" s="2">
        <f t="shared" si="0"/>
        <v>4.3956043956044022E-2</v>
      </c>
    </row>
    <row r="52" spans="1:3" x14ac:dyDescent="0.25">
      <c r="A52" s="1">
        <v>22706</v>
      </c>
      <c r="B52">
        <v>18.2</v>
      </c>
      <c r="C52" s="2">
        <f t="shared" si="0"/>
        <v>4.3956043956044022E-2</v>
      </c>
    </row>
    <row r="53" spans="1:3" x14ac:dyDescent="0.25">
      <c r="A53" s="1">
        <v>22737</v>
      </c>
      <c r="B53">
        <v>18.2</v>
      </c>
      <c r="C53" s="2">
        <f t="shared" si="0"/>
        <v>4.3956043956044022E-2</v>
      </c>
    </row>
    <row r="54" spans="1:3" x14ac:dyDescent="0.25">
      <c r="A54" s="1">
        <v>22767</v>
      </c>
      <c r="B54">
        <v>18.100000000000001</v>
      </c>
      <c r="C54" s="2">
        <f t="shared" si="0"/>
        <v>3.8674033149171394E-2</v>
      </c>
    </row>
    <row r="55" spans="1:3" x14ac:dyDescent="0.25">
      <c r="A55" s="1">
        <v>22798</v>
      </c>
      <c r="B55">
        <v>18.100000000000001</v>
      </c>
      <c r="C55" s="2">
        <f t="shared" si="0"/>
        <v>3.8674033149171394E-2</v>
      </c>
    </row>
    <row r="56" spans="1:3" x14ac:dyDescent="0.25">
      <c r="A56" s="1">
        <v>22828</v>
      </c>
      <c r="B56">
        <v>18.100000000000001</v>
      </c>
      <c r="C56" s="2">
        <f t="shared" si="0"/>
        <v>3.8674033149171394E-2</v>
      </c>
    </row>
    <row r="57" spans="1:3" x14ac:dyDescent="0.25">
      <c r="A57" s="1">
        <v>22859</v>
      </c>
      <c r="B57">
        <v>18.100000000000001</v>
      </c>
      <c r="C57" s="2">
        <f t="shared" si="0"/>
        <v>3.8674033149171394E-2</v>
      </c>
    </row>
    <row r="58" spans="1:3" x14ac:dyDescent="0.25">
      <c r="A58" s="1">
        <v>22890</v>
      </c>
      <c r="B58">
        <v>18.100000000000001</v>
      </c>
      <c r="C58" s="2">
        <f t="shared" si="0"/>
        <v>3.8674033149171394E-2</v>
      </c>
    </row>
    <row r="59" spans="1:3" x14ac:dyDescent="0.25">
      <c r="A59" s="1">
        <v>22920</v>
      </c>
      <c r="B59">
        <v>18.100000000000001</v>
      </c>
      <c r="C59" s="2">
        <f t="shared" si="0"/>
        <v>3.8674033149171394E-2</v>
      </c>
    </row>
    <row r="60" spans="1:3" x14ac:dyDescent="0.25">
      <c r="A60" s="1">
        <v>22951</v>
      </c>
      <c r="B60">
        <v>18.100000000000001</v>
      </c>
      <c r="C60" s="2">
        <f t="shared" si="0"/>
        <v>3.8674033149171394E-2</v>
      </c>
    </row>
    <row r="61" spans="1:3" x14ac:dyDescent="0.25">
      <c r="A61" s="1">
        <v>22981</v>
      </c>
      <c r="B61">
        <v>18.100000000000001</v>
      </c>
      <c r="C61" s="2">
        <f t="shared" si="0"/>
        <v>3.8674033149171394E-2</v>
      </c>
    </row>
    <row r="62" spans="1:3" x14ac:dyDescent="0.25">
      <c r="A62" s="1">
        <v>23012</v>
      </c>
      <c r="B62">
        <v>18.100000000000001</v>
      </c>
      <c r="C62" s="2">
        <f t="shared" si="0"/>
        <v>3.8674033149171394E-2</v>
      </c>
    </row>
    <row r="63" spans="1:3" x14ac:dyDescent="0.25">
      <c r="A63" s="1">
        <v>23043</v>
      </c>
      <c r="B63">
        <v>18.100000000000001</v>
      </c>
      <c r="C63" s="2">
        <f t="shared" si="0"/>
        <v>3.8674033149171394E-2</v>
      </c>
    </row>
    <row r="64" spans="1:3" x14ac:dyDescent="0.25">
      <c r="A64" s="1">
        <v>23071</v>
      </c>
      <c r="B64">
        <v>18.100000000000001</v>
      </c>
      <c r="C64" s="2">
        <f t="shared" si="0"/>
        <v>3.8674033149171394E-2</v>
      </c>
    </row>
    <row r="65" spans="1:3" x14ac:dyDescent="0.25">
      <c r="A65" s="1">
        <v>23102</v>
      </c>
      <c r="B65">
        <v>18.100000000000001</v>
      </c>
      <c r="C65" s="2">
        <f t="shared" si="0"/>
        <v>3.8674033149171394E-2</v>
      </c>
    </row>
    <row r="66" spans="1:3" x14ac:dyDescent="0.25">
      <c r="A66" s="1">
        <v>23132</v>
      </c>
      <c r="B66">
        <v>18</v>
      </c>
      <c r="C66" s="2">
        <f t="shared" ref="C66:C129" si="1">1-(B$2/B66)</f>
        <v>3.3333333333333437E-2</v>
      </c>
    </row>
    <row r="67" spans="1:3" x14ac:dyDescent="0.25">
      <c r="A67" s="1">
        <v>23163</v>
      </c>
      <c r="B67">
        <v>18</v>
      </c>
      <c r="C67" s="2">
        <f t="shared" si="1"/>
        <v>3.3333333333333437E-2</v>
      </c>
    </row>
    <row r="68" spans="1:3" x14ac:dyDescent="0.25">
      <c r="A68" s="1">
        <v>23193</v>
      </c>
      <c r="B68">
        <v>18</v>
      </c>
      <c r="C68" s="2">
        <f t="shared" si="1"/>
        <v>3.3333333333333437E-2</v>
      </c>
    </row>
    <row r="69" spans="1:3" x14ac:dyDescent="0.25">
      <c r="A69" s="1">
        <v>23224</v>
      </c>
      <c r="B69">
        <v>17.899999999999999</v>
      </c>
      <c r="C69" s="2">
        <f t="shared" si="1"/>
        <v>2.7932960893854775E-2</v>
      </c>
    </row>
    <row r="70" spans="1:3" x14ac:dyDescent="0.25">
      <c r="A70" s="1">
        <v>23255</v>
      </c>
      <c r="B70">
        <v>17.899999999999999</v>
      </c>
      <c r="C70" s="2">
        <f t="shared" si="1"/>
        <v>2.7932960893854775E-2</v>
      </c>
    </row>
    <row r="71" spans="1:3" x14ac:dyDescent="0.25">
      <c r="A71" s="1">
        <v>23285</v>
      </c>
      <c r="B71">
        <v>17.8</v>
      </c>
      <c r="C71" s="2">
        <f t="shared" si="1"/>
        <v>2.2471910112359716E-2</v>
      </c>
    </row>
    <row r="72" spans="1:3" x14ac:dyDescent="0.25">
      <c r="A72" s="1">
        <v>23316</v>
      </c>
      <c r="B72">
        <v>17.8</v>
      </c>
      <c r="C72" s="2">
        <f t="shared" si="1"/>
        <v>2.2471910112359716E-2</v>
      </c>
    </row>
    <row r="73" spans="1:3" x14ac:dyDescent="0.25">
      <c r="A73" s="1">
        <v>23346</v>
      </c>
      <c r="B73">
        <v>17.8</v>
      </c>
      <c r="C73" s="2">
        <f t="shared" si="1"/>
        <v>2.2471910112359716E-2</v>
      </c>
    </row>
    <row r="74" spans="1:3" x14ac:dyDescent="0.25">
      <c r="A74" s="1">
        <v>23377</v>
      </c>
      <c r="B74">
        <v>17.8</v>
      </c>
      <c r="C74" s="2">
        <f t="shared" si="1"/>
        <v>2.2471910112359716E-2</v>
      </c>
    </row>
    <row r="75" spans="1:3" x14ac:dyDescent="0.25">
      <c r="A75" s="1">
        <v>23408</v>
      </c>
      <c r="B75">
        <v>17.8</v>
      </c>
      <c r="C75" s="2">
        <f t="shared" si="1"/>
        <v>2.2471910112359716E-2</v>
      </c>
    </row>
    <row r="76" spans="1:3" x14ac:dyDescent="0.25">
      <c r="A76" s="1">
        <v>23437</v>
      </c>
      <c r="B76">
        <v>17.399999999999999</v>
      </c>
      <c r="C76" s="2">
        <f t="shared" si="1"/>
        <v>0</v>
      </c>
    </row>
    <row r="77" spans="1:3" x14ac:dyDescent="0.25">
      <c r="A77" s="1">
        <v>23468</v>
      </c>
      <c r="B77">
        <v>17.8</v>
      </c>
      <c r="C77" s="2">
        <f t="shared" si="1"/>
        <v>2.2471910112359716E-2</v>
      </c>
    </row>
    <row r="78" spans="1:3" x14ac:dyDescent="0.25">
      <c r="A78" s="1">
        <v>23498</v>
      </c>
      <c r="B78">
        <v>17.8</v>
      </c>
      <c r="C78" s="2">
        <f t="shared" si="1"/>
        <v>2.2471910112359716E-2</v>
      </c>
    </row>
    <row r="79" spans="1:3" x14ac:dyDescent="0.25">
      <c r="A79" s="1">
        <v>23529</v>
      </c>
      <c r="B79">
        <v>17.8</v>
      </c>
      <c r="C79" s="2">
        <f t="shared" si="1"/>
        <v>2.2471910112359716E-2</v>
      </c>
    </row>
    <row r="80" spans="1:3" x14ac:dyDescent="0.25">
      <c r="A80" s="1">
        <v>23559</v>
      </c>
      <c r="B80">
        <v>17.7</v>
      </c>
      <c r="C80" s="2">
        <f t="shared" si="1"/>
        <v>1.6949152542372947E-2</v>
      </c>
    </row>
    <row r="81" spans="1:3" x14ac:dyDescent="0.25">
      <c r="A81" s="1">
        <v>23590</v>
      </c>
      <c r="B81">
        <v>17.899999999999999</v>
      </c>
      <c r="C81" s="2">
        <f t="shared" si="1"/>
        <v>2.7932960893854775E-2</v>
      </c>
    </row>
    <row r="82" spans="1:3" x14ac:dyDescent="0.25">
      <c r="A82" s="1">
        <v>23621</v>
      </c>
      <c r="B82">
        <v>17.899999999999999</v>
      </c>
      <c r="C82" s="2">
        <f t="shared" si="1"/>
        <v>2.7932960893854775E-2</v>
      </c>
    </row>
    <row r="83" spans="1:3" x14ac:dyDescent="0.25">
      <c r="A83" s="1">
        <v>23651</v>
      </c>
      <c r="B83">
        <v>17.899999999999999</v>
      </c>
      <c r="C83" s="2">
        <f t="shared" si="1"/>
        <v>2.7932960893854775E-2</v>
      </c>
    </row>
    <row r="84" spans="1:3" x14ac:dyDescent="0.25">
      <c r="A84" s="1">
        <v>23682</v>
      </c>
      <c r="B84">
        <v>17.899999999999999</v>
      </c>
      <c r="C84" s="2">
        <f t="shared" si="1"/>
        <v>2.7932960893854775E-2</v>
      </c>
    </row>
    <row r="85" spans="1:3" x14ac:dyDescent="0.25">
      <c r="A85" s="1">
        <v>23712</v>
      </c>
      <c r="B85">
        <v>17.899999999999999</v>
      </c>
      <c r="C85" s="2">
        <f t="shared" si="1"/>
        <v>2.7932960893854775E-2</v>
      </c>
    </row>
    <row r="86" spans="1:3" x14ac:dyDescent="0.25">
      <c r="A86" s="1">
        <v>23743</v>
      </c>
      <c r="B86">
        <v>17.899999999999999</v>
      </c>
      <c r="C86" s="2">
        <f t="shared" si="1"/>
        <v>2.7932960893854775E-2</v>
      </c>
    </row>
    <row r="87" spans="1:3" x14ac:dyDescent="0.25">
      <c r="A87" s="1">
        <v>23774</v>
      </c>
      <c r="B87">
        <v>17.8</v>
      </c>
      <c r="C87" s="2">
        <f t="shared" si="1"/>
        <v>2.2471910112359716E-2</v>
      </c>
    </row>
    <row r="88" spans="1:3" x14ac:dyDescent="0.25">
      <c r="A88" s="1">
        <v>23802</v>
      </c>
      <c r="B88">
        <v>17.8</v>
      </c>
      <c r="C88" s="2">
        <f t="shared" si="1"/>
        <v>2.2471910112359716E-2</v>
      </c>
    </row>
    <row r="89" spans="1:3" x14ac:dyDescent="0.25">
      <c r="A89" s="1">
        <v>23833</v>
      </c>
      <c r="B89">
        <v>17.8</v>
      </c>
      <c r="C89" s="2">
        <f t="shared" si="1"/>
        <v>2.2471910112359716E-2</v>
      </c>
    </row>
    <row r="90" spans="1:3" x14ac:dyDescent="0.25">
      <c r="A90" s="1">
        <v>23863</v>
      </c>
      <c r="B90">
        <v>17.8</v>
      </c>
      <c r="C90" s="2">
        <f t="shared" si="1"/>
        <v>2.2471910112359716E-2</v>
      </c>
    </row>
    <row r="91" spans="1:3" x14ac:dyDescent="0.25">
      <c r="A91" s="1">
        <v>23894</v>
      </c>
      <c r="B91">
        <v>17.8</v>
      </c>
      <c r="C91" s="2">
        <f t="shared" si="1"/>
        <v>2.2471910112359716E-2</v>
      </c>
    </row>
    <row r="92" spans="1:3" x14ac:dyDescent="0.25">
      <c r="A92" s="1">
        <v>23924</v>
      </c>
      <c r="B92">
        <v>17.8</v>
      </c>
      <c r="C92" s="2">
        <f t="shared" si="1"/>
        <v>2.2471910112359716E-2</v>
      </c>
    </row>
    <row r="93" spans="1:3" x14ac:dyDescent="0.25">
      <c r="A93" s="1">
        <v>23955</v>
      </c>
      <c r="B93">
        <v>17.8</v>
      </c>
      <c r="C93" s="2">
        <f t="shared" si="1"/>
        <v>2.2471910112359716E-2</v>
      </c>
    </row>
    <row r="94" spans="1:3" x14ac:dyDescent="0.25">
      <c r="A94" s="1">
        <v>23986</v>
      </c>
      <c r="B94">
        <v>17.8</v>
      </c>
      <c r="C94" s="2">
        <f t="shared" si="1"/>
        <v>2.2471910112359716E-2</v>
      </c>
    </row>
    <row r="95" spans="1:3" x14ac:dyDescent="0.25">
      <c r="A95" s="1">
        <v>24016</v>
      </c>
      <c r="B95">
        <v>17.8</v>
      </c>
      <c r="C95" s="2">
        <f t="shared" si="1"/>
        <v>2.2471910112359716E-2</v>
      </c>
    </row>
    <row r="96" spans="1:3" x14ac:dyDescent="0.25">
      <c r="A96" s="1">
        <v>24047</v>
      </c>
      <c r="B96">
        <v>17.8</v>
      </c>
      <c r="C96" s="2">
        <f t="shared" si="1"/>
        <v>2.2471910112359716E-2</v>
      </c>
    </row>
    <row r="97" spans="1:3" x14ac:dyDescent="0.25">
      <c r="A97" s="1">
        <v>24077</v>
      </c>
      <c r="B97">
        <v>17.8</v>
      </c>
      <c r="C97" s="2">
        <f t="shared" si="1"/>
        <v>2.2471910112359716E-2</v>
      </c>
    </row>
    <row r="98" spans="1:3" x14ac:dyDescent="0.25">
      <c r="A98" s="1">
        <v>24108</v>
      </c>
      <c r="B98">
        <v>17.7</v>
      </c>
      <c r="C98" s="2">
        <f t="shared" si="1"/>
        <v>1.6949152542372947E-2</v>
      </c>
    </row>
    <row r="99" spans="1:3" x14ac:dyDescent="0.25">
      <c r="A99" s="1">
        <v>24139</v>
      </c>
      <c r="B99">
        <v>17.7</v>
      </c>
      <c r="C99" s="2">
        <f t="shared" si="1"/>
        <v>1.6949152542372947E-2</v>
      </c>
    </row>
    <row r="100" spans="1:3" x14ac:dyDescent="0.25">
      <c r="A100" s="1">
        <v>24167</v>
      </c>
      <c r="B100">
        <v>17.8</v>
      </c>
      <c r="C100" s="2">
        <f t="shared" si="1"/>
        <v>2.2471910112359716E-2</v>
      </c>
    </row>
    <row r="101" spans="1:3" x14ac:dyDescent="0.25">
      <c r="A101" s="1">
        <v>24198</v>
      </c>
      <c r="B101">
        <v>17.7</v>
      </c>
      <c r="C101" s="2">
        <f t="shared" si="1"/>
        <v>1.6949152542372947E-2</v>
      </c>
    </row>
    <row r="102" spans="1:3" x14ac:dyDescent="0.25">
      <c r="A102" s="1">
        <v>24228</v>
      </c>
      <c r="B102">
        <v>17.7</v>
      </c>
      <c r="C102" s="2">
        <f t="shared" si="1"/>
        <v>1.6949152542372947E-2</v>
      </c>
    </row>
    <row r="103" spans="1:3" x14ac:dyDescent="0.25">
      <c r="A103" s="1">
        <v>24259</v>
      </c>
      <c r="B103">
        <v>17.7</v>
      </c>
      <c r="C103" s="2">
        <f t="shared" si="1"/>
        <v>1.6949152542372947E-2</v>
      </c>
    </row>
    <row r="104" spans="1:3" x14ac:dyDescent="0.25">
      <c r="A104" s="1">
        <v>24289</v>
      </c>
      <c r="B104">
        <v>17.7</v>
      </c>
      <c r="C104" s="2">
        <f t="shared" si="1"/>
        <v>1.6949152542372947E-2</v>
      </c>
    </row>
    <row r="105" spans="1:3" x14ac:dyDescent="0.25">
      <c r="A105" s="1">
        <v>24320</v>
      </c>
      <c r="B105">
        <v>17.7</v>
      </c>
      <c r="C105" s="2">
        <f t="shared" si="1"/>
        <v>1.6949152542372947E-2</v>
      </c>
    </row>
    <row r="106" spans="1:3" x14ac:dyDescent="0.25">
      <c r="A106" s="1">
        <v>24351</v>
      </c>
      <c r="B106">
        <v>17.7</v>
      </c>
      <c r="C106" s="2">
        <f t="shared" si="1"/>
        <v>1.6949152542372947E-2</v>
      </c>
    </row>
    <row r="107" spans="1:3" x14ac:dyDescent="0.25">
      <c r="A107" s="1">
        <v>24381</v>
      </c>
      <c r="B107">
        <v>17.7</v>
      </c>
      <c r="C107" s="2">
        <f t="shared" si="1"/>
        <v>1.6949152542372947E-2</v>
      </c>
    </row>
    <row r="108" spans="1:3" x14ac:dyDescent="0.25">
      <c r="A108" s="1">
        <v>24412</v>
      </c>
      <c r="B108">
        <v>17.7</v>
      </c>
      <c r="C108" s="2">
        <f t="shared" si="1"/>
        <v>1.6949152542372947E-2</v>
      </c>
    </row>
    <row r="109" spans="1:3" x14ac:dyDescent="0.25">
      <c r="A109" s="1">
        <v>24442</v>
      </c>
      <c r="B109">
        <v>17.8</v>
      </c>
      <c r="C109" s="2">
        <f t="shared" si="1"/>
        <v>2.2471910112359716E-2</v>
      </c>
    </row>
    <row r="110" spans="1:3" x14ac:dyDescent="0.25">
      <c r="A110" s="1">
        <v>24473</v>
      </c>
      <c r="B110">
        <v>17.8</v>
      </c>
      <c r="C110" s="2">
        <f t="shared" si="1"/>
        <v>2.2471910112359716E-2</v>
      </c>
    </row>
    <row r="111" spans="1:3" x14ac:dyDescent="0.25">
      <c r="A111" s="1">
        <v>24504</v>
      </c>
      <c r="B111">
        <v>17.8</v>
      </c>
      <c r="C111" s="2">
        <f t="shared" si="1"/>
        <v>2.2471910112359716E-2</v>
      </c>
    </row>
    <row r="112" spans="1:3" x14ac:dyDescent="0.25">
      <c r="A112" s="1">
        <v>24532</v>
      </c>
      <c r="B112">
        <v>17.8</v>
      </c>
      <c r="C112" s="2">
        <f t="shared" si="1"/>
        <v>2.2471910112359716E-2</v>
      </c>
    </row>
    <row r="113" spans="1:3" x14ac:dyDescent="0.25">
      <c r="A113" s="1">
        <v>24563</v>
      </c>
      <c r="B113">
        <v>17.8</v>
      </c>
      <c r="C113" s="2">
        <f t="shared" si="1"/>
        <v>2.2471910112359716E-2</v>
      </c>
    </row>
    <row r="114" spans="1:3" x14ac:dyDescent="0.25">
      <c r="A114" s="1">
        <v>24593</v>
      </c>
      <c r="B114">
        <v>17.8</v>
      </c>
      <c r="C114" s="2">
        <f t="shared" si="1"/>
        <v>2.2471910112359716E-2</v>
      </c>
    </row>
    <row r="115" spans="1:3" x14ac:dyDescent="0.25">
      <c r="A115" s="1">
        <v>24624</v>
      </c>
      <c r="B115">
        <v>17.8</v>
      </c>
      <c r="C115" s="2">
        <f t="shared" si="1"/>
        <v>2.2471910112359716E-2</v>
      </c>
    </row>
    <row r="116" spans="1:3" x14ac:dyDescent="0.25">
      <c r="A116" s="1">
        <v>24654</v>
      </c>
      <c r="B116">
        <v>17.8</v>
      </c>
      <c r="C116" s="2">
        <f t="shared" si="1"/>
        <v>2.2471910112359716E-2</v>
      </c>
    </row>
    <row r="117" spans="1:3" x14ac:dyDescent="0.25">
      <c r="A117" s="1">
        <v>24685</v>
      </c>
      <c r="B117">
        <v>17.8</v>
      </c>
      <c r="C117" s="2">
        <f t="shared" si="1"/>
        <v>2.2471910112359716E-2</v>
      </c>
    </row>
    <row r="118" spans="1:3" x14ac:dyDescent="0.25">
      <c r="A118" s="1">
        <v>24716</v>
      </c>
      <c r="B118">
        <v>17.8</v>
      </c>
      <c r="C118" s="2">
        <f t="shared" si="1"/>
        <v>2.2471910112359716E-2</v>
      </c>
    </row>
    <row r="119" spans="1:3" x14ac:dyDescent="0.25">
      <c r="A119" s="1">
        <v>24746</v>
      </c>
      <c r="B119">
        <v>17.8</v>
      </c>
      <c r="C119" s="2">
        <f t="shared" si="1"/>
        <v>2.2471910112359716E-2</v>
      </c>
    </row>
    <row r="120" spans="1:3" x14ac:dyDescent="0.25">
      <c r="A120" s="1">
        <v>24777</v>
      </c>
      <c r="B120">
        <v>17.8</v>
      </c>
      <c r="C120" s="2">
        <f t="shared" si="1"/>
        <v>2.2471910112359716E-2</v>
      </c>
    </row>
    <row r="121" spans="1:3" x14ac:dyDescent="0.25">
      <c r="A121" s="1">
        <v>24807</v>
      </c>
      <c r="B121">
        <v>17.8</v>
      </c>
      <c r="C121" s="2">
        <f t="shared" si="1"/>
        <v>2.2471910112359716E-2</v>
      </c>
    </row>
    <row r="122" spans="1:3" x14ac:dyDescent="0.25">
      <c r="A122" s="1">
        <v>24838</v>
      </c>
      <c r="B122">
        <v>17.899999999999999</v>
      </c>
      <c r="C122" s="2">
        <f t="shared" si="1"/>
        <v>2.7932960893854775E-2</v>
      </c>
    </row>
    <row r="123" spans="1:3" x14ac:dyDescent="0.25">
      <c r="A123" s="1">
        <v>24869</v>
      </c>
      <c r="B123">
        <v>17.899999999999999</v>
      </c>
      <c r="C123" s="2">
        <f t="shared" si="1"/>
        <v>2.7932960893854775E-2</v>
      </c>
    </row>
    <row r="124" spans="1:3" x14ac:dyDescent="0.25">
      <c r="A124" s="1">
        <v>24898</v>
      </c>
      <c r="B124">
        <v>17.899999999999999</v>
      </c>
      <c r="C124" s="2">
        <f t="shared" si="1"/>
        <v>2.7932960893854775E-2</v>
      </c>
    </row>
    <row r="125" spans="1:3" x14ac:dyDescent="0.25">
      <c r="A125" s="1">
        <v>24929</v>
      </c>
      <c r="B125">
        <v>17.899999999999999</v>
      </c>
      <c r="C125" s="2">
        <f t="shared" si="1"/>
        <v>2.7932960893854775E-2</v>
      </c>
    </row>
    <row r="126" spans="1:3" x14ac:dyDescent="0.25">
      <c r="A126" s="1">
        <v>24959</v>
      </c>
      <c r="B126">
        <v>17.899999999999999</v>
      </c>
      <c r="C126" s="2">
        <f t="shared" si="1"/>
        <v>2.7932960893854775E-2</v>
      </c>
    </row>
    <row r="127" spans="1:3" x14ac:dyDescent="0.25">
      <c r="A127" s="1">
        <v>24990</v>
      </c>
      <c r="B127">
        <v>17.899999999999999</v>
      </c>
      <c r="C127" s="2">
        <f t="shared" si="1"/>
        <v>2.7932960893854775E-2</v>
      </c>
    </row>
    <row r="128" spans="1:3" x14ac:dyDescent="0.25">
      <c r="A128" s="1">
        <v>25020</v>
      </c>
      <c r="B128">
        <v>18</v>
      </c>
      <c r="C128" s="2">
        <f t="shared" si="1"/>
        <v>3.3333333333333437E-2</v>
      </c>
    </row>
    <row r="129" spans="1:3" x14ac:dyDescent="0.25">
      <c r="A129" s="1">
        <v>25051</v>
      </c>
      <c r="B129">
        <v>18</v>
      </c>
      <c r="C129" s="2">
        <f t="shared" si="1"/>
        <v>3.3333333333333437E-2</v>
      </c>
    </row>
    <row r="130" spans="1:3" x14ac:dyDescent="0.25">
      <c r="A130" s="1">
        <v>25082</v>
      </c>
      <c r="B130">
        <v>18</v>
      </c>
      <c r="C130" s="2">
        <f t="shared" ref="C130:C193" si="2">1-(B$2/B130)</f>
        <v>3.3333333333333437E-2</v>
      </c>
    </row>
    <row r="131" spans="1:3" x14ac:dyDescent="0.25">
      <c r="A131" s="1">
        <v>25112</v>
      </c>
      <c r="B131">
        <v>18</v>
      </c>
      <c r="C131" s="2">
        <f t="shared" si="2"/>
        <v>3.3333333333333437E-2</v>
      </c>
    </row>
    <row r="132" spans="1:3" x14ac:dyDescent="0.25">
      <c r="A132" s="1">
        <v>25143</v>
      </c>
      <c r="B132">
        <v>18</v>
      </c>
      <c r="C132" s="2">
        <f t="shared" si="2"/>
        <v>3.3333333333333437E-2</v>
      </c>
    </row>
    <row r="133" spans="1:3" x14ac:dyDescent="0.25">
      <c r="A133" s="1">
        <v>25173</v>
      </c>
      <c r="B133">
        <v>18</v>
      </c>
      <c r="C133" s="2">
        <f t="shared" si="2"/>
        <v>3.3333333333333437E-2</v>
      </c>
    </row>
    <row r="134" spans="1:3" x14ac:dyDescent="0.25">
      <c r="A134" s="1">
        <v>25204</v>
      </c>
      <c r="B134">
        <v>18</v>
      </c>
      <c r="C134" s="2">
        <f t="shared" si="2"/>
        <v>3.3333333333333437E-2</v>
      </c>
    </row>
    <row r="135" spans="1:3" x14ac:dyDescent="0.25">
      <c r="A135" s="1">
        <v>25235</v>
      </c>
      <c r="B135">
        <v>18</v>
      </c>
      <c r="C135" s="2">
        <f t="shared" si="2"/>
        <v>3.3333333333333437E-2</v>
      </c>
    </row>
    <row r="136" spans="1:3" x14ac:dyDescent="0.25">
      <c r="A136" s="1">
        <v>25263</v>
      </c>
      <c r="B136">
        <v>18</v>
      </c>
      <c r="C136" s="2">
        <f t="shared" si="2"/>
        <v>3.3333333333333437E-2</v>
      </c>
    </row>
    <row r="137" spans="1:3" x14ac:dyDescent="0.25">
      <c r="A137" s="1">
        <v>25294</v>
      </c>
      <c r="B137">
        <v>18</v>
      </c>
      <c r="C137" s="2">
        <f t="shared" si="2"/>
        <v>3.3333333333333437E-2</v>
      </c>
    </row>
    <row r="138" spans="1:3" x14ac:dyDescent="0.25">
      <c r="A138" s="1">
        <v>25324</v>
      </c>
      <c r="B138">
        <v>18.100000000000001</v>
      </c>
      <c r="C138" s="2">
        <f t="shared" si="2"/>
        <v>3.8674033149171394E-2</v>
      </c>
    </row>
    <row r="139" spans="1:3" x14ac:dyDescent="0.25">
      <c r="A139" s="1">
        <v>25355</v>
      </c>
      <c r="B139">
        <v>18</v>
      </c>
      <c r="C139" s="2">
        <f t="shared" si="2"/>
        <v>3.3333333333333437E-2</v>
      </c>
    </row>
    <row r="140" spans="1:3" x14ac:dyDescent="0.25">
      <c r="A140" s="1">
        <v>25385</v>
      </c>
      <c r="B140">
        <v>18</v>
      </c>
      <c r="C140" s="2">
        <f t="shared" si="2"/>
        <v>3.3333333333333437E-2</v>
      </c>
    </row>
    <row r="141" spans="1:3" x14ac:dyDescent="0.25">
      <c r="A141" s="1">
        <v>25416</v>
      </c>
      <c r="B141">
        <v>18.2</v>
      </c>
      <c r="C141" s="2">
        <f t="shared" si="2"/>
        <v>4.3956043956044022E-2</v>
      </c>
    </row>
    <row r="142" spans="1:3" x14ac:dyDescent="0.25">
      <c r="A142" s="1">
        <v>25447</v>
      </c>
      <c r="B142">
        <v>18.399999999999999</v>
      </c>
      <c r="C142" s="2">
        <f t="shared" si="2"/>
        <v>5.4347826086956541E-2</v>
      </c>
    </row>
    <row r="143" spans="1:3" x14ac:dyDescent="0.25">
      <c r="A143" s="1">
        <v>25477</v>
      </c>
      <c r="B143">
        <v>18.399999999999999</v>
      </c>
      <c r="C143" s="2">
        <f t="shared" si="2"/>
        <v>5.4347826086956541E-2</v>
      </c>
    </row>
    <row r="144" spans="1:3" x14ac:dyDescent="0.25">
      <c r="A144" s="1">
        <v>25508</v>
      </c>
      <c r="B144">
        <v>18.399999999999999</v>
      </c>
      <c r="C144" s="2">
        <f t="shared" si="2"/>
        <v>5.4347826086956541E-2</v>
      </c>
    </row>
    <row r="145" spans="1:3" x14ac:dyDescent="0.25">
      <c r="A145" s="1">
        <v>25538</v>
      </c>
      <c r="B145">
        <v>18.399999999999999</v>
      </c>
      <c r="C145" s="2">
        <f t="shared" si="2"/>
        <v>5.4347826086956541E-2</v>
      </c>
    </row>
    <row r="146" spans="1:3" x14ac:dyDescent="0.25">
      <c r="A146" s="1">
        <v>25569</v>
      </c>
      <c r="B146">
        <v>18.399999999999999</v>
      </c>
      <c r="C146" s="2">
        <f t="shared" si="2"/>
        <v>5.4347826086956541E-2</v>
      </c>
    </row>
    <row r="147" spans="1:3" x14ac:dyDescent="0.25">
      <c r="A147" s="1">
        <v>25600</v>
      </c>
      <c r="B147">
        <v>18.399999999999999</v>
      </c>
      <c r="C147" s="2">
        <f t="shared" si="2"/>
        <v>5.4347826086956541E-2</v>
      </c>
    </row>
    <row r="148" spans="1:3" x14ac:dyDescent="0.25">
      <c r="A148" s="1">
        <v>25628</v>
      </c>
      <c r="B148">
        <v>18.399999999999999</v>
      </c>
      <c r="C148" s="2">
        <f t="shared" si="2"/>
        <v>5.4347826086956541E-2</v>
      </c>
    </row>
    <row r="149" spans="1:3" x14ac:dyDescent="0.25">
      <c r="A149" s="1">
        <v>25659</v>
      </c>
      <c r="B149">
        <v>18.399999999999999</v>
      </c>
      <c r="C149" s="2">
        <f t="shared" si="2"/>
        <v>5.4347826086956541E-2</v>
      </c>
    </row>
    <row r="150" spans="1:3" x14ac:dyDescent="0.25">
      <c r="A150" s="1">
        <v>25689</v>
      </c>
      <c r="B150">
        <v>18.600000000000001</v>
      </c>
      <c r="C150" s="2">
        <f t="shared" si="2"/>
        <v>6.4516129032258229E-2</v>
      </c>
    </row>
    <row r="151" spans="1:3" x14ac:dyDescent="0.25">
      <c r="A151" s="1">
        <v>25720</v>
      </c>
      <c r="B151">
        <v>18.7</v>
      </c>
      <c r="C151" s="2">
        <f t="shared" si="2"/>
        <v>6.9518716577540163E-2</v>
      </c>
    </row>
    <row r="152" spans="1:3" x14ac:dyDescent="0.25">
      <c r="A152" s="1">
        <v>25750</v>
      </c>
      <c r="B152">
        <v>19</v>
      </c>
      <c r="C152" s="2">
        <f t="shared" si="2"/>
        <v>8.4210526315789513E-2</v>
      </c>
    </row>
    <row r="153" spans="1:3" x14ac:dyDescent="0.25">
      <c r="A153" s="1">
        <v>25781</v>
      </c>
      <c r="B153">
        <v>19</v>
      </c>
      <c r="C153" s="2">
        <f t="shared" si="2"/>
        <v>8.4210526315789513E-2</v>
      </c>
    </row>
    <row r="154" spans="1:3" x14ac:dyDescent="0.25">
      <c r="A154" s="1">
        <v>25812</v>
      </c>
      <c r="B154">
        <v>19.3</v>
      </c>
      <c r="C154" s="2">
        <f t="shared" si="2"/>
        <v>9.8445595854922407E-2</v>
      </c>
    </row>
    <row r="155" spans="1:3" x14ac:dyDescent="0.25">
      <c r="A155" s="1">
        <v>25842</v>
      </c>
      <c r="B155">
        <v>19.399999999999999</v>
      </c>
      <c r="C155" s="2">
        <f t="shared" si="2"/>
        <v>0.10309278350515461</v>
      </c>
    </row>
    <row r="156" spans="1:3" x14ac:dyDescent="0.25">
      <c r="A156" s="1">
        <v>25873</v>
      </c>
      <c r="B156">
        <v>19.5</v>
      </c>
      <c r="C156" s="2">
        <f t="shared" si="2"/>
        <v>0.10769230769230775</v>
      </c>
    </row>
    <row r="157" spans="1:3" x14ac:dyDescent="0.25">
      <c r="A157" s="1">
        <v>25903</v>
      </c>
      <c r="B157">
        <v>19.899999999999999</v>
      </c>
      <c r="C157" s="2">
        <f t="shared" si="2"/>
        <v>0.12562814070351758</v>
      </c>
    </row>
    <row r="158" spans="1:3" x14ac:dyDescent="0.25">
      <c r="A158" s="1">
        <v>25934</v>
      </c>
      <c r="B158">
        <v>20</v>
      </c>
      <c r="C158" s="2">
        <f t="shared" si="2"/>
        <v>0.13000000000000012</v>
      </c>
    </row>
    <row r="159" spans="1:3" x14ac:dyDescent="0.25">
      <c r="A159" s="1">
        <v>25965</v>
      </c>
      <c r="B159">
        <v>20.2</v>
      </c>
      <c r="C159" s="2">
        <f t="shared" si="2"/>
        <v>0.13861386138613863</v>
      </c>
    </row>
    <row r="160" spans="1:3" x14ac:dyDescent="0.25">
      <c r="A160" s="1">
        <v>25993</v>
      </c>
      <c r="B160">
        <v>20.5</v>
      </c>
      <c r="C160" s="2">
        <f t="shared" si="2"/>
        <v>0.15121951219512197</v>
      </c>
    </row>
    <row r="161" spans="1:3" x14ac:dyDescent="0.25">
      <c r="A161" s="1">
        <v>26024</v>
      </c>
      <c r="B161">
        <v>20.5</v>
      </c>
      <c r="C161" s="2">
        <f t="shared" si="2"/>
        <v>0.15121951219512197</v>
      </c>
    </row>
    <row r="162" spans="1:3" x14ac:dyDescent="0.25">
      <c r="A162" s="1">
        <v>26054</v>
      </c>
      <c r="B162">
        <v>20.6</v>
      </c>
      <c r="C162" s="2">
        <f t="shared" si="2"/>
        <v>0.15533980582524287</v>
      </c>
    </row>
    <row r="163" spans="1:3" x14ac:dyDescent="0.25">
      <c r="A163" s="1">
        <v>26085</v>
      </c>
      <c r="B163">
        <v>20.7</v>
      </c>
      <c r="C163" s="2">
        <f t="shared" si="2"/>
        <v>0.15942028985507251</v>
      </c>
    </row>
    <row r="164" spans="1:3" x14ac:dyDescent="0.25">
      <c r="A164" s="1">
        <v>26115</v>
      </c>
      <c r="B164">
        <v>21</v>
      </c>
      <c r="C164" s="2">
        <f t="shared" si="2"/>
        <v>0.17142857142857149</v>
      </c>
    </row>
    <row r="165" spans="1:3" x14ac:dyDescent="0.25">
      <c r="A165" s="1">
        <v>26146</v>
      </c>
      <c r="B165">
        <v>21.2</v>
      </c>
      <c r="C165" s="2">
        <f t="shared" si="2"/>
        <v>0.179245283018868</v>
      </c>
    </row>
    <row r="166" spans="1:3" x14ac:dyDescent="0.25">
      <c r="A166" s="1">
        <v>26177</v>
      </c>
      <c r="B166">
        <v>21.2</v>
      </c>
      <c r="C166" s="2">
        <f t="shared" si="2"/>
        <v>0.179245283018868</v>
      </c>
    </row>
    <row r="167" spans="1:3" x14ac:dyDescent="0.25">
      <c r="A167" s="1">
        <v>26207</v>
      </c>
      <c r="B167">
        <v>21.2</v>
      </c>
      <c r="C167" s="2">
        <f t="shared" si="2"/>
        <v>0.179245283018868</v>
      </c>
    </row>
    <row r="168" spans="1:3" x14ac:dyDescent="0.25">
      <c r="A168" s="1">
        <v>26238</v>
      </c>
      <c r="B168">
        <v>21.2</v>
      </c>
      <c r="C168" s="2">
        <f t="shared" si="2"/>
        <v>0.179245283018868</v>
      </c>
    </row>
    <row r="169" spans="1:3" x14ac:dyDescent="0.25">
      <c r="A169" s="1">
        <v>26268</v>
      </c>
      <c r="B169">
        <v>21.8</v>
      </c>
      <c r="C169" s="2">
        <f t="shared" si="2"/>
        <v>0.20183486238532122</v>
      </c>
    </row>
    <row r="170" spans="1:3" x14ac:dyDescent="0.25">
      <c r="A170" s="1">
        <v>26299</v>
      </c>
      <c r="B170">
        <v>21.5</v>
      </c>
      <c r="C170" s="2">
        <f t="shared" si="2"/>
        <v>0.19069767441860475</v>
      </c>
    </row>
    <row r="171" spans="1:3" x14ac:dyDescent="0.25">
      <c r="A171" s="1">
        <v>26330</v>
      </c>
      <c r="B171">
        <v>21.8</v>
      </c>
      <c r="C171" s="2">
        <f t="shared" si="2"/>
        <v>0.20183486238532122</v>
      </c>
    </row>
    <row r="172" spans="1:3" x14ac:dyDescent="0.25">
      <c r="A172" s="1">
        <v>26359</v>
      </c>
      <c r="B172">
        <v>21.8</v>
      </c>
      <c r="C172" s="2">
        <f t="shared" si="2"/>
        <v>0.20183486238532122</v>
      </c>
    </row>
    <row r="173" spans="1:3" x14ac:dyDescent="0.25">
      <c r="A173" s="1">
        <v>26390</v>
      </c>
      <c r="B173">
        <v>21.9</v>
      </c>
      <c r="C173" s="2">
        <f t="shared" si="2"/>
        <v>0.20547945205479456</v>
      </c>
    </row>
    <row r="174" spans="1:3" x14ac:dyDescent="0.25">
      <c r="A174" s="1">
        <v>26420</v>
      </c>
      <c r="B174">
        <v>22</v>
      </c>
      <c r="C174" s="2">
        <f t="shared" si="2"/>
        <v>0.20909090909090911</v>
      </c>
    </row>
    <row r="175" spans="1:3" x14ac:dyDescent="0.25">
      <c r="A175" s="1">
        <v>26451</v>
      </c>
      <c r="B175">
        <v>22</v>
      </c>
      <c r="C175" s="2">
        <f t="shared" si="2"/>
        <v>0.20909090909090911</v>
      </c>
    </row>
    <row r="176" spans="1:3" x14ac:dyDescent="0.25">
      <c r="A176" s="1">
        <v>26481</v>
      </c>
      <c r="B176">
        <v>22.1</v>
      </c>
      <c r="C176" s="2">
        <f t="shared" si="2"/>
        <v>0.21266968325791868</v>
      </c>
    </row>
    <row r="177" spans="1:3" x14ac:dyDescent="0.25">
      <c r="A177" s="1">
        <v>26512</v>
      </c>
      <c r="B177">
        <v>22.1</v>
      </c>
      <c r="C177" s="2">
        <f t="shared" si="2"/>
        <v>0.21266968325791868</v>
      </c>
    </row>
    <row r="178" spans="1:3" x14ac:dyDescent="0.25">
      <c r="A178" s="1">
        <v>26543</v>
      </c>
      <c r="B178">
        <v>22.2</v>
      </c>
      <c r="C178" s="2">
        <f t="shared" si="2"/>
        <v>0.21621621621621623</v>
      </c>
    </row>
    <row r="179" spans="1:3" x14ac:dyDescent="0.25">
      <c r="A179" s="1">
        <v>26573</v>
      </c>
      <c r="B179">
        <v>22.3</v>
      </c>
      <c r="C179" s="2">
        <f t="shared" si="2"/>
        <v>0.21973094170403595</v>
      </c>
    </row>
    <row r="180" spans="1:3" x14ac:dyDescent="0.25">
      <c r="A180" s="1">
        <v>26604</v>
      </c>
      <c r="B180">
        <v>22.3</v>
      </c>
      <c r="C180" s="2">
        <f t="shared" si="2"/>
        <v>0.21973094170403595</v>
      </c>
    </row>
    <row r="181" spans="1:3" x14ac:dyDescent="0.25">
      <c r="A181" s="1">
        <v>26634</v>
      </c>
      <c r="B181">
        <v>22.3</v>
      </c>
      <c r="C181" s="2">
        <f t="shared" si="2"/>
        <v>0.21973094170403595</v>
      </c>
    </row>
    <row r="182" spans="1:3" x14ac:dyDescent="0.25">
      <c r="A182" s="1">
        <v>26665</v>
      </c>
      <c r="B182">
        <v>22.6</v>
      </c>
      <c r="C182" s="2">
        <f t="shared" si="2"/>
        <v>0.23008849557522137</v>
      </c>
    </row>
    <row r="183" spans="1:3" x14ac:dyDescent="0.25">
      <c r="A183" s="1">
        <v>26696</v>
      </c>
      <c r="B183">
        <v>22.9</v>
      </c>
      <c r="C183" s="2">
        <f t="shared" si="2"/>
        <v>0.24017467248908297</v>
      </c>
    </row>
    <row r="184" spans="1:3" x14ac:dyDescent="0.25">
      <c r="A184" s="1">
        <v>26724</v>
      </c>
      <c r="B184">
        <v>23.1</v>
      </c>
      <c r="C184" s="2">
        <f t="shared" si="2"/>
        <v>0.24675324675324684</v>
      </c>
    </row>
    <row r="185" spans="1:3" x14ac:dyDescent="0.25">
      <c r="A185" s="1">
        <v>26755</v>
      </c>
      <c r="B185">
        <v>23.3</v>
      </c>
      <c r="C185" s="2">
        <f t="shared" si="2"/>
        <v>0.25321888412017179</v>
      </c>
    </row>
    <row r="186" spans="1:3" x14ac:dyDescent="0.25">
      <c r="A186" s="1">
        <v>26785</v>
      </c>
      <c r="B186">
        <v>23.4</v>
      </c>
      <c r="C186" s="2">
        <f t="shared" si="2"/>
        <v>0.25641025641025639</v>
      </c>
    </row>
    <row r="187" spans="1:3" x14ac:dyDescent="0.25">
      <c r="A187" s="1">
        <v>26816</v>
      </c>
      <c r="B187">
        <v>23.3</v>
      </c>
      <c r="C187" s="2">
        <f t="shared" si="2"/>
        <v>0.25321888412017179</v>
      </c>
    </row>
    <row r="188" spans="1:3" x14ac:dyDescent="0.25">
      <c r="A188" s="1">
        <v>26846</v>
      </c>
      <c r="B188">
        <v>23.4</v>
      </c>
      <c r="C188" s="2">
        <f t="shared" si="2"/>
        <v>0.25641025641025639</v>
      </c>
    </row>
    <row r="189" spans="1:3" x14ac:dyDescent="0.25">
      <c r="A189" s="1">
        <v>26877</v>
      </c>
      <c r="B189">
        <v>23.5</v>
      </c>
      <c r="C189" s="2">
        <f t="shared" si="2"/>
        <v>0.25957446808510642</v>
      </c>
    </row>
    <row r="190" spans="1:3" x14ac:dyDescent="0.25">
      <c r="A190" s="1">
        <v>26908</v>
      </c>
      <c r="B190">
        <v>23.8</v>
      </c>
      <c r="C190" s="2">
        <f t="shared" si="2"/>
        <v>0.26890756302521013</v>
      </c>
    </row>
    <row r="191" spans="1:3" x14ac:dyDescent="0.25">
      <c r="A191" s="1">
        <v>26938</v>
      </c>
      <c r="B191">
        <v>24.1</v>
      </c>
      <c r="C191" s="2">
        <f t="shared" si="2"/>
        <v>0.27800829875518684</v>
      </c>
    </row>
    <row r="192" spans="1:3" x14ac:dyDescent="0.25">
      <c r="A192" s="1">
        <v>26969</v>
      </c>
      <c r="B192">
        <v>24.4</v>
      </c>
      <c r="C192" s="2">
        <f t="shared" si="2"/>
        <v>0.28688524590163933</v>
      </c>
    </row>
    <row r="193" spans="1:3" x14ac:dyDescent="0.25">
      <c r="A193" s="1">
        <v>26999</v>
      </c>
      <c r="B193">
        <v>24.9</v>
      </c>
      <c r="C193" s="2">
        <f t="shared" si="2"/>
        <v>0.3012048192771084</v>
      </c>
    </row>
    <row r="194" spans="1:3" x14ac:dyDescent="0.25">
      <c r="A194" s="1">
        <v>27030</v>
      </c>
      <c r="B194">
        <v>25.3</v>
      </c>
      <c r="C194" s="2">
        <f t="shared" ref="C194:C257" si="3">1-(B$2/B194)</f>
        <v>0.31225296442687756</v>
      </c>
    </row>
    <row r="195" spans="1:3" x14ac:dyDescent="0.25">
      <c r="A195" s="1">
        <v>27061</v>
      </c>
      <c r="B195">
        <v>26.1</v>
      </c>
      <c r="C195" s="2">
        <f t="shared" si="3"/>
        <v>0.33333333333333337</v>
      </c>
    </row>
    <row r="196" spans="1:3" x14ac:dyDescent="0.25">
      <c r="A196" s="1">
        <v>27089</v>
      </c>
      <c r="B196">
        <v>27.4</v>
      </c>
      <c r="C196" s="2">
        <f t="shared" si="3"/>
        <v>0.36496350364963503</v>
      </c>
    </row>
    <row r="197" spans="1:3" x14ac:dyDescent="0.25">
      <c r="A197" s="1">
        <v>27120</v>
      </c>
      <c r="B197">
        <v>28.2</v>
      </c>
      <c r="C197" s="2">
        <f t="shared" si="3"/>
        <v>0.38297872340425532</v>
      </c>
    </row>
    <row r="198" spans="1:3" x14ac:dyDescent="0.25">
      <c r="A198" s="1">
        <v>27150</v>
      </c>
      <c r="B198">
        <v>29.7</v>
      </c>
      <c r="C198" s="2">
        <f t="shared" si="3"/>
        <v>0.41414141414141414</v>
      </c>
    </row>
    <row r="199" spans="1:3" x14ac:dyDescent="0.25">
      <c r="A199" s="1">
        <v>27181</v>
      </c>
      <c r="B199">
        <v>30.9</v>
      </c>
      <c r="C199" s="2">
        <f t="shared" si="3"/>
        <v>0.43689320388349517</v>
      </c>
    </row>
    <row r="200" spans="1:3" x14ac:dyDescent="0.25">
      <c r="A200" s="1">
        <v>27211</v>
      </c>
      <c r="B200">
        <v>31.7</v>
      </c>
      <c r="C200" s="2">
        <f t="shared" si="3"/>
        <v>0.45110410094637232</v>
      </c>
    </row>
    <row r="201" spans="1:3" x14ac:dyDescent="0.25">
      <c r="A201" s="1">
        <v>27242</v>
      </c>
      <c r="B201">
        <v>32.4</v>
      </c>
      <c r="C201" s="2">
        <f t="shared" si="3"/>
        <v>0.46296296296296302</v>
      </c>
    </row>
    <row r="202" spans="1:3" x14ac:dyDescent="0.25">
      <c r="A202" s="1">
        <v>27273</v>
      </c>
      <c r="B202">
        <v>32.9</v>
      </c>
      <c r="C202" s="2">
        <f t="shared" si="3"/>
        <v>0.47112462006079026</v>
      </c>
    </row>
    <row r="203" spans="1:3" x14ac:dyDescent="0.25">
      <c r="A203" s="1">
        <v>27303</v>
      </c>
      <c r="B203">
        <v>33.9</v>
      </c>
      <c r="C203" s="2">
        <f t="shared" si="3"/>
        <v>0.48672566371681414</v>
      </c>
    </row>
    <row r="204" spans="1:3" x14ac:dyDescent="0.25">
      <c r="A204" s="1">
        <v>27334</v>
      </c>
      <c r="B204">
        <v>34.299999999999997</v>
      </c>
      <c r="C204" s="2">
        <f t="shared" si="3"/>
        <v>0.49271137026239065</v>
      </c>
    </row>
    <row r="205" spans="1:3" x14ac:dyDescent="0.25">
      <c r="A205" s="1">
        <v>27364</v>
      </c>
      <c r="B205">
        <v>34.700000000000003</v>
      </c>
      <c r="C205" s="2">
        <f t="shared" si="3"/>
        <v>0.49855907780979836</v>
      </c>
    </row>
    <row r="206" spans="1:3" x14ac:dyDescent="0.25">
      <c r="A206" s="1">
        <v>27395</v>
      </c>
      <c r="B206">
        <v>35.200000000000003</v>
      </c>
      <c r="C206" s="2">
        <f t="shared" si="3"/>
        <v>0.50568181818181834</v>
      </c>
    </row>
    <row r="207" spans="1:3" x14ac:dyDescent="0.25">
      <c r="A207" s="1">
        <v>27426</v>
      </c>
      <c r="B207">
        <v>36</v>
      </c>
      <c r="C207" s="2">
        <f t="shared" si="3"/>
        <v>0.51666666666666672</v>
      </c>
    </row>
    <row r="208" spans="1:3" x14ac:dyDescent="0.25">
      <c r="A208" s="1">
        <v>27454</v>
      </c>
      <c r="B208">
        <v>37</v>
      </c>
      <c r="C208" s="2">
        <f t="shared" si="3"/>
        <v>0.52972972972972976</v>
      </c>
    </row>
    <row r="209" spans="1:3" x14ac:dyDescent="0.25">
      <c r="A209" s="1">
        <v>27485</v>
      </c>
      <c r="B209">
        <v>37.799999999999997</v>
      </c>
      <c r="C209" s="2">
        <f t="shared" si="3"/>
        <v>0.53968253968253976</v>
      </c>
    </row>
    <row r="210" spans="1:3" x14ac:dyDescent="0.25">
      <c r="A210" s="1">
        <v>27515</v>
      </c>
      <c r="B210">
        <v>37.1</v>
      </c>
      <c r="C210" s="2">
        <f t="shared" si="3"/>
        <v>0.53099730458221028</v>
      </c>
    </row>
    <row r="211" spans="1:3" x14ac:dyDescent="0.25">
      <c r="A211" s="1">
        <v>27546</v>
      </c>
      <c r="B211">
        <v>36.6</v>
      </c>
      <c r="C211" s="2">
        <f t="shared" si="3"/>
        <v>0.52459016393442637</v>
      </c>
    </row>
    <row r="212" spans="1:3" x14ac:dyDescent="0.25">
      <c r="A212" s="1">
        <v>27576</v>
      </c>
      <c r="B212">
        <v>36.9</v>
      </c>
      <c r="C212" s="2">
        <f t="shared" si="3"/>
        <v>0.52845528455284563</v>
      </c>
    </row>
    <row r="213" spans="1:3" x14ac:dyDescent="0.25">
      <c r="A213" s="1">
        <v>27607</v>
      </c>
      <c r="B213">
        <v>37.4</v>
      </c>
      <c r="C213" s="2">
        <f t="shared" si="3"/>
        <v>0.53475935828877008</v>
      </c>
    </row>
    <row r="214" spans="1:3" x14ac:dyDescent="0.25">
      <c r="A214" s="1">
        <v>27638</v>
      </c>
      <c r="B214">
        <v>38</v>
      </c>
      <c r="C214" s="2">
        <f t="shared" si="3"/>
        <v>0.54210526315789476</v>
      </c>
    </row>
    <row r="215" spans="1:3" x14ac:dyDescent="0.25">
      <c r="A215" s="1">
        <v>27668</v>
      </c>
      <c r="B215">
        <v>38.4</v>
      </c>
      <c r="C215" s="2">
        <f t="shared" si="3"/>
        <v>0.546875</v>
      </c>
    </row>
    <row r="216" spans="1:3" x14ac:dyDescent="0.25">
      <c r="A216" s="1">
        <v>27699</v>
      </c>
      <c r="B216">
        <v>38.6</v>
      </c>
      <c r="C216" s="2">
        <f t="shared" si="3"/>
        <v>0.5492227979274612</v>
      </c>
    </row>
    <row r="217" spans="1:3" x14ac:dyDescent="0.25">
      <c r="A217" s="1">
        <v>27729</v>
      </c>
      <c r="B217">
        <v>38.200000000000003</v>
      </c>
      <c r="C217" s="2">
        <f t="shared" si="3"/>
        <v>0.54450261780104725</v>
      </c>
    </row>
    <row r="218" spans="1:3" x14ac:dyDescent="0.25">
      <c r="A218" s="1">
        <v>27760</v>
      </c>
      <c r="B218">
        <v>38.5</v>
      </c>
      <c r="C218" s="2">
        <f t="shared" si="3"/>
        <v>0.54805194805194812</v>
      </c>
    </row>
    <row r="219" spans="1:3" x14ac:dyDescent="0.25">
      <c r="A219" s="1">
        <v>27791</v>
      </c>
      <c r="B219">
        <v>38.700000000000003</v>
      </c>
      <c r="C219" s="2">
        <f t="shared" si="3"/>
        <v>0.5503875968992249</v>
      </c>
    </row>
    <row r="220" spans="1:3" x14ac:dyDescent="0.25">
      <c r="A220" s="1">
        <v>27820</v>
      </c>
      <c r="B220">
        <v>39.200000000000003</v>
      </c>
      <c r="C220" s="2">
        <f t="shared" si="3"/>
        <v>0.55612244897959195</v>
      </c>
    </row>
    <row r="221" spans="1:3" x14ac:dyDescent="0.25">
      <c r="A221" s="1">
        <v>27851</v>
      </c>
      <c r="B221">
        <v>39.9</v>
      </c>
      <c r="C221" s="2">
        <f t="shared" si="3"/>
        <v>0.56390977443609025</v>
      </c>
    </row>
    <row r="222" spans="1:3" x14ac:dyDescent="0.25">
      <c r="A222" s="1">
        <v>27881</v>
      </c>
      <c r="B222">
        <v>39.799999999999997</v>
      </c>
      <c r="C222" s="2">
        <f t="shared" si="3"/>
        <v>0.56281407035175879</v>
      </c>
    </row>
    <row r="223" spans="1:3" x14ac:dyDescent="0.25">
      <c r="A223" s="1">
        <v>27912</v>
      </c>
      <c r="B223">
        <v>40</v>
      </c>
      <c r="C223" s="2">
        <f t="shared" si="3"/>
        <v>0.56500000000000006</v>
      </c>
    </row>
    <row r="224" spans="1:3" x14ac:dyDescent="0.25">
      <c r="A224" s="1">
        <v>27942</v>
      </c>
      <c r="B224">
        <v>40.700000000000003</v>
      </c>
      <c r="C224" s="2">
        <f t="shared" si="3"/>
        <v>0.57248157248157261</v>
      </c>
    </row>
    <row r="225" spans="1:3" x14ac:dyDescent="0.25">
      <c r="A225" s="1">
        <v>27973</v>
      </c>
      <c r="B225">
        <v>41.2</v>
      </c>
      <c r="C225" s="2">
        <f t="shared" si="3"/>
        <v>0.57766990291262144</v>
      </c>
    </row>
    <row r="226" spans="1:3" x14ac:dyDescent="0.25">
      <c r="A226" s="1">
        <v>28004</v>
      </c>
      <c r="B226">
        <v>41.6</v>
      </c>
      <c r="C226" s="2">
        <f t="shared" si="3"/>
        <v>0.58173076923076927</v>
      </c>
    </row>
    <row r="227" spans="1:3" x14ac:dyDescent="0.25">
      <c r="A227" s="1">
        <v>28034</v>
      </c>
      <c r="B227">
        <v>41.2</v>
      </c>
      <c r="C227" s="2">
        <f t="shared" si="3"/>
        <v>0.57766990291262144</v>
      </c>
    </row>
    <row r="228" spans="1:3" x14ac:dyDescent="0.25">
      <c r="A228" s="1">
        <v>28065</v>
      </c>
      <c r="B228">
        <v>41.5</v>
      </c>
      <c r="C228" s="2">
        <f t="shared" si="3"/>
        <v>0.58072289156626511</v>
      </c>
    </row>
    <row r="229" spans="1:3" x14ac:dyDescent="0.25">
      <c r="A229" s="1">
        <v>28095</v>
      </c>
      <c r="B229">
        <v>41.3</v>
      </c>
      <c r="C229" s="2">
        <f t="shared" si="3"/>
        <v>0.57869249394673128</v>
      </c>
    </row>
    <row r="230" spans="1:3" x14ac:dyDescent="0.25">
      <c r="A230" s="1">
        <v>28126</v>
      </c>
      <c r="B230">
        <v>41.7</v>
      </c>
      <c r="C230" s="2">
        <f t="shared" si="3"/>
        <v>0.58273381294964033</v>
      </c>
    </row>
    <row r="231" spans="1:3" x14ac:dyDescent="0.25">
      <c r="A231" s="1">
        <v>28157</v>
      </c>
      <c r="B231">
        <v>43</v>
      </c>
      <c r="C231" s="2">
        <f t="shared" si="3"/>
        <v>0.59534883720930232</v>
      </c>
    </row>
    <row r="232" spans="1:3" x14ac:dyDescent="0.25">
      <c r="A232" s="1">
        <v>28185</v>
      </c>
      <c r="B232">
        <v>44.1</v>
      </c>
      <c r="C232" s="2">
        <f t="shared" si="3"/>
        <v>0.60544217687074831</v>
      </c>
    </row>
    <row r="233" spans="1:3" x14ac:dyDescent="0.25">
      <c r="A233" s="1">
        <v>28216</v>
      </c>
      <c r="B233">
        <v>45.6</v>
      </c>
      <c r="C233" s="2">
        <f t="shared" si="3"/>
        <v>0.61842105263157898</v>
      </c>
    </row>
    <row r="234" spans="1:3" x14ac:dyDescent="0.25">
      <c r="A234" s="1">
        <v>28246</v>
      </c>
      <c r="B234">
        <v>45.7</v>
      </c>
      <c r="C234" s="2">
        <f t="shared" si="3"/>
        <v>0.61925601750547044</v>
      </c>
    </row>
    <row r="235" spans="1:3" x14ac:dyDescent="0.25">
      <c r="A235" s="1">
        <v>28277</v>
      </c>
      <c r="B235">
        <v>45.5</v>
      </c>
      <c r="C235" s="2">
        <f t="shared" si="3"/>
        <v>0.61758241758241761</v>
      </c>
    </row>
    <row r="236" spans="1:3" x14ac:dyDescent="0.25">
      <c r="A236" s="1">
        <v>28307</v>
      </c>
      <c r="B236">
        <v>46.7</v>
      </c>
      <c r="C236" s="2">
        <f t="shared" si="3"/>
        <v>0.6274089935760172</v>
      </c>
    </row>
    <row r="237" spans="1:3" x14ac:dyDescent="0.25">
      <c r="A237" s="1">
        <v>28338</v>
      </c>
      <c r="B237">
        <v>47.8</v>
      </c>
      <c r="C237" s="2">
        <f t="shared" si="3"/>
        <v>0.63598326359832635</v>
      </c>
    </row>
    <row r="238" spans="1:3" x14ac:dyDescent="0.25">
      <c r="A238" s="1">
        <v>28369</v>
      </c>
      <c r="B238">
        <v>47.3</v>
      </c>
      <c r="C238" s="2">
        <f t="shared" si="3"/>
        <v>0.63213530655391126</v>
      </c>
    </row>
    <row r="239" spans="1:3" x14ac:dyDescent="0.25">
      <c r="A239" s="1">
        <v>28399</v>
      </c>
      <c r="B239">
        <v>47.5</v>
      </c>
      <c r="C239" s="2">
        <f t="shared" si="3"/>
        <v>0.63368421052631585</v>
      </c>
    </row>
    <row r="240" spans="1:3" x14ac:dyDescent="0.25">
      <c r="A240" s="1">
        <v>28430</v>
      </c>
      <c r="B240">
        <v>46.6</v>
      </c>
      <c r="C240" s="2">
        <f t="shared" si="3"/>
        <v>0.62660944206008584</v>
      </c>
    </row>
    <row r="241" spans="1:3" x14ac:dyDescent="0.25">
      <c r="A241" s="1">
        <v>28460</v>
      </c>
      <c r="B241">
        <v>46.6</v>
      </c>
      <c r="C241" s="2">
        <f t="shared" si="3"/>
        <v>0.62660944206008584</v>
      </c>
    </row>
    <row r="242" spans="1:3" x14ac:dyDescent="0.25">
      <c r="A242" s="1">
        <v>28491</v>
      </c>
      <c r="B242">
        <v>47.2</v>
      </c>
      <c r="C242" s="2">
        <f t="shared" si="3"/>
        <v>0.63135593220338992</v>
      </c>
    </row>
    <row r="243" spans="1:3" x14ac:dyDescent="0.25">
      <c r="A243" s="1">
        <v>28522</v>
      </c>
      <c r="B243">
        <v>47.8</v>
      </c>
      <c r="C243" s="2">
        <f t="shared" si="3"/>
        <v>0.63598326359832635</v>
      </c>
    </row>
    <row r="244" spans="1:3" x14ac:dyDescent="0.25">
      <c r="A244" s="1">
        <v>28550</v>
      </c>
      <c r="B244">
        <v>49.6</v>
      </c>
      <c r="C244" s="2">
        <f t="shared" si="3"/>
        <v>0.64919354838709675</v>
      </c>
    </row>
    <row r="245" spans="1:3" x14ac:dyDescent="0.25">
      <c r="A245" s="1">
        <v>28581</v>
      </c>
      <c r="B245">
        <v>49.9</v>
      </c>
      <c r="C245" s="2">
        <f t="shared" si="3"/>
        <v>0.65130260521042094</v>
      </c>
    </row>
    <row r="246" spans="1:3" x14ac:dyDescent="0.25">
      <c r="A246" s="1">
        <v>28611</v>
      </c>
      <c r="B246">
        <v>50.6</v>
      </c>
      <c r="C246" s="2">
        <f t="shared" si="3"/>
        <v>0.65612648221343872</v>
      </c>
    </row>
    <row r="247" spans="1:3" x14ac:dyDescent="0.25">
      <c r="A247" s="1">
        <v>28642</v>
      </c>
      <c r="B247">
        <v>51</v>
      </c>
      <c r="C247" s="2">
        <f t="shared" si="3"/>
        <v>0.65882352941176481</v>
      </c>
    </row>
    <row r="248" spans="1:3" x14ac:dyDescent="0.25">
      <c r="A248" s="1">
        <v>28672</v>
      </c>
      <c r="B248">
        <v>50.2</v>
      </c>
      <c r="C248" s="2">
        <f t="shared" si="3"/>
        <v>0.65338645418326702</v>
      </c>
    </row>
    <row r="249" spans="1:3" x14ac:dyDescent="0.25">
      <c r="A249" s="1">
        <v>28703</v>
      </c>
      <c r="B249">
        <v>50</v>
      </c>
      <c r="C249" s="2">
        <f t="shared" si="3"/>
        <v>0.65200000000000002</v>
      </c>
    </row>
    <row r="250" spans="1:3" x14ac:dyDescent="0.25">
      <c r="A250" s="1">
        <v>28734</v>
      </c>
      <c r="B250">
        <v>49.7</v>
      </c>
      <c r="C250" s="2">
        <f t="shared" si="3"/>
        <v>0.64989939637826966</v>
      </c>
    </row>
    <row r="251" spans="1:3" x14ac:dyDescent="0.25">
      <c r="A251" s="1">
        <v>28764</v>
      </c>
      <c r="B251">
        <v>50.1</v>
      </c>
      <c r="C251" s="2">
        <f t="shared" si="3"/>
        <v>0.65269461077844315</v>
      </c>
    </row>
    <row r="252" spans="1:3" x14ac:dyDescent="0.25">
      <c r="A252" s="1">
        <v>28795</v>
      </c>
      <c r="B252">
        <v>50</v>
      </c>
      <c r="C252" s="2">
        <f t="shared" si="3"/>
        <v>0.65200000000000002</v>
      </c>
    </row>
    <row r="253" spans="1:3" x14ac:dyDescent="0.25">
      <c r="A253" s="1">
        <v>28825</v>
      </c>
      <c r="B253">
        <v>50.2</v>
      </c>
      <c r="C253" s="2">
        <f t="shared" si="3"/>
        <v>0.65338645418326702</v>
      </c>
    </row>
    <row r="254" spans="1:3" x14ac:dyDescent="0.25">
      <c r="A254" s="1">
        <v>28856</v>
      </c>
      <c r="B254">
        <v>50.4</v>
      </c>
      <c r="C254" s="2">
        <f t="shared" si="3"/>
        <v>0.65476190476190477</v>
      </c>
    </row>
    <row r="255" spans="1:3" x14ac:dyDescent="0.25">
      <c r="A255" s="1">
        <v>28887</v>
      </c>
      <c r="B255">
        <v>50.4</v>
      </c>
      <c r="C255" s="2">
        <f t="shared" si="3"/>
        <v>0.65476190476190477</v>
      </c>
    </row>
    <row r="256" spans="1:3" x14ac:dyDescent="0.25">
      <c r="A256" s="1">
        <v>28915</v>
      </c>
      <c r="B256">
        <v>51.9</v>
      </c>
      <c r="C256" s="2">
        <f t="shared" si="3"/>
        <v>0.66473988439306364</v>
      </c>
    </row>
    <row r="257" spans="1:3" x14ac:dyDescent="0.25">
      <c r="A257" s="1">
        <v>28946</v>
      </c>
      <c r="B257">
        <v>52.7</v>
      </c>
      <c r="C257" s="2">
        <f t="shared" si="3"/>
        <v>0.66982922201138528</v>
      </c>
    </row>
    <row r="258" spans="1:3" x14ac:dyDescent="0.25">
      <c r="A258" s="1">
        <v>28976</v>
      </c>
      <c r="B258">
        <v>53.7</v>
      </c>
      <c r="C258" s="2">
        <f t="shared" ref="C258:C321" si="4">1-(B$2/B258)</f>
        <v>0.67597765363128492</v>
      </c>
    </row>
    <row r="259" spans="1:3" x14ac:dyDescent="0.25">
      <c r="A259" s="1">
        <v>29007</v>
      </c>
      <c r="B259">
        <v>53.7</v>
      </c>
      <c r="C259" s="2">
        <f t="shared" si="4"/>
        <v>0.67597765363128492</v>
      </c>
    </row>
    <row r="260" spans="1:3" x14ac:dyDescent="0.25">
      <c r="A260" s="1">
        <v>29037</v>
      </c>
      <c r="B260">
        <v>54.7</v>
      </c>
      <c r="C260" s="2">
        <f t="shared" si="4"/>
        <v>0.68190127970749548</v>
      </c>
    </row>
    <row r="261" spans="1:3" x14ac:dyDescent="0.25">
      <c r="A261" s="1">
        <v>29068</v>
      </c>
      <c r="B261">
        <v>55.6</v>
      </c>
      <c r="C261" s="2">
        <f t="shared" si="4"/>
        <v>0.68705035971223027</v>
      </c>
    </row>
    <row r="262" spans="1:3" x14ac:dyDescent="0.25">
      <c r="A262" s="1">
        <v>29099</v>
      </c>
      <c r="B262">
        <v>55.8</v>
      </c>
      <c r="C262" s="2">
        <f t="shared" si="4"/>
        <v>0.68817204301075274</v>
      </c>
    </row>
    <row r="263" spans="1:3" x14ac:dyDescent="0.25">
      <c r="A263" s="1">
        <v>29129</v>
      </c>
      <c r="B263">
        <v>56.8</v>
      </c>
      <c r="C263" s="2">
        <f t="shared" si="4"/>
        <v>0.69366197183098599</v>
      </c>
    </row>
    <row r="264" spans="1:3" x14ac:dyDescent="0.25">
      <c r="A264" s="1">
        <v>29160</v>
      </c>
      <c r="B264">
        <v>57.2</v>
      </c>
      <c r="C264" s="2">
        <f t="shared" si="4"/>
        <v>0.69580419580419584</v>
      </c>
    </row>
    <row r="265" spans="1:3" x14ac:dyDescent="0.25">
      <c r="A265" s="1">
        <v>29190</v>
      </c>
      <c r="B265">
        <v>58.5</v>
      </c>
      <c r="C265" s="2">
        <f t="shared" si="4"/>
        <v>0.70256410256410251</v>
      </c>
    </row>
    <row r="266" spans="1:3" x14ac:dyDescent="0.25">
      <c r="A266" s="1">
        <v>29221</v>
      </c>
      <c r="B266">
        <v>59.4</v>
      </c>
      <c r="C266" s="2">
        <f t="shared" si="4"/>
        <v>0.70707070707070707</v>
      </c>
    </row>
    <row r="267" spans="1:3" x14ac:dyDescent="0.25">
      <c r="A267" s="1">
        <v>29252</v>
      </c>
      <c r="B267">
        <v>60.4</v>
      </c>
      <c r="C267" s="2">
        <f t="shared" si="4"/>
        <v>0.71192052980132448</v>
      </c>
    </row>
    <row r="268" spans="1:3" x14ac:dyDescent="0.25">
      <c r="A268" s="1">
        <v>29281</v>
      </c>
      <c r="B268">
        <v>61.9</v>
      </c>
      <c r="C268" s="2">
        <f t="shared" si="4"/>
        <v>0.71890145395799676</v>
      </c>
    </row>
    <row r="269" spans="1:3" x14ac:dyDescent="0.25">
      <c r="A269" s="1">
        <v>29312</v>
      </c>
      <c r="B269">
        <v>63.1</v>
      </c>
      <c r="C269" s="2">
        <f t="shared" si="4"/>
        <v>0.72424722662440577</v>
      </c>
    </row>
    <row r="270" spans="1:3" x14ac:dyDescent="0.25">
      <c r="A270" s="1">
        <v>29342</v>
      </c>
      <c r="B270">
        <v>64.5</v>
      </c>
      <c r="C270" s="2">
        <f t="shared" si="4"/>
        <v>0.73023255813953492</v>
      </c>
    </row>
    <row r="271" spans="1:3" x14ac:dyDescent="0.25">
      <c r="A271" s="1">
        <v>29373</v>
      </c>
      <c r="B271">
        <v>65.8</v>
      </c>
      <c r="C271" s="2">
        <f t="shared" si="4"/>
        <v>0.73556231003039518</v>
      </c>
    </row>
    <row r="272" spans="1:3" x14ac:dyDescent="0.25">
      <c r="A272" s="1">
        <v>29403</v>
      </c>
      <c r="B272">
        <v>66.7</v>
      </c>
      <c r="C272" s="2">
        <f t="shared" si="4"/>
        <v>0.73913043478260865</v>
      </c>
    </row>
    <row r="273" spans="1:3" x14ac:dyDescent="0.25">
      <c r="A273" s="1">
        <v>29434</v>
      </c>
      <c r="B273">
        <v>67.599999999999994</v>
      </c>
      <c r="C273" s="2">
        <f t="shared" si="4"/>
        <v>0.74260355029585801</v>
      </c>
    </row>
    <row r="274" spans="1:3" x14ac:dyDescent="0.25">
      <c r="A274" s="1">
        <v>29465</v>
      </c>
      <c r="B274">
        <v>68.900000000000006</v>
      </c>
      <c r="C274" s="2">
        <f t="shared" si="4"/>
        <v>0.7474600870827286</v>
      </c>
    </row>
    <row r="275" spans="1:3" x14ac:dyDescent="0.25">
      <c r="A275" s="1">
        <v>29495</v>
      </c>
      <c r="B275">
        <v>69.2</v>
      </c>
      <c r="C275" s="2">
        <f t="shared" si="4"/>
        <v>0.74855491329479773</v>
      </c>
    </row>
    <row r="276" spans="1:3" x14ac:dyDescent="0.25">
      <c r="A276" s="1">
        <v>29526</v>
      </c>
      <c r="B276">
        <v>68.599999999999994</v>
      </c>
      <c r="C276" s="2">
        <f t="shared" si="4"/>
        <v>0.74635568513119532</v>
      </c>
    </row>
    <row r="277" spans="1:3" x14ac:dyDescent="0.25">
      <c r="A277" s="1">
        <v>29556</v>
      </c>
      <c r="B277">
        <v>69</v>
      </c>
      <c r="C277" s="2">
        <f t="shared" si="4"/>
        <v>0.74782608695652175</v>
      </c>
    </row>
    <row r="278" spans="1:3" x14ac:dyDescent="0.25">
      <c r="A278" s="1">
        <v>29587</v>
      </c>
      <c r="B278">
        <v>69.900000000000006</v>
      </c>
      <c r="C278" s="2">
        <f t="shared" si="4"/>
        <v>0.75107296137339064</v>
      </c>
    </row>
    <row r="279" spans="1:3" x14ac:dyDescent="0.25">
      <c r="A279" s="1">
        <v>29618</v>
      </c>
      <c r="B279">
        <v>70.8</v>
      </c>
      <c r="C279" s="2">
        <f t="shared" si="4"/>
        <v>0.75423728813559321</v>
      </c>
    </row>
    <row r="280" spans="1:3" x14ac:dyDescent="0.25">
      <c r="A280" s="1">
        <v>29646</v>
      </c>
      <c r="B280">
        <v>71.7</v>
      </c>
      <c r="C280" s="2">
        <f t="shared" si="4"/>
        <v>0.75732217573221761</v>
      </c>
    </row>
    <row r="281" spans="1:3" x14ac:dyDescent="0.25">
      <c r="A281" s="1">
        <v>29677</v>
      </c>
      <c r="B281">
        <v>72</v>
      </c>
      <c r="C281" s="2">
        <f t="shared" si="4"/>
        <v>0.7583333333333333</v>
      </c>
    </row>
    <row r="282" spans="1:3" x14ac:dyDescent="0.25">
      <c r="A282" s="1">
        <v>29707</v>
      </c>
      <c r="B282">
        <v>73.599999999999994</v>
      </c>
      <c r="C282" s="2">
        <f t="shared" si="4"/>
        <v>0.76358695652173914</v>
      </c>
    </row>
    <row r="283" spans="1:3" x14ac:dyDescent="0.25">
      <c r="A283" s="1">
        <v>29738</v>
      </c>
      <c r="B283">
        <v>74.900000000000006</v>
      </c>
      <c r="C283" s="2">
        <f t="shared" si="4"/>
        <v>0.76769025367156218</v>
      </c>
    </row>
    <row r="284" spans="1:3" x14ac:dyDescent="0.25">
      <c r="A284" s="1">
        <v>29768</v>
      </c>
      <c r="B284">
        <v>76.3</v>
      </c>
      <c r="C284" s="2">
        <f t="shared" si="4"/>
        <v>0.77195281782437752</v>
      </c>
    </row>
    <row r="285" spans="1:3" x14ac:dyDescent="0.25">
      <c r="A285" s="1">
        <v>29799</v>
      </c>
      <c r="B285">
        <v>78.900000000000006</v>
      </c>
      <c r="C285" s="2">
        <f t="shared" si="4"/>
        <v>0.77946768060836502</v>
      </c>
    </row>
    <row r="286" spans="1:3" x14ac:dyDescent="0.25">
      <c r="A286" s="1">
        <v>29830</v>
      </c>
      <c r="B286">
        <v>78.2</v>
      </c>
      <c r="C286" s="2">
        <f t="shared" si="4"/>
        <v>0.77749360613810747</v>
      </c>
    </row>
    <row r="287" spans="1:3" x14ac:dyDescent="0.25">
      <c r="A287" s="1">
        <v>29860</v>
      </c>
      <c r="B287">
        <v>77.7</v>
      </c>
      <c r="C287" s="2">
        <f t="shared" si="4"/>
        <v>0.77606177606177607</v>
      </c>
    </row>
    <row r="288" spans="1:3" x14ac:dyDescent="0.25">
      <c r="A288" s="1">
        <v>29891</v>
      </c>
      <c r="B288">
        <v>77.7</v>
      </c>
      <c r="C288" s="2">
        <f t="shared" si="4"/>
        <v>0.77606177606177607</v>
      </c>
    </row>
    <row r="289" spans="1:3" x14ac:dyDescent="0.25">
      <c r="A289" s="1">
        <v>29921</v>
      </c>
      <c r="B289">
        <v>78.8</v>
      </c>
      <c r="C289" s="2">
        <f t="shared" si="4"/>
        <v>0.77918781725888331</v>
      </c>
    </row>
    <row r="290" spans="1:3" x14ac:dyDescent="0.25">
      <c r="A290" s="1">
        <v>29952</v>
      </c>
      <c r="B290">
        <v>80.8</v>
      </c>
      <c r="C290" s="2">
        <f t="shared" si="4"/>
        <v>0.78465346534653468</v>
      </c>
    </row>
    <row r="291" spans="1:3" x14ac:dyDescent="0.25">
      <c r="A291" s="1">
        <v>29983</v>
      </c>
      <c r="B291">
        <v>80.900000000000006</v>
      </c>
      <c r="C291" s="2">
        <f t="shared" si="4"/>
        <v>0.784919653893696</v>
      </c>
    </row>
    <row r="292" spans="1:3" x14ac:dyDescent="0.25">
      <c r="A292" s="1">
        <v>30011</v>
      </c>
      <c r="B292">
        <v>83.9</v>
      </c>
      <c r="C292" s="2">
        <f t="shared" si="4"/>
        <v>0.79261025029797383</v>
      </c>
    </row>
    <row r="293" spans="1:3" x14ac:dyDescent="0.25">
      <c r="A293" s="1">
        <v>30042</v>
      </c>
      <c r="B293">
        <v>84.1</v>
      </c>
      <c r="C293" s="2">
        <f t="shared" si="4"/>
        <v>0.7931034482758621</v>
      </c>
    </row>
    <row r="294" spans="1:3" x14ac:dyDescent="0.25">
      <c r="A294" s="1">
        <v>30072</v>
      </c>
      <c r="B294">
        <v>83.8</v>
      </c>
      <c r="C294" s="2">
        <f t="shared" si="4"/>
        <v>0.79236276849642007</v>
      </c>
    </row>
    <row r="295" spans="1:3" x14ac:dyDescent="0.25">
      <c r="A295" s="1">
        <v>30103</v>
      </c>
      <c r="B295">
        <v>83.8</v>
      </c>
      <c r="C295" s="2">
        <f t="shared" si="4"/>
        <v>0.79236276849642007</v>
      </c>
    </row>
    <row r="296" spans="1:3" x14ac:dyDescent="0.25">
      <c r="A296" s="1">
        <v>30133</v>
      </c>
      <c r="B296">
        <v>85.9</v>
      </c>
      <c r="C296" s="2">
        <f t="shared" si="4"/>
        <v>0.79743888242142025</v>
      </c>
    </row>
    <row r="297" spans="1:3" x14ac:dyDescent="0.25">
      <c r="A297" s="1">
        <v>30164</v>
      </c>
      <c r="B297">
        <v>85.8</v>
      </c>
      <c r="C297" s="2">
        <f t="shared" si="4"/>
        <v>0.79720279720279719</v>
      </c>
    </row>
    <row r="298" spans="1:3" x14ac:dyDescent="0.25">
      <c r="A298" s="1">
        <v>30195</v>
      </c>
      <c r="B298">
        <v>85.6</v>
      </c>
      <c r="C298" s="2">
        <f t="shared" si="4"/>
        <v>0.79672897196261683</v>
      </c>
    </row>
    <row r="299" spans="1:3" x14ac:dyDescent="0.25">
      <c r="A299" s="1">
        <v>30225</v>
      </c>
      <c r="B299">
        <v>84.7</v>
      </c>
      <c r="C299" s="2">
        <f t="shared" si="4"/>
        <v>0.79456906729634003</v>
      </c>
    </row>
    <row r="300" spans="1:3" x14ac:dyDescent="0.25">
      <c r="A300" s="1">
        <v>30256</v>
      </c>
      <c r="B300">
        <v>84.3</v>
      </c>
      <c r="C300" s="2">
        <f t="shared" si="4"/>
        <v>0.79359430604982206</v>
      </c>
    </row>
    <row r="301" spans="1:3" x14ac:dyDescent="0.25">
      <c r="A301" s="1">
        <v>30286</v>
      </c>
      <c r="B301">
        <v>85.5</v>
      </c>
      <c r="C301" s="2">
        <f t="shared" si="4"/>
        <v>0.79649122807017547</v>
      </c>
    </row>
    <row r="302" spans="1:3" x14ac:dyDescent="0.25">
      <c r="A302" s="1">
        <v>30317</v>
      </c>
      <c r="B302">
        <v>85.6</v>
      </c>
      <c r="C302" s="2">
        <f t="shared" si="4"/>
        <v>0.79672897196261683</v>
      </c>
    </row>
    <row r="303" spans="1:3" x14ac:dyDescent="0.25">
      <c r="A303" s="1">
        <v>30348</v>
      </c>
      <c r="B303">
        <v>85.6</v>
      </c>
      <c r="C303" s="2">
        <f t="shared" si="4"/>
        <v>0.79672897196261683</v>
      </c>
    </row>
    <row r="304" spans="1:3" x14ac:dyDescent="0.25">
      <c r="A304" s="1">
        <v>30376</v>
      </c>
      <c r="B304">
        <v>85.6</v>
      </c>
      <c r="C304" s="2">
        <f t="shared" si="4"/>
        <v>0.79672897196261683</v>
      </c>
    </row>
    <row r="305" spans="1:3" x14ac:dyDescent="0.25">
      <c r="A305" s="1">
        <v>30407</v>
      </c>
      <c r="B305">
        <v>85.3</v>
      </c>
      <c r="C305" s="2">
        <f t="shared" si="4"/>
        <v>0.79601406799531071</v>
      </c>
    </row>
    <row r="306" spans="1:3" x14ac:dyDescent="0.25">
      <c r="A306" s="1">
        <v>30437</v>
      </c>
      <c r="B306">
        <v>85.8</v>
      </c>
      <c r="C306" s="2">
        <f t="shared" si="4"/>
        <v>0.79720279720279719</v>
      </c>
    </row>
    <row r="307" spans="1:3" x14ac:dyDescent="0.25">
      <c r="A307" s="1">
        <v>30468</v>
      </c>
      <c r="B307">
        <v>87.2</v>
      </c>
      <c r="C307" s="2">
        <f t="shared" si="4"/>
        <v>0.80045871559633031</v>
      </c>
    </row>
    <row r="308" spans="1:3" x14ac:dyDescent="0.25">
      <c r="A308" s="1">
        <v>30498</v>
      </c>
      <c r="B308">
        <v>88</v>
      </c>
      <c r="C308" s="2">
        <f t="shared" si="4"/>
        <v>0.80227272727272725</v>
      </c>
    </row>
    <row r="309" spans="1:3" x14ac:dyDescent="0.25">
      <c r="A309" s="1">
        <v>30529</v>
      </c>
      <c r="B309">
        <v>87.8</v>
      </c>
      <c r="C309" s="2">
        <f t="shared" si="4"/>
        <v>0.80182232346241455</v>
      </c>
    </row>
    <row r="310" spans="1:3" x14ac:dyDescent="0.25">
      <c r="A310" s="1">
        <v>30560</v>
      </c>
      <c r="B310">
        <v>88</v>
      </c>
      <c r="C310" s="2">
        <f t="shared" si="4"/>
        <v>0.80227272727272725</v>
      </c>
    </row>
    <row r="311" spans="1:3" x14ac:dyDescent="0.25">
      <c r="A311" s="1">
        <v>30590</v>
      </c>
      <c r="B311">
        <v>88.1</v>
      </c>
      <c r="C311" s="2">
        <f t="shared" si="4"/>
        <v>0.80249716231555057</v>
      </c>
    </row>
    <row r="312" spans="1:3" x14ac:dyDescent="0.25">
      <c r="A312" s="1">
        <v>30621</v>
      </c>
      <c r="B312">
        <v>86.7</v>
      </c>
      <c r="C312" s="2">
        <f t="shared" si="4"/>
        <v>0.79930795847750868</v>
      </c>
    </row>
    <row r="313" spans="1:3" x14ac:dyDescent="0.25">
      <c r="A313" s="1">
        <v>30651</v>
      </c>
      <c r="B313">
        <v>86.7</v>
      </c>
      <c r="C313" s="2">
        <f t="shared" si="4"/>
        <v>0.79930795847750868</v>
      </c>
    </row>
    <row r="314" spans="1:3" x14ac:dyDescent="0.25">
      <c r="A314" s="1">
        <v>30682</v>
      </c>
      <c r="B314">
        <v>87.3</v>
      </c>
      <c r="C314" s="2">
        <f t="shared" si="4"/>
        <v>0.80068728522336774</v>
      </c>
    </row>
    <row r="315" spans="1:3" x14ac:dyDescent="0.25">
      <c r="A315" s="1">
        <v>30713</v>
      </c>
      <c r="B315">
        <v>87.9</v>
      </c>
      <c r="C315" s="2">
        <f t="shared" si="4"/>
        <v>0.80204778156996592</v>
      </c>
    </row>
    <row r="316" spans="1:3" x14ac:dyDescent="0.25">
      <c r="A316" s="1">
        <v>30742</v>
      </c>
      <c r="B316">
        <v>88.5</v>
      </c>
      <c r="C316" s="2">
        <f t="shared" si="4"/>
        <v>0.80338983050847457</v>
      </c>
    </row>
    <row r="317" spans="1:3" x14ac:dyDescent="0.25">
      <c r="A317" s="1">
        <v>30773</v>
      </c>
      <c r="B317">
        <v>89.8</v>
      </c>
      <c r="C317" s="2">
        <f t="shared" si="4"/>
        <v>0.80623608017817372</v>
      </c>
    </row>
    <row r="318" spans="1:3" x14ac:dyDescent="0.25">
      <c r="A318" s="1">
        <v>30803</v>
      </c>
      <c r="B318">
        <v>90.4</v>
      </c>
      <c r="C318" s="2">
        <f t="shared" si="4"/>
        <v>0.80752212389380529</v>
      </c>
    </row>
    <row r="319" spans="1:3" x14ac:dyDescent="0.25">
      <c r="A319" s="1">
        <v>30834</v>
      </c>
      <c r="B319">
        <v>92.2</v>
      </c>
      <c r="C319" s="2">
        <f t="shared" si="4"/>
        <v>0.81127982646420826</v>
      </c>
    </row>
    <row r="320" spans="1:3" x14ac:dyDescent="0.25">
      <c r="A320" s="1">
        <v>30864</v>
      </c>
      <c r="B320">
        <v>93.3</v>
      </c>
      <c r="C320" s="2">
        <f t="shared" si="4"/>
        <v>0.81350482315112538</v>
      </c>
    </row>
    <row r="321" spans="1:3" x14ac:dyDescent="0.25">
      <c r="A321" s="1">
        <v>30895</v>
      </c>
      <c r="B321">
        <v>93.8</v>
      </c>
      <c r="C321" s="2">
        <f t="shared" si="4"/>
        <v>0.81449893390191896</v>
      </c>
    </row>
    <row r="322" spans="1:3" x14ac:dyDescent="0.25">
      <c r="A322" s="1">
        <v>30926</v>
      </c>
      <c r="B322">
        <v>93.7</v>
      </c>
      <c r="C322" s="2">
        <f t="shared" ref="C322:C385" si="5">1-(B$2/B322)</f>
        <v>0.8143009605122733</v>
      </c>
    </row>
    <row r="323" spans="1:3" x14ac:dyDescent="0.25">
      <c r="A323" s="1">
        <v>30956</v>
      </c>
      <c r="B323">
        <v>92.6</v>
      </c>
      <c r="C323" s="2">
        <f t="shared" si="5"/>
        <v>0.81209503239740821</v>
      </c>
    </row>
    <row r="324" spans="1:3" x14ac:dyDescent="0.25">
      <c r="A324" s="1">
        <v>30987</v>
      </c>
      <c r="B324">
        <v>92.1</v>
      </c>
      <c r="C324" s="2">
        <f t="shared" si="5"/>
        <v>0.81107491856677527</v>
      </c>
    </row>
    <row r="325" spans="1:3" x14ac:dyDescent="0.25">
      <c r="A325" s="1">
        <v>31017</v>
      </c>
      <c r="B325">
        <v>92.1</v>
      </c>
      <c r="C325" s="2">
        <f t="shared" si="5"/>
        <v>0.81107491856677527</v>
      </c>
    </row>
    <row r="326" spans="1:3" x14ac:dyDescent="0.25">
      <c r="A326" s="1">
        <v>31048</v>
      </c>
      <c r="B326">
        <v>93.1</v>
      </c>
      <c r="C326" s="2">
        <f t="shared" si="5"/>
        <v>0.81310418904403869</v>
      </c>
    </row>
    <row r="327" spans="1:3" x14ac:dyDescent="0.25">
      <c r="A327" s="1">
        <v>31079</v>
      </c>
      <c r="B327">
        <v>93.2</v>
      </c>
      <c r="C327" s="2">
        <f t="shared" si="5"/>
        <v>0.81330472103004292</v>
      </c>
    </row>
    <row r="328" spans="1:3" x14ac:dyDescent="0.25">
      <c r="A328" s="1">
        <v>31107</v>
      </c>
      <c r="B328">
        <v>93.7</v>
      </c>
      <c r="C328" s="2">
        <f t="shared" si="5"/>
        <v>0.8143009605122733</v>
      </c>
    </row>
    <row r="329" spans="1:3" x14ac:dyDescent="0.25">
      <c r="A329" s="1">
        <v>31138</v>
      </c>
      <c r="B329">
        <v>94.3</v>
      </c>
      <c r="C329" s="2">
        <f t="shared" si="5"/>
        <v>0.81548250265111344</v>
      </c>
    </row>
    <row r="330" spans="1:3" x14ac:dyDescent="0.25">
      <c r="A330" s="1">
        <v>31168</v>
      </c>
      <c r="B330">
        <v>94.1</v>
      </c>
      <c r="C330" s="2">
        <f t="shared" si="5"/>
        <v>0.8150903294367694</v>
      </c>
    </row>
    <row r="331" spans="1:3" x14ac:dyDescent="0.25">
      <c r="A331" s="1">
        <v>31199</v>
      </c>
      <c r="B331">
        <v>95.8</v>
      </c>
      <c r="C331" s="2">
        <f t="shared" si="5"/>
        <v>0.81837160751565763</v>
      </c>
    </row>
    <row r="332" spans="1:3" x14ac:dyDescent="0.25">
      <c r="A332" s="1">
        <v>31229</v>
      </c>
      <c r="B332">
        <v>95.9</v>
      </c>
      <c r="C332" s="2">
        <f t="shared" si="5"/>
        <v>0.81856100104275287</v>
      </c>
    </row>
    <row r="333" spans="1:3" x14ac:dyDescent="0.25">
      <c r="A333" s="1">
        <v>31260</v>
      </c>
      <c r="B333">
        <v>96.3</v>
      </c>
      <c r="C333" s="2">
        <f t="shared" si="5"/>
        <v>0.81931464174454827</v>
      </c>
    </row>
    <row r="334" spans="1:3" x14ac:dyDescent="0.25">
      <c r="A334" s="1">
        <v>31291</v>
      </c>
      <c r="B334">
        <v>96</v>
      </c>
      <c r="C334" s="2">
        <f t="shared" si="5"/>
        <v>0.81874999999999998</v>
      </c>
    </row>
    <row r="335" spans="1:3" x14ac:dyDescent="0.25">
      <c r="A335" s="1">
        <v>31321</v>
      </c>
      <c r="B335">
        <v>95.5</v>
      </c>
      <c r="C335" s="2">
        <f t="shared" si="5"/>
        <v>0.8178010471204189</v>
      </c>
    </row>
    <row r="336" spans="1:3" x14ac:dyDescent="0.25">
      <c r="A336" s="1">
        <v>31352</v>
      </c>
      <c r="B336">
        <v>95.1</v>
      </c>
      <c r="C336" s="2">
        <f t="shared" si="5"/>
        <v>0.81703470031545744</v>
      </c>
    </row>
    <row r="337" spans="1:3" x14ac:dyDescent="0.25">
      <c r="A337" s="1">
        <v>31382</v>
      </c>
      <c r="B337">
        <v>95</v>
      </c>
      <c r="C337" s="2">
        <f t="shared" si="5"/>
        <v>0.81684210526315792</v>
      </c>
    </row>
    <row r="338" spans="1:3" x14ac:dyDescent="0.25">
      <c r="A338" s="1">
        <v>31413</v>
      </c>
      <c r="B338">
        <v>96</v>
      </c>
      <c r="C338" s="2">
        <f t="shared" si="5"/>
        <v>0.81874999999999998</v>
      </c>
    </row>
    <row r="339" spans="1:3" x14ac:dyDescent="0.25">
      <c r="A339" s="1">
        <v>31444</v>
      </c>
      <c r="B339">
        <v>96.7</v>
      </c>
      <c r="C339" s="2">
        <f t="shared" si="5"/>
        <v>0.8200620475698035</v>
      </c>
    </row>
    <row r="340" spans="1:3" x14ac:dyDescent="0.25">
      <c r="A340" s="1">
        <v>31472</v>
      </c>
      <c r="B340">
        <v>96.2</v>
      </c>
      <c r="C340" s="2">
        <f t="shared" si="5"/>
        <v>0.81912681912681917</v>
      </c>
    </row>
    <row r="341" spans="1:3" x14ac:dyDescent="0.25">
      <c r="A341" s="1">
        <v>31503</v>
      </c>
      <c r="B341">
        <v>95.6</v>
      </c>
      <c r="C341" s="2">
        <f t="shared" si="5"/>
        <v>0.81799163179916312</v>
      </c>
    </row>
    <row r="342" spans="1:3" x14ac:dyDescent="0.25">
      <c r="A342" s="1">
        <v>31533</v>
      </c>
      <c r="B342">
        <v>95.9</v>
      </c>
      <c r="C342" s="2">
        <f t="shared" si="5"/>
        <v>0.81856100104275287</v>
      </c>
    </row>
    <row r="343" spans="1:3" x14ac:dyDescent="0.25">
      <c r="A343" s="1">
        <v>31564</v>
      </c>
      <c r="B343">
        <v>96.9</v>
      </c>
      <c r="C343" s="2">
        <f t="shared" si="5"/>
        <v>0.82043343653250778</v>
      </c>
    </row>
    <row r="344" spans="1:3" x14ac:dyDescent="0.25">
      <c r="A344" s="1">
        <v>31594</v>
      </c>
      <c r="B344">
        <v>97.7</v>
      </c>
      <c r="C344" s="2">
        <f t="shared" si="5"/>
        <v>0.82190378710337775</v>
      </c>
    </row>
    <row r="345" spans="1:3" x14ac:dyDescent="0.25">
      <c r="A345" s="1">
        <v>31625</v>
      </c>
      <c r="B345">
        <v>97.8</v>
      </c>
      <c r="C345" s="2">
        <f t="shared" si="5"/>
        <v>0.82208588957055218</v>
      </c>
    </row>
    <row r="346" spans="1:3" x14ac:dyDescent="0.25">
      <c r="A346" s="1">
        <v>31656</v>
      </c>
      <c r="B346">
        <v>97.8</v>
      </c>
      <c r="C346" s="2">
        <f t="shared" si="5"/>
        <v>0.82208588957055218</v>
      </c>
    </row>
    <row r="347" spans="1:3" x14ac:dyDescent="0.25">
      <c r="A347" s="1">
        <v>31686</v>
      </c>
      <c r="B347">
        <v>95.1</v>
      </c>
      <c r="C347" s="2">
        <f t="shared" si="5"/>
        <v>0.81703470031545744</v>
      </c>
    </row>
    <row r="348" spans="1:3" x14ac:dyDescent="0.25">
      <c r="A348" s="1">
        <v>31717</v>
      </c>
      <c r="B348">
        <v>94.8</v>
      </c>
      <c r="C348" s="2">
        <f t="shared" si="5"/>
        <v>0.81645569620253167</v>
      </c>
    </row>
    <row r="349" spans="1:3" x14ac:dyDescent="0.25">
      <c r="A349" s="1">
        <v>31747</v>
      </c>
      <c r="B349">
        <v>94.5</v>
      </c>
      <c r="C349" s="2">
        <f t="shared" si="5"/>
        <v>0.81587301587301586</v>
      </c>
    </row>
    <row r="350" spans="1:3" x14ac:dyDescent="0.25">
      <c r="A350" s="1">
        <v>31778</v>
      </c>
      <c r="B350">
        <v>92.7</v>
      </c>
      <c r="C350" s="2">
        <f t="shared" si="5"/>
        <v>0.81229773462783172</v>
      </c>
    </row>
    <row r="351" spans="1:3" x14ac:dyDescent="0.25">
      <c r="A351" s="1">
        <v>31809</v>
      </c>
      <c r="B351">
        <v>92.3</v>
      </c>
      <c r="C351" s="2">
        <f t="shared" si="5"/>
        <v>0.81148429035752978</v>
      </c>
    </row>
    <row r="352" spans="1:3" x14ac:dyDescent="0.25">
      <c r="A352" s="1">
        <v>31837</v>
      </c>
      <c r="B352">
        <v>92.7</v>
      </c>
      <c r="C352" s="2">
        <f t="shared" si="5"/>
        <v>0.81229773462783172</v>
      </c>
    </row>
    <row r="353" spans="1:3" x14ac:dyDescent="0.25">
      <c r="A353" s="1">
        <v>31868</v>
      </c>
      <c r="B353">
        <v>92.4</v>
      </c>
      <c r="C353" s="2">
        <f t="shared" si="5"/>
        <v>0.81168831168831168</v>
      </c>
    </row>
    <row r="354" spans="1:3" x14ac:dyDescent="0.25">
      <c r="A354" s="1">
        <v>31898</v>
      </c>
      <c r="B354">
        <v>94</v>
      </c>
      <c r="C354" s="2">
        <f t="shared" si="5"/>
        <v>0.81489361702127661</v>
      </c>
    </row>
    <row r="355" spans="1:3" x14ac:dyDescent="0.25">
      <c r="A355" s="1">
        <v>31929</v>
      </c>
      <c r="B355">
        <v>95.8</v>
      </c>
      <c r="C355" s="2">
        <f t="shared" si="5"/>
        <v>0.81837160751565763</v>
      </c>
    </row>
    <row r="356" spans="1:3" x14ac:dyDescent="0.25">
      <c r="A356" s="1">
        <v>31959</v>
      </c>
      <c r="B356">
        <v>97.7</v>
      </c>
      <c r="C356" s="2">
        <f t="shared" si="5"/>
        <v>0.82190378710337775</v>
      </c>
    </row>
    <row r="357" spans="1:3" x14ac:dyDescent="0.25">
      <c r="A357" s="1">
        <v>31990</v>
      </c>
      <c r="B357">
        <v>97.3</v>
      </c>
      <c r="C357" s="2">
        <f t="shared" si="5"/>
        <v>0.82117163412127447</v>
      </c>
    </row>
    <row r="358" spans="1:3" x14ac:dyDescent="0.25">
      <c r="A358" s="1">
        <v>32021</v>
      </c>
      <c r="B358">
        <v>97.1</v>
      </c>
      <c r="C358" s="2">
        <f t="shared" si="5"/>
        <v>0.82080329557157572</v>
      </c>
    </row>
    <row r="359" spans="1:3" x14ac:dyDescent="0.25">
      <c r="A359" s="1">
        <v>32051</v>
      </c>
      <c r="B359">
        <v>93.3</v>
      </c>
      <c r="C359" s="2">
        <f t="shared" si="5"/>
        <v>0.81350482315112538</v>
      </c>
    </row>
    <row r="360" spans="1:3" x14ac:dyDescent="0.25">
      <c r="A360" s="1">
        <v>32082</v>
      </c>
      <c r="B360">
        <v>91.8</v>
      </c>
      <c r="C360" s="2">
        <f t="shared" si="5"/>
        <v>0.81045751633986929</v>
      </c>
    </row>
    <row r="361" spans="1:3" x14ac:dyDescent="0.25">
      <c r="A361" s="1">
        <v>32112</v>
      </c>
      <c r="B361">
        <v>92.2</v>
      </c>
      <c r="C361" s="2">
        <f t="shared" si="5"/>
        <v>0.81127982646420826</v>
      </c>
    </row>
    <row r="362" spans="1:3" x14ac:dyDescent="0.25">
      <c r="A362" s="1">
        <v>32143</v>
      </c>
      <c r="B362">
        <v>91.5</v>
      </c>
      <c r="C362" s="2">
        <f t="shared" si="5"/>
        <v>0.80983606557377052</v>
      </c>
    </row>
    <row r="363" spans="1:3" x14ac:dyDescent="0.25">
      <c r="A363" s="1">
        <v>32174</v>
      </c>
      <c r="B363">
        <v>91.7</v>
      </c>
      <c r="C363" s="2">
        <f t="shared" si="5"/>
        <v>0.81025081788440567</v>
      </c>
    </row>
    <row r="364" spans="1:3" x14ac:dyDescent="0.25">
      <c r="A364" s="1">
        <v>32203</v>
      </c>
      <c r="B364">
        <v>91.6</v>
      </c>
      <c r="C364" s="2">
        <f t="shared" si="5"/>
        <v>0.81004366812227069</v>
      </c>
    </row>
    <row r="365" spans="1:3" x14ac:dyDescent="0.25">
      <c r="A365" s="1">
        <v>32234</v>
      </c>
      <c r="B365">
        <v>91.7</v>
      </c>
      <c r="C365" s="2">
        <f t="shared" si="5"/>
        <v>0.81025081788440567</v>
      </c>
    </row>
    <row r="366" spans="1:3" x14ac:dyDescent="0.25">
      <c r="A366" s="1">
        <v>32264</v>
      </c>
      <c r="B366">
        <v>91.6</v>
      </c>
      <c r="C366" s="2">
        <f t="shared" si="5"/>
        <v>0.81004366812227069</v>
      </c>
    </row>
    <row r="367" spans="1:3" x14ac:dyDescent="0.25">
      <c r="A367" s="1">
        <v>32295</v>
      </c>
      <c r="B367">
        <v>98.5</v>
      </c>
      <c r="C367" s="2">
        <f t="shared" si="5"/>
        <v>0.82335025380710658</v>
      </c>
    </row>
    <row r="368" spans="1:3" x14ac:dyDescent="0.25">
      <c r="A368" s="1">
        <v>32325</v>
      </c>
      <c r="B368">
        <v>99.4</v>
      </c>
      <c r="C368" s="2">
        <f t="shared" si="5"/>
        <v>0.82494969818913488</v>
      </c>
    </row>
    <row r="369" spans="1:3" x14ac:dyDescent="0.25">
      <c r="A369" s="1">
        <v>32356</v>
      </c>
      <c r="B369">
        <v>99.5</v>
      </c>
      <c r="C369" s="2">
        <f t="shared" si="5"/>
        <v>0.82512562814070356</v>
      </c>
    </row>
    <row r="370" spans="1:3" x14ac:dyDescent="0.25">
      <c r="A370" s="1">
        <v>32387</v>
      </c>
      <c r="B370">
        <v>99.7</v>
      </c>
      <c r="C370" s="2">
        <f t="shared" si="5"/>
        <v>0.82547642928786358</v>
      </c>
    </row>
    <row r="371" spans="1:3" x14ac:dyDescent="0.25">
      <c r="A371" s="1">
        <v>32417</v>
      </c>
      <c r="B371">
        <v>96</v>
      </c>
      <c r="C371" s="2">
        <f t="shared" si="5"/>
        <v>0.81874999999999998</v>
      </c>
    </row>
    <row r="372" spans="1:3" x14ac:dyDescent="0.25">
      <c r="A372" s="1">
        <v>32448</v>
      </c>
      <c r="B372">
        <v>91.8</v>
      </c>
      <c r="C372" s="2">
        <f t="shared" si="5"/>
        <v>0.81045751633986929</v>
      </c>
    </row>
    <row r="373" spans="1:3" x14ac:dyDescent="0.25">
      <c r="A373" s="1">
        <v>32478</v>
      </c>
      <c r="B373">
        <v>92.9</v>
      </c>
      <c r="C373" s="2">
        <f t="shared" si="5"/>
        <v>0.81270182992465023</v>
      </c>
    </row>
    <row r="374" spans="1:3" x14ac:dyDescent="0.25">
      <c r="A374" s="1">
        <v>32509</v>
      </c>
      <c r="B374">
        <v>94.2</v>
      </c>
      <c r="C374" s="2">
        <f t="shared" si="5"/>
        <v>0.8152866242038217</v>
      </c>
    </row>
    <row r="375" spans="1:3" x14ac:dyDescent="0.25">
      <c r="A375" s="1">
        <v>32540</v>
      </c>
      <c r="B375">
        <v>94.2</v>
      </c>
      <c r="C375" s="2">
        <f t="shared" si="5"/>
        <v>0.8152866242038217</v>
      </c>
    </row>
    <row r="376" spans="1:3" x14ac:dyDescent="0.25">
      <c r="A376" s="1">
        <v>32568</v>
      </c>
      <c r="B376">
        <v>94.4</v>
      </c>
      <c r="C376" s="2">
        <f t="shared" si="5"/>
        <v>0.81567796610169496</v>
      </c>
    </row>
    <row r="377" spans="1:3" x14ac:dyDescent="0.25">
      <c r="A377" s="1">
        <v>32599</v>
      </c>
      <c r="B377">
        <v>94.5</v>
      </c>
      <c r="C377" s="2">
        <f t="shared" si="5"/>
        <v>0.81587301587301586</v>
      </c>
    </row>
    <row r="378" spans="1:3" x14ac:dyDescent="0.25">
      <c r="A378" s="1">
        <v>32629</v>
      </c>
      <c r="B378">
        <v>95.5</v>
      </c>
      <c r="C378" s="2">
        <f t="shared" si="5"/>
        <v>0.8178010471204189</v>
      </c>
    </row>
    <row r="379" spans="1:3" x14ac:dyDescent="0.25">
      <c r="A379" s="1">
        <v>32660</v>
      </c>
      <c r="B379">
        <v>100.7</v>
      </c>
      <c r="C379" s="2">
        <f t="shared" si="5"/>
        <v>0.82720953326713009</v>
      </c>
    </row>
    <row r="380" spans="1:3" x14ac:dyDescent="0.25">
      <c r="A380" s="1">
        <v>32690</v>
      </c>
      <c r="B380">
        <v>102.8</v>
      </c>
      <c r="C380" s="2">
        <f t="shared" si="5"/>
        <v>0.83073929961089499</v>
      </c>
    </row>
    <row r="381" spans="1:3" x14ac:dyDescent="0.25">
      <c r="A381" s="1">
        <v>32721</v>
      </c>
      <c r="B381">
        <v>102.9</v>
      </c>
      <c r="C381" s="2">
        <f t="shared" si="5"/>
        <v>0.83090379008746362</v>
      </c>
    </row>
    <row r="382" spans="1:3" x14ac:dyDescent="0.25">
      <c r="A382" s="1">
        <v>32752</v>
      </c>
      <c r="B382">
        <v>103</v>
      </c>
      <c r="C382" s="2">
        <f t="shared" si="5"/>
        <v>0.83106796116504855</v>
      </c>
    </row>
    <row r="383" spans="1:3" x14ac:dyDescent="0.25">
      <c r="A383" s="1">
        <v>32782</v>
      </c>
      <c r="B383">
        <v>98.5</v>
      </c>
      <c r="C383" s="2">
        <f t="shared" si="5"/>
        <v>0.82335025380710658</v>
      </c>
    </row>
    <row r="384" spans="1:3" x14ac:dyDescent="0.25">
      <c r="A384" s="1">
        <v>32813</v>
      </c>
      <c r="B384">
        <v>95.4</v>
      </c>
      <c r="C384" s="2">
        <f t="shared" si="5"/>
        <v>0.8176100628930818</v>
      </c>
    </row>
    <row r="385" spans="1:3" x14ac:dyDescent="0.25">
      <c r="A385" s="1">
        <v>32843</v>
      </c>
      <c r="B385">
        <v>96</v>
      </c>
      <c r="C385" s="2">
        <f t="shared" si="5"/>
        <v>0.81874999999999998</v>
      </c>
    </row>
    <row r="386" spans="1:3" x14ac:dyDescent="0.25">
      <c r="A386" s="1">
        <v>32874</v>
      </c>
      <c r="B386">
        <v>96.6</v>
      </c>
      <c r="C386" s="2">
        <f t="shared" ref="C386:C449" si="6">1-(B$2/B386)</f>
        <v>0.81987577639751552</v>
      </c>
    </row>
    <row r="387" spans="1:3" x14ac:dyDescent="0.25">
      <c r="A387" s="1">
        <v>32905</v>
      </c>
      <c r="B387">
        <v>96.7</v>
      </c>
      <c r="C387" s="2">
        <f t="shared" si="6"/>
        <v>0.8200620475698035</v>
      </c>
    </row>
    <row r="388" spans="1:3" x14ac:dyDescent="0.25">
      <c r="A388" s="1">
        <v>32933</v>
      </c>
      <c r="B388">
        <v>97</v>
      </c>
      <c r="C388" s="2">
        <f t="shared" si="6"/>
        <v>0.8206185567010309</v>
      </c>
    </row>
    <row r="389" spans="1:3" x14ac:dyDescent="0.25">
      <c r="A389" s="1">
        <v>32964</v>
      </c>
      <c r="B389">
        <v>96.8</v>
      </c>
      <c r="C389" s="2">
        <f t="shared" si="6"/>
        <v>0.82024793388429751</v>
      </c>
    </row>
    <row r="390" spans="1:3" x14ac:dyDescent="0.25">
      <c r="A390" s="1">
        <v>32994</v>
      </c>
      <c r="B390">
        <v>98.3</v>
      </c>
      <c r="C390" s="2">
        <f t="shared" si="6"/>
        <v>0.82299084435401837</v>
      </c>
    </row>
    <row r="391" spans="1:3" x14ac:dyDescent="0.25">
      <c r="A391" s="1">
        <v>33025</v>
      </c>
      <c r="B391">
        <v>104.2</v>
      </c>
      <c r="C391" s="2">
        <f t="shared" si="6"/>
        <v>0.83301343570057584</v>
      </c>
    </row>
    <row r="392" spans="1:3" x14ac:dyDescent="0.25">
      <c r="A392" s="1">
        <v>33055</v>
      </c>
      <c r="B392">
        <v>104.6</v>
      </c>
      <c r="C392" s="2">
        <f t="shared" si="6"/>
        <v>0.83365200764818359</v>
      </c>
    </row>
    <row r="393" spans="1:3" x14ac:dyDescent="0.25">
      <c r="A393" s="1">
        <v>33086</v>
      </c>
      <c r="B393">
        <v>104.8</v>
      </c>
      <c r="C393" s="2">
        <f t="shared" si="6"/>
        <v>0.83396946564885499</v>
      </c>
    </row>
    <row r="394" spans="1:3" x14ac:dyDescent="0.25">
      <c r="A394" s="1">
        <v>33117</v>
      </c>
      <c r="B394">
        <v>105.1</v>
      </c>
      <c r="C394" s="2">
        <f t="shared" si="6"/>
        <v>0.83444338725023792</v>
      </c>
    </row>
    <row r="395" spans="1:3" x14ac:dyDescent="0.25">
      <c r="A395" s="1">
        <v>33147</v>
      </c>
      <c r="B395">
        <v>101.9</v>
      </c>
      <c r="C395" s="2">
        <f t="shared" si="6"/>
        <v>0.82924435721295386</v>
      </c>
    </row>
    <row r="396" spans="1:3" x14ac:dyDescent="0.25">
      <c r="A396" s="1">
        <v>33178</v>
      </c>
      <c r="B396">
        <v>101</v>
      </c>
      <c r="C396" s="2">
        <f t="shared" si="6"/>
        <v>0.82772277227722779</v>
      </c>
    </row>
    <row r="397" spans="1:3" x14ac:dyDescent="0.25">
      <c r="A397" s="1">
        <v>33208</v>
      </c>
      <c r="B397">
        <v>100</v>
      </c>
      <c r="C397" s="2">
        <f t="shared" si="6"/>
        <v>0.82600000000000007</v>
      </c>
    </row>
    <row r="398" spans="1:3" x14ac:dyDescent="0.25">
      <c r="A398" s="1">
        <v>33239</v>
      </c>
      <c r="B398">
        <v>104.4</v>
      </c>
      <c r="C398" s="2">
        <f t="shared" si="6"/>
        <v>0.83333333333333337</v>
      </c>
    </row>
    <row r="399" spans="1:3" x14ac:dyDescent="0.25">
      <c r="A399" s="1">
        <v>33270</v>
      </c>
      <c r="B399">
        <v>104.5</v>
      </c>
      <c r="C399" s="2">
        <f t="shared" si="6"/>
        <v>0.83349282296650717</v>
      </c>
    </row>
    <row r="400" spans="1:3" x14ac:dyDescent="0.25">
      <c r="A400" s="1">
        <v>33298</v>
      </c>
      <c r="B400">
        <v>104.5</v>
      </c>
      <c r="C400" s="2">
        <f t="shared" si="6"/>
        <v>0.83349282296650717</v>
      </c>
    </row>
    <row r="401" spans="1:3" x14ac:dyDescent="0.25">
      <c r="A401" s="1">
        <v>33329</v>
      </c>
      <c r="B401">
        <v>104.8</v>
      </c>
      <c r="C401" s="2">
        <f t="shared" si="6"/>
        <v>0.83396946564885499</v>
      </c>
    </row>
    <row r="402" spans="1:3" x14ac:dyDescent="0.25">
      <c r="A402" s="1">
        <v>33359</v>
      </c>
      <c r="B402">
        <v>107.8</v>
      </c>
      <c r="C402" s="2">
        <f t="shared" si="6"/>
        <v>0.83858998144712427</v>
      </c>
    </row>
    <row r="403" spans="1:3" x14ac:dyDescent="0.25">
      <c r="A403" s="1">
        <v>33390</v>
      </c>
      <c r="B403">
        <v>111.5</v>
      </c>
      <c r="C403" s="2">
        <f t="shared" si="6"/>
        <v>0.84394618834080715</v>
      </c>
    </row>
    <row r="404" spans="1:3" x14ac:dyDescent="0.25">
      <c r="A404" s="1">
        <v>33420</v>
      </c>
      <c r="B404">
        <v>113.1</v>
      </c>
      <c r="C404" s="2">
        <f t="shared" si="6"/>
        <v>0.84615384615384615</v>
      </c>
    </row>
    <row r="405" spans="1:3" x14ac:dyDescent="0.25">
      <c r="A405" s="1">
        <v>33451</v>
      </c>
      <c r="B405">
        <v>112.5</v>
      </c>
      <c r="C405" s="2">
        <f t="shared" si="6"/>
        <v>0.84533333333333338</v>
      </c>
    </row>
    <row r="406" spans="1:3" x14ac:dyDescent="0.25">
      <c r="A406" s="1">
        <v>33482</v>
      </c>
      <c r="B406">
        <v>112.5</v>
      </c>
      <c r="C406" s="2">
        <f t="shared" si="6"/>
        <v>0.84533333333333338</v>
      </c>
    </row>
    <row r="407" spans="1:3" x14ac:dyDescent="0.25">
      <c r="A407" s="1">
        <v>33512</v>
      </c>
      <c r="B407">
        <v>107.9</v>
      </c>
      <c r="C407" s="2">
        <f t="shared" si="6"/>
        <v>0.83873957367933272</v>
      </c>
    </row>
    <row r="408" spans="1:3" x14ac:dyDescent="0.25">
      <c r="A408" s="1">
        <v>33543</v>
      </c>
      <c r="B408">
        <v>103.5</v>
      </c>
      <c r="C408" s="2">
        <f t="shared" si="6"/>
        <v>0.8318840579710145</v>
      </c>
    </row>
    <row r="409" spans="1:3" x14ac:dyDescent="0.25">
      <c r="A409" s="1">
        <v>33573</v>
      </c>
      <c r="B409">
        <v>105.2</v>
      </c>
      <c r="C409" s="2">
        <f t="shared" si="6"/>
        <v>0.83460076045627374</v>
      </c>
    </row>
    <row r="410" spans="1:3" x14ac:dyDescent="0.25">
      <c r="A410" s="1">
        <v>33604</v>
      </c>
      <c r="B410">
        <v>105.9</v>
      </c>
      <c r="C410" s="2">
        <f t="shared" si="6"/>
        <v>0.8356940509915014</v>
      </c>
    </row>
    <row r="411" spans="1:3" x14ac:dyDescent="0.25">
      <c r="A411" s="1">
        <v>33635</v>
      </c>
      <c r="B411">
        <v>105.4</v>
      </c>
      <c r="C411" s="2">
        <f t="shared" si="6"/>
        <v>0.83491461100569264</v>
      </c>
    </row>
    <row r="412" spans="1:3" x14ac:dyDescent="0.25">
      <c r="A412" s="1">
        <v>33664</v>
      </c>
      <c r="B412">
        <v>105.7</v>
      </c>
      <c r="C412" s="2">
        <f t="shared" si="6"/>
        <v>0.83538315988647116</v>
      </c>
    </row>
    <row r="413" spans="1:3" x14ac:dyDescent="0.25">
      <c r="A413" s="1">
        <v>33695</v>
      </c>
      <c r="B413">
        <v>105</v>
      </c>
      <c r="C413" s="2">
        <f t="shared" si="6"/>
        <v>0.8342857142857143</v>
      </c>
    </row>
    <row r="414" spans="1:3" x14ac:dyDescent="0.25">
      <c r="A414" s="1">
        <v>33725</v>
      </c>
      <c r="B414">
        <v>108</v>
      </c>
      <c r="C414" s="2">
        <f t="shared" si="6"/>
        <v>0.83888888888888891</v>
      </c>
    </row>
    <row r="415" spans="1:3" x14ac:dyDescent="0.25">
      <c r="A415" s="1">
        <v>33756</v>
      </c>
      <c r="B415">
        <v>113.3</v>
      </c>
      <c r="C415" s="2">
        <f t="shared" si="6"/>
        <v>0.84642541924095327</v>
      </c>
    </row>
    <row r="416" spans="1:3" x14ac:dyDescent="0.25">
      <c r="A416" s="1">
        <v>33786</v>
      </c>
      <c r="B416">
        <v>114</v>
      </c>
      <c r="C416" s="2">
        <f t="shared" si="6"/>
        <v>0.84736842105263155</v>
      </c>
    </row>
    <row r="417" spans="1:3" x14ac:dyDescent="0.25">
      <c r="A417" s="1">
        <v>33817</v>
      </c>
      <c r="B417">
        <v>113.6</v>
      </c>
      <c r="C417" s="2">
        <f t="shared" si="6"/>
        <v>0.846830985915493</v>
      </c>
    </row>
    <row r="418" spans="1:3" x14ac:dyDescent="0.25">
      <c r="A418" s="1">
        <v>33848</v>
      </c>
      <c r="B418">
        <v>114.3</v>
      </c>
      <c r="C418" s="2">
        <f t="shared" si="6"/>
        <v>0.84776902887139105</v>
      </c>
    </row>
    <row r="419" spans="1:3" x14ac:dyDescent="0.25">
      <c r="A419" s="1">
        <v>33878</v>
      </c>
      <c r="B419">
        <v>110.3</v>
      </c>
      <c r="C419" s="2">
        <f t="shared" si="6"/>
        <v>0.84224841341795109</v>
      </c>
    </row>
    <row r="420" spans="1:3" x14ac:dyDescent="0.25">
      <c r="A420" s="1">
        <v>33909</v>
      </c>
      <c r="B420">
        <v>105.5</v>
      </c>
      <c r="C420" s="2">
        <f t="shared" si="6"/>
        <v>0.83507109004739344</v>
      </c>
    </row>
    <row r="421" spans="1:3" x14ac:dyDescent="0.25">
      <c r="A421" s="1">
        <v>33939</v>
      </c>
      <c r="B421">
        <v>106.6</v>
      </c>
      <c r="C421" s="2">
        <f t="shared" si="6"/>
        <v>0.83677298311444659</v>
      </c>
    </row>
    <row r="422" spans="1:3" x14ac:dyDescent="0.25">
      <c r="A422" s="1">
        <v>33970</v>
      </c>
      <c r="B422">
        <v>106.9</v>
      </c>
      <c r="C422" s="2">
        <f t="shared" si="6"/>
        <v>0.83723105706267542</v>
      </c>
    </row>
    <row r="423" spans="1:3" x14ac:dyDescent="0.25">
      <c r="A423" s="1">
        <v>34001</v>
      </c>
      <c r="B423">
        <v>106.3</v>
      </c>
      <c r="C423" s="2">
        <f t="shared" si="6"/>
        <v>0.8363123236124177</v>
      </c>
    </row>
    <row r="424" spans="1:3" x14ac:dyDescent="0.25">
      <c r="A424" s="1">
        <v>34029</v>
      </c>
      <c r="B424">
        <v>106.5</v>
      </c>
      <c r="C424" s="2">
        <f t="shared" si="6"/>
        <v>0.83661971830985915</v>
      </c>
    </row>
    <row r="425" spans="1:3" x14ac:dyDescent="0.25">
      <c r="A425" s="1">
        <v>34060</v>
      </c>
      <c r="B425">
        <v>106.7</v>
      </c>
      <c r="C425" s="2">
        <f t="shared" si="6"/>
        <v>0.83692596063730085</v>
      </c>
    </row>
    <row r="426" spans="1:3" x14ac:dyDescent="0.25">
      <c r="A426" s="1">
        <v>34090</v>
      </c>
      <c r="B426">
        <v>107.2</v>
      </c>
      <c r="C426" s="2">
        <f t="shared" si="6"/>
        <v>0.83768656716417911</v>
      </c>
    </row>
    <row r="427" spans="1:3" x14ac:dyDescent="0.25">
      <c r="A427" s="1">
        <v>34121</v>
      </c>
      <c r="B427">
        <v>115.1</v>
      </c>
      <c r="C427" s="2">
        <f t="shared" si="6"/>
        <v>0.84882710686359686</v>
      </c>
    </row>
    <row r="428" spans="1:3" x14ac:dyDescent="0.25">
      <c r="A428" s="1">
        <v>34151</v>
      </c>
      <c r="B428">
        <v>115.3</v>
      </c>
      <c r="C428" s="2">
        <f t="shared" si="6"/>
        <v>0.84908933217692972</v>
      </c>
    </row>
    <row r="429" spans="1:3" x14ac:dyDescent="0.25">
      <c r="A429" s="1">
        <v>34182</v>
      </c>
      <c r="B429">
        <v>115.4</v>
      </c>
      <c r="C429" s="2">
        <f t="shared" si="6"/>
        <v>0.84922010398613523</v>
      </c>
    </row>
    <row r="430" spans="1:3" x14ac:dyDescent="0.25">
      <c r="A430" s="1">
        <v>34213</v>
      </c>
      <c r="B430">
        <v>115.7</v>
      </c>
      <c r="C430" s="2">
        <f t="shared" si="6"/>
        <v>0.8496110630942092</v>
      </c>
    </row>
    <row r="431" spans="1:3" x14ac:dyDescent="0.25">
      <c r="A431" s="1">
        <v>34243</v>
      </c>
      <c r="B431">
        <v>110.9</v>
      </c>
      <c r="C431" s="2">
        <f t="shared" si="6"/>
        <v>0.84310189359783594</v>
      </c>
    </row>
    <row r="432" spans="1:3" x14ac:dyDescent="0.25">
      <c r="A432" s="1">
        <v>34274</v>
      </c>
      <c r="B432">
        <v>106.2</v>
      </c>
      <c r="C432" s="2">
        <f t="shared" si="6"/>
        <v>0.83615819209039555</v>
      </c>
    </row>
    <row r="433" spans="1:3" x14ac:dyDescent="0.25">
      <c r="A433" s="1">
        <v>34304</v>
      </c>
      <c r="B433">
        <v>106</v>
      </c>
      <c r="C433" s="2">
        <f t="shared" si="6"/>
        <v>0.83584905660377362</v>
      </c>
    </row>
    <row r="434" spans="1:3" x14ac:dyDescent="0.25">
      <c r="A434" s="1">
        <v>34335</v>
      </c>
      <c r="B434">
        <v>106.1</v>
      </c>
      <c r="C434" s="2">
        <f t="shared" si="6"/>
        <v>0.83600377002827519</v>
      </c>
    </row>
    <row r="435" spans="1:3" x14ac:dyDescent="0.25">
      <c r="A435" s="1">
        <v>34366</v>
      </c>
      <c r="B435">
        <v>105.9</v>
      </c>
      <c r="C435" s="2">
        <f t="shared" si="6"/>
        <v>0.8356940509915014</v>
      </c>
    </row>
    <row r="436" spans="1:3" x14ac:dyDescent="0.25">
      <c r="A436" s="1">
        <v>34394</v>
      </c>
      <c r="B436">
        <v>105.8</v>
      </c>
      <c r="C436" s="2">
        <f t="shared" si="6"/>
        <v>0.83553875236294894</v>
      </c>
    </row>
    <row r="437" spans="1:3" x14ac:dyDescent="0.25">
      <c r="A437" s="1">
        <v>34425</v>
      </c>
      <c r="B437">
        <v>105.4</v>
      </c>
      <c r="C437" s="2">
        <f t="shared" si="6"/>
        <v>0.83491461100569264</v>
      </c>
    </row>
    <row r="438" spans="1:3" x14ac:dyDescent="0.25">
      <c r="A438" s="1">
        <v>34455</v>
      </c>
      <c r="B438">
        <v>105.9</v>
      </c>
      <c r="C438" s="2">
        <f t="shared" si="6"/>
        <v>0.8356940509915014</v>
      </c>
    </row>
    <row r="439" spans="1:3" x14ac:dyDescent="0.25">
      <c r="A439" s="1">
        <v>34486</v>
      </c>
      <c r="B439">
        <v>112.2</v>
      </c>
      <c r="C439" s="2">
        <f t="shared" si="6"/>
        <v>0.84491978609625673</v>
      </c>
    </row>
    <row r="440" spans="1:3" x14ac:dyDescent="0.25">
      <c r="A440" s="1">
        <v>34516</v>
      </c>
      <c r="B440">
        <v>113.1</v>
      </c>
      <c r="C440" s="2">
        <f t="shared" si="6"/>
        <v>0.84615384615384615</v>
      </c>
    </row>
    <row r="441" spans="1:3" x14ac:dyDescent="0.25">
      <c r="A441" s="1">
        <v>34547</v>
      </c>
      <c r="B441">
        <v>113.1</v>
      </c>
      <c r="C441" s="2">
        <f t="shared" si="6"/>
        <v>0.84615384615384615</v>
      </c>
    </row>
    <row r="442" spans="1:3" x14ac:dyDescent="0.25">
      <c r="A442" s="1">
        <v>34578</v>
      </c>
      <c r="B442">
        <v>113.4</v>
      </c>
      <c r="C442" s="2">
        <f t="shared" si="6"/>
        <v>0.84656084656084651</v>
      </c>
    </row>
    <row r="443" spans="1:3" x14ac:dyDescent="0.25">
      <c r="A443" s="1">
        <v>34608</v>
      </c>
      <c r="B443">
        <v>108.5</v>
      </c>
      <c r="C443" s="2">
        <f t="shared" si="6"/>
        <v>0.83963133640553</v>
      </c>
    </row>
    <row r="444" spans="1:3" x14ac:dyDescent="0.25">
      <c r="A444" s="1">
        <v>34639</v>
      </c>
      <c r="B444">
        <v>106.8</v>
      </c>
      <c r="C444" s="2">
        <f t="shared" si="6"/>
        <v>0.8370786516853933</v>
      </c>
    </row>
    <row r="445" spans="1:3" x14ac:dyDescent="0.25">
      <c r="A445" s="1">
        <v>34669</v>
      </c>
      <c r="B445">
        <v>107.2</v>
      </c>
      <c r="C445" s="2">
        <f t="shared" si="6"/>
        <v>0.83768656716417911</v>
      </c>
    </row>
    <row r="446" spans="1:3" x14ac:dyDescent="0.25">
      <c r="A446" s="1">
        <v>34700</v>
      </c>
      <c r="B446">
        <v>107.3</v>
      </c>
      <c r="C446" s="2">
        <f t="shared" si="6"/>
        <v>0.83783783783783783</v>
      </c>
    </row>
    <row r="447" spans="1:3" x14ac:dyDescent="0.25">
      <c r="A447" s="1">
        <v>34731</v>
      </c>
      <c r="B447">
        <v>107.6</v>
      </c>
      <c r="C447" s="2">
        <f t="shared" si="6"/>
        <v>0.83828996282527879</v>
      </c>
    </row>
    <row r="448" spans="1:3" x14ac:dyDescent="0.25">
      <c r="A448" s="1">
        <v>34759</v>
      </c>
      <c r="B448">
        <v>107.9</v>
      </c>
      <c r="C448" s="2">
        <f t="shared" si="6"/>
        <v>0.83873957367933272</v>
      </c>
    </row>
    <row r="449" spans="1:3" x14ac:dyDescent="0.25">
      <c r="A449" s="1">
        <v>34790</v>
      </c>
      <c r="B449">
        <v>106.3</v>
      </c>
      <c r="C449" s="2">
        <f t="shared" si="6"/>
        <v>0.8363123236124177</v>
      </c>
    </row>
    <row r="450" spans="1:3" x14ac:dyDescent="0.25">
      <c r="A450" s="1">
        <v>34820</v>
      </c>
      <c r="B450">
        <v>109.5</v>
      </c>
      <c r="C450" s="2">
        <f t="shared" ref="C450:C513" si="7">1-(B$2/B450)</f>
        <v>0.84109589041095889</v>
      </c>
    </row>
    <row r="451" spans="1:3" x14ac:dyDescent="0.25">
      <c r="A451" s="1">
        <v>34851</v>
      </c>
      <c r="B451">
        <v>113.8</v>
      </c>
      <c r="C451" s="2">
        <f t="shared" si="7"/>
        <v>0.84710017574692442</v>
      </c>
    </row>
    <row r="452" spans="1:3" x14ac:dyDescent="0.25">
      <c r="A452" s="1">
        <v>34881</v>
      </c>
      <c r="B452">
        <v>114.9</v>
      </c>
      <c r="C452" s="2">
        <f t="shared" si="7"/>
        <v>0.84856396866840733</v>
      </c>
    </row>
    <row r="453" spans="1:3" x14ac:dyDescent="0.25">
      <c r="A453" s="1">
        <v>34912</v>
      </c>
      <c r="B453">
        <v>114.8</v>
      </c>
      <c r="C453" s="2">
        <f t="shared" si="7"/>
        <v>0.84843205574912894</v>
      </c>
    </row>
    <row r="454" spans="1:3" x14ac:dyDescent="0.25">
      <c r="A454" s="1">
        <v>34943</v>
      </c>
      <c r="B454">
        <v>112.4</v>
      </c>
      <c r="C454" s="2">
        <f t="shared" si="7"/>
        <v>0.84519572953736655</v>
      </c>
    </row>
    <row r="455" spans="1:3" x14ac:dyDescent="0.25">
      <c r="A455" s="1">
        <v>34973</v>
      </c>
      <c r="B455">
        <v>110.5</v>
      </c>
      <c r="C455" s="2">
        <f t="shared" si="7"/>
        <v>0.84253393665158371</v>
      </c>
    </row>
    <row r="456" spans="1:3" x14ac:dyDescent="0.25">
      <c r="A456" s="1">
        <v>35004</v>
      </c>
      <c r="B456">
        <v>107.3</v>
      </c>
      <c r="C456" s="2">
        <f t="shared" si="7"/>
        <v>0.83783783783783783</v>
      </c>
    </row>
    <row r="457" spans="1:3" x14ac:dyDescent="0.25">
      <c r="A457" s="1">
        <v>35034</v>
      </c>
      <c r="B457">
        <v>107.4</v>
      </c>
      <c r="C457" s="2">
        <f t="shared" si="7"/>
        <v>0.83798882681564246</v>
      </c>
    </row>
    <row r="458" spans="1:3" x14ac:dyDescent="0.25">
      <c r="A458" s="1">
        <v>35065</v>
      </c>
      <c r="B458">
        <v>107.5</v>
      </c>
      <c r="C458" s="2">
        <f t="shared" si="7"/>
        <v>0.83813953488372095</v>
      </c>
    </row>
    <row r="459" spans="1:3" x14ac:dyDescent="0.25">
      <c r="A459" s="1">
        <v>35096</v>
      </c>
      <c r="B459">
        <v>106.8</v>
      </c>
      <c r="C459" s="2">
        <f t="shared" si="7"/>
        <v>0.8370786516853933</v>
      </c>
    </row>
    <row r="460" spans="1:3" x14ac:dyDescent="0.25">
      <c r="A460" s="1">
        <v>35125</v>
      </c>
      <c r="B460">
        <v>107.4</v>
      </c>
      <c r="C460" s="2">
        <f t="shared" si="7"/>
        <v>0.83798882681564246</v>
      </c>
    </row>
    <row r="461" spans="1:3" x14ac:dyDescent="0.25">
      <c r="A461" s="1">
        <v>35156</v>
      </c>
      <c r="B461">
        <v>108.6</v>
      </c>
      <c r="C461" s="2">
        <f t="shared" si="7"/>
        <v>0.83977900552486184</v>
      </c>
    </row>
    <row r="462" spans="1:3" x14ac:dyDescent="0.25">
      <c r="A462" s="1">
        <v>35186</v>
      </c>
      <c r="B462">
        <v>113.6</v>
      </c>
      <c r="C462" s="2">
        <f t="shared" si="7"/>
        <v>0.846830985915493</v>
      </c>
    </row>
    <row r="463" spans="1:3" x14ac:dyDescent="0.25">
      <c r="A463" s="1">
        <v>35217</v>
      </c>
      <c r="B463">
        <v>115.7</v>
      </c>
      <c r="C463" s="2">
        <f t="shared" si="7"/>
        <v>0.8496110630942092</v>
      </c>
    </row>
    <row r="464" spans="1:3" x14ac:dyDescent="0.25">
      <c r="A464" s="1">
        <v>35247</v>
      </c>
      <c r="B464">
        <v>114.3</v>
      </c>
      <c r="C464" s="2">
        <f t="shared" si="7"/>
        <v>0.84776902887139105</v>
      </c>
    </row>
    <row r="465" spans="1:3" x14ac:dyDescent="0.25">
      <c r="A465" s="1">
        <v>35278</v>
      </c>
      <c r="B465">
        <v>114.5</v>
      </c>
      <c r="C465" s="2">
        <f t="shared" si="7"/>
        <v>0.84803493449781664</v>
      </c>
    </row>
    <row r="466" spans="1:3" x14ac:dyDescent="0.25">
      <c r="A466" s="1">
        <v>35309</v>
      </c>
      <c r="B466">
        <v>114.5</v>
      </c>
      <c r="C466" s="2">
        <f t="shared" si="7"/>
        <v>0.84803493449781664</v>
      </c>
    </row>
    <row r="467" spans="1:3" x14ac:dyDescent="0.25">
      <c r="A467" s="1">
        <v>35339</v>
      </c>
      <c r="B467">
        <v>110.3</v>
      </c>
      <c r="C467" s="2">
        <f t="shared" si="7"/>
        <v>0.84224841341795109</v>
      </c>
    </row>
    <row r="468" spans="1:3" x14ac:dyDescent="0.25">
      <c r="A468" s="1">
        <v>35370</v>
      </c>
      <c r="B468">
        <v>106.8</v>
      </c>
      <c r="C468" s="2">
        <f t="shared" si="7"/>
        <v>0.8370786516853933</v>
      </c>
    </row>
    <row r="469" spans="1:3" x14ac:dyDescent="0.25">
      <c r="A469" s="1">
        <v>35400</v>
      </c>
      <c r="B469">
        <v>107.4</v>
      </c>
      <c r="C469" s="2">
        <f t="shared" si="7"/>
        <v>0.83798882681564246</v>
      </c>
    </row>
    <row r="470" spans="1:3" x14ac:dyDescent="0.25">
      <c r="A470" s="1">
        <v>35431</v>
      </c>
      <c r="B470">
        <v>107.9</v>
      </c>
      <c r="C470" s="2">
        <f t="shared" si="7"/>
        <v>0.83873957367933272</v>
      </c>
    </row>
    <row r="471" spans="1:3" x14ac:dyDescent="0.25">
      <c r="A471" s="1">
        <v>35462</v>
      </c>
      <c r="B471">
        <v>107.7</v>
      </c>
      <c r="C471" s="2">
        <f t="shared" si="7"/>
        <v>0.83844011142061281</v>
      </c>
    </row>
    <row r="472" spans="1:3" x14ac:dyDescent="0.25">
      <c r="A472" s="1">
        <v>35490</v>
      </c>
      <c r="B472">
        <v>107.8</v>
      </c>
      <c r="C472" s="2">
        <f t="shared" si="7"/>
        <v>0.83858998144712427</v>
      </c>
    </row>
    <row r="473" spans="1:3" x14ac:dyDescent="0.25">
      <c r="A473" s="1">
        <v>35521</v>
      </c>
      <c r="B473">
        <v>107.1</v>
      </c>
      <c r="C473" s="2">
        <f t="shared" si="7"/>
        <v>0.83753501400560226</v>
      </c>
    </row>
    <row r="474" spans="1:3" x14ac:dyDescent="0.25">
      <c r="A474" s="1">
        <v>35551</v>
      </c>
      <c r="B474">
        <v>109.1</v>
      </c>
      <c r="C474" s="2">
        <f t="shared" si="7"/>
        <v>0.84051329055912005</v>
      </c>
    </row>
    <row r="475" spans="1:3" x14ac:dyDescent="0.25">
      <c r="A475" s="1">
        <v>35582</v>
      </c>
      <c r="B475">
        <v>113.6</v>
      </c>
      <c r="C475" s="2">
        <f t="shared" si="7"/>
        <v>0.846830985915493</v>
      </c>
    </row>
    <row r="476" spans="1:3" x14ac:dyDescent="0.25">
      <c r="A476" s="1">
        <v>35612</v>
      </c>
      <c r="B476">
        <v>114.3</v>
      </c>
      <c r="C476" s="2">
        <f t="shared" si="7"/>
        <v>0.84776902887139105</v>
      </c>
    </row>
    <row r="477" spans="1:3" x14ac:dyDescent="0.25">
      <c r="A477" s="1">
        <v>35643</v>
      </c>
      <c r="B477">
        <v>113.2</v>
      </c>
      <c r="C477" s="2">
        <f t="shared" si="7"/>
        <v>0.8462897526501767</v>
      </c>
    </row>
    <row r="478" spans="1:3" x14ac:dyDescent="0.25">
      <c r="A478" s="1">
        <v>35674</v>
      </c>
      <c r="B478">
        <v>114.4</v>
      </c>
      <c r="C478" s="2">
        <f t="shared" si="7"/>
        <v>0.84790209790209792</v>
      </c>
    </row>
    <row r="479" spans="1:3" x14ac:dyDescent="0.25">
      <c r="A479" s="1">
        <v>35704</v>
      </c>
      <c r="B479">
        <v>109.4</v>
      </c>
      <c r="C479" s="2">
        <f t="shared" si="7"/>
        <v>0.84095063985374774</v>
      </c>
    </row>
    <row r="480" spans="1:3" x14ac:dyDescent="0.25">
      <c r="A480" s="1">
        <v>35735</v>
      </c>
      <c r="B480">
        <v>107.5</v>
      </c>
      <c r="C480" s="2">
        <f t="shared" si="7"/>
        <v>0.83813953488372095</v>
      </c>
    </row>
    <row r="481" spans="1:3" x14ac:dyDescent="0.25">
      <c r="A481" s="1">
        <v>35765</v>
      </c>
      <c r="B481">
        <v>107.9</v>
      </c>
      <c r="C481" s="2">
        <f t="shared" si="7"/>
        <v>0.83873957367933272</v>
      </c>
    </row>
    <row r="482" spans="1:3" x14ac:dyDescent="0.25">
      <c r="A482" s="1">
        <v>35796</v>
      </c>
      <c r="B482">
        <v>107.1</v>
      </c>
      <c r="C482" s="2">
        <f t="shared" si="7"/>
        <v>0.83753501400560226</v>
      </c>
    </row>
    <row r="483" spans="1:3" x14ac:dyDescent="0.25">
      <c r="A483" s="1">
        <v>35827</v>
      </c>
      <c r="B483">
        <v>106.9</v>
      </c>
      <c r="C483" s="2">
        <f t="shared" si="7"/>
        <v>0.83723105706267542</v>
      </c>
    </row>
    <row r="484" spans="1:3" x14ac:dyDescent="0.25">
      <c r="A484" s="1">
        <v>35855</v>
      </c>
      <c r="B484">
        <v>106.5</v>
      </c>
      <c r="C484" s="2">
        <f t="shared" si="7"/>
        <v>0.83661971830985915</v>
      </c>
    </row>
    <row r="485" spans="1:3" x14ac:dyDescent="0.25">
      <c r="A485" s="1">
        <v>35886</v>
      </c>
      <c r="B485">
        <v>106.2</v>
      </c>
      <c r="C485" s="2">
        <f t="shared" si="7"/>
        <v>0.83615819209039555</v>
      </c>
    </row>
    <row r="486" spans="1:3" x14ac:dyDescent="0.25">
      <c r="A486" s="1">
        <v>35916</v>
      </c>
      <c r="B486">
        <v>108.6</v>
      </c>
      <c r="C486" s="2">
        <f t="shared" si="7"/>
        <v>0.83977900552486184</v>
      </c>
    </row>
    <row r="487" spans="1:3" x14ac:dyDescent="0.25">
      <c r="A487" s="1">
        <v>35947</v>
      </c>
      <c r="B487">
        <v>112.5</v>
      </c>
      <c r="C487" s="2">
        <f t="shared" si="7"/>
        <v>0.84533333333333338</v>
      </c>
    </row>
    <row r="488" spans="1:3" x14ac:dyDescent="0.25">
      <c r="A488" s="1">
        <v>35977</v>
      </c>
      <c r="B488">
        <v>113.3</v>
      </c>
      <c r="C488" s="2">
        <f t="shared" si="7"/>
        <v>0.84642541924095327</v>
      </c>
    </row>
    <row r="489" spans="1:3" x14ac:dyDescent="0.25">
      <c r="A489" s="1">
        <v>36008</v>
      </c>
      <c r="B489">
        <v>113.7</v>
      </c>
      <c r="C489" s="2">
        <f t="shared" si="7"/>
        <v>0.84696569920844333</v>
      </c>
    </row>
    <row r="490" spans="1:3" x14ac:dyDescent="0.25">
      <c r="A490" s="1">
        <v>36039</v>
      </c>
      <c r="B490">
        <v>113.7</v>
      </c>
      <c r="C490" s="2">
        <f t="shared" si="7"/>
        <v>0.84696569920844333</v>
      </c>
    </row>
    <row r="491" spans="1:3" x14ac:dyDescent="0.25">
      <c r="A491" s="1">
        <v>36069</v>
      </c>
      <c r="B491">
        <v>109.6</v>
      </c>
      <c r="C491" s="2">
        <f t="shared" si="7"/>
        <v>0.84124087591240881</v>
      </c>
    </row>
    <row r="492" spans="1:3" x14ac:dyDescent="0.25">
      <c r="A492" s="1">
        <v>36100</v>
      </c>
      <c r="B492">
        <v>107.3</v>
      </c>
      <c r="C492" s="2">
        <f t="shared" si="7"/>
        <v>0.83783783783783783</v>
      </c>
    </row>
    <row r="493" spans="1:3" x14ac:dyDescent="0.25">
      <c r="A493" s="1">
        <v>36130</v>
      </c>
      <c r="B493">
        <v>106.5</v>
      </c>
      <c r="C493" s="2">
        <f t="shared" si="7"/>
        <v>0.83661971830985915</v>
      </c>
    </row>
    <row r="494" spans="1:3" x14ac:dyDescent="0.25">
      <c r="A494" s="1">
        <v>36161</v>
      </c>
      <c r="B494">
        <v>106</v>
      </c>
      <c r="C494" s="2">
        <f t="shared" si="7"/>
        <v>0.83584905660377362</v>
      </c>
    </row>
    <row r="495" spans="1:3" x14ac:dyDescent="0.25">
      <c r="A495" s="1">
        <v>36192</v>
      </c>
      <c r="B495">
        <v>105.5</v>
      </c>
      <c r="C495" s="2">
        <f t="shared" si="7"/>
        <v>0.83507109004739344</v>
      </c>
    </row>
    <row r="496" spans="1:3" x14ac:dyDescent="0.25">
      <c r="A496" s="1">
        <v>36220</v>
      </c>
      <c r="B496">
        <v>105.6</v>
      </c>
      <c r="C496" s="2">
        <f t="shared" si="7"/>
        <v>0.83522727272727271</v>
      </c>
    </row>
    <row r="497" spans="1:3" x14ac:dyDescent="0.25">
      <c r="A497" s="1">
        <v>36251</v>
      </c>
      <c r="B497">
        <v>105.3</v>
      </c>
      <c r="C497" s="2">
        <f t="shared" si="7"/>
        <v>0.83475783475783483</v>
      </c>
    </row>
    <row r="498" spans="1:3" x14ac:dyDescent="0.25">
      <c r="A498" s="1">
        <v>36281</v>
      </c>
      <c r="B498">
        <v>107.1</v>
      </c>
      <c r="C498" s="2">
        <f t="shared" si="7"/>
        <v>0.83753501400560226</v>
      </c>
    </row>
    <row r="499" spans="1:3" x14ac:dyDescent="0.25">
      <c r="A499" s="1">
        <v>36312</v>
      </c>
      <c r="B499">
        <v>110.7</v>
      </c>
      <c r="C499" s="2">
        <f t="shared" si="7"/>
        <v>0.84281842818428188</v>
      </c>
    </row>
    <row r="500" spans="1:3" x14ac:dyDescent="0.25">
      <c r="A500" s="1">
        <v>36342</v>
      </c>
      <c r="B500">
        <v>112.6</v>
      </c>
      <c r="C500" s="2">
        <f t="shared" si="7"/>
        <v>0.84547069271758435</v>
      </c>
    </row>
    <row r="501" spans="1:3" x14ac:dyDescent="0.25">
      <c r="A501" s="1">
        <v>36373</v>
      </c>
      <c r="B501">
        <v>112.6</v>
      </c>
      <c r="C501" s="2">
        <f t="shared" si="7"/>
        <v>0.84547069271758435</v>
      </c>
    </row>
    <row r="502" spans="1:3" x14ac:dyDescent="0.25">
      <c r="A502" s="1">
        <v>36404</v>
      </c>
      <c r="B502">
        <v>112.7</v>
      </c>
      <c r="C502" s="2">
        <f t="shared" si="7"/>
        <v>0.84560780834072757</v>
      </c>
    </row>
    <row r="503" spans="1:3" x14ac:dyDescent="0.25">
      <c r="A503" s="1">
        <v>36434</v>
      </c>
      <c r="B503">
        <v>108.9</v>
      </c>
      <c r="C503" s="2">
        <f t="shared" si="7"/>
        <v>0.84022038567493118</v>
      </c>
    </row>
    <row r="504" spans="1:3" x14ac:dyDescent="0.25">
      <c r="A504" s="1">
        <v>36465</v>
      </c>
      <c r="B504">
        <v>107.2</v>
      </c>
      <c r="C504" s="2">
        <f t="shared" si="7"/>
        <v>0.83768656716417911</v>
      </c>
    </row>
    <row r="505" spans="1:3" x14ac:dyDescent="0.25">
      <c r="A505" s="1">
        <v>36495</v>
      </c>
      <c r="B505">
        <v>106.4</v>
      </c>
      <c r="C505" s="2">
        <f t="shared" si="7"/>
        <v>0.83646616541353391</v>
      </c>
    </row>
    <row r="506" spans="1:3" x14ac:dyDescent="0.25">
      <c r="A506" s="1">
        <v>36526</v>
      </c>
      <c r="B506">
        <v>106.6</v>
      </c>
      <c r="C506" s="2">
        <f t="shared" si="7"/>
        <v>0.83677298311444659</v>
      </c>
    </row>
    <row r="507" spans="1:3" x14ac:dyDescent="0.25">
      <c r="A507" s="1">
        <v>36557</v>
      </c>
      <c r="B507">
        <v>106.5</v>
      </c>
      <c r="C507" s="2">
        <f t="shared" si="7"/>
        <v>0.83661971830985915</v>
      </c>
    </row>
    <row r="508" spans="1:3" x14ac:dyDescent="0.25">
      <c r="A508" s="1">
        <v>36586</v>
      </c>
      <c r="B508">
        <v>106.5</v>
      </c>
      <c r="C508" s="2">
        <f t="shared" si="7"/>
        <v>0.83661971830985915</v>
      </c>
    </row>
    <row r="509" spans="1:3" x14ac:dyDescent="0.25">
      <c r="A509" s="1">
        <v>36617</v>
      </c>
      <c r="B509">
        <v>106.6</v>
      </c>
      <c r="C509" s="2">
        <f t="shared" si="7"/>
        <v>0.83677298311444659</v>
      </c>
    </row>
    <row r="510" spans="1:3" x14ac:dyDescent="0.25">
      <c r="A510" s="1">
        <v>36647</v>
      </c>
      <c r="B510">
        <v>108.1</v>
      </c>
      <c r="C510" s="2">
        <f t="shared" si="7"/>
        <v>0.8390379278445883</v>
      </c>
    </row>
    <row r="511" spans="1:3" x14ac:dyDescent="0.25">
      <c r="A511" s="1">
        <v>36678</v>
      </c>
      <c r="B511">
        <v>112.3</v>
      </c>
      <c r="C511" s="2">
        <f t="shared" si="7"/>
        <v>0.84505788067675869</v>
      </c>
    </row>
    <row r="512" spans="1:3" x14ac:dyDescent="0.25">
      <c r="A512" s="1">
        <v>36708</v>
      </c>
      <c r="B512">
        <v>114.5</v>
      </c>
      <c r="C512" s="2">
        <f t="shared" si="7"/>
        <v>0.84803493449781664</v>
      </c>
    </row>
    <row r="513" spans="1:3" x14ac:dyDescent="0.25">
      <c r="A513" s="1">
        <v>36739</v>
      </c>
      <c r="B513">
        <v>115.5</v>
      </c>
      <c r="C513" s="2">
        <f t="shared" si="7"/>
        <v>0.8493506493506493</v>
      </c>
    </row>
    <row r="514" spans="1:3" x14ac:dyDescent="0.25">
      <c r="A514" s="1">
        <v>36770</v>
      </c>
      <c r="B514">
        <v>115.8</v>
      </c>
      <c r="C514" s="2">
        <f t="shared" ref="C514:C577" si="8">1-(B$2/B514)</f>
        <v>0.84974093264248707</v>
      </c>
    </row>
    <row r="515" spans="1:3" x14ac:dyDescent="0.25">
      <c r="A515" s="1">
        <v>36800</v>
      </c>
      <c r="B515">
        <v>112.7</v>
      </c>
      <c r="C515" s="2">
        <f t="shared" si="8"/>
        <v>0.84560780834072757</v>
      </c>
    </row>
    <row r="516" spans="1:3" x14ac:dyDescent="0.25">
      <c r="A516" s="1">
        <v>36831</v>
      </c>
      <c r="B516">
        <v>110</v>
      </c>
      <c r="C516" s="2">
        <f t="shared" si="8"/>
        <v>0.8418181818181818</v>
      </c>
    </row>
    <row r="517" spans="1:3" x14ac:dyDescent="0.25">
      <c r="A517" s="1">
        <v>36861</v>
      </c>
      <c r="B517">
        <v>111.6</v>
      </c>
      <c r="C517" s="2">
        <f t="shared" si="8"/>
        <v>0.84408602150537637</v>
      </c>
    </row>
    <row r="518" spans="1:3" x14ac:dyDescent="0.25">
      <c r="A518" s="1">
        <v>36892</v>
      </c>
      <c r="B518">
        <v>114.7</v>
      </c>
      <c r="C518" s="2">
        <f t="shared" si="8"/>
        <v>0.84829991281604189</v>
      </c>
    </row>
    <row r="519" spans="1:3" x14ac:dyDescent="0.25">
      <c r="A519" s="1">
        <v>36923</v>
      </c>
      <c r="B519">
        <v>114.7</v>
      </c>
      <c r="C519" s="2">
        <f t="shared" si="8"/>
        <v>0.84829991281604189</v>
      </c>
    </row>
    <row r="520" spans="1:3" x14ac:dyDescent="0.25">
      <c r="A520" s="1">
        <v>36951</v>
      </c>
      <c r="B520">
        <v>114.8</v>
      </c>
      <c r="C520" s="2">
        <f t="shared" si="8"/>
        <v>0.84843205574912894</v>
      </c>
    </row>
    <row r="521" spans="1:3" x14ac:dyDescent="0.25">
      <c r="A521" s="1">
        <v>36982</v>
      </c>
      <c r="B521">
        <v>113.6</v>
      </c>
      <c r="C521" s="2">
        <f t="shared" si="8"/>
        <v>0.846830985915493</v>
      </c>
    </row>
    <row r="522" spans="1:3" x14ac:dyDescent="0.25">
      <c r="A522" s="1">
        <v>37012</v>
      </c>
      <c r="B522">
        <v>114.5</v>
      </c>
      <c r="C522" s="2">
        <f t="shared" si="8"/>
        <v>0.84803493449781664</v>
      </c>
    </row>
    <row r="523" spans="1:3" x14ac:dyDescent="0.25">
      <c r="A523" s="1">
        <v>37043</v>
      </c>
      <c r="B523">
        <v>124.8</v>
      </c>
      <c r="C523" s="2">
        <f t="shared" si="8"/>
        <v>0.86057692307692313</v>
      </c>
    </row>
    <row r="524" spans="1:3" x14ac:dyDescent="0.25">
      <c r="A524" s="1">
        <v>37073</v>
      </c>
      <c r="B524">
        <v>125.7</v>
      </c>
      <c r="C524" s="2">
        <f t="shared" si="8"/>
        <v>0.86157517899761338</v>
      </c>
    </row>
    <row r="525" spans="1:3" x14ac:dyDescent="0.25">
      <c r="A525" s="1">
        <v>37104</v>
      </c>
      <c r="B525">
        <v>125.2</v>
      </c>
      <c r="C525" s="2">
        <f t="shared" si="8"/>
        <v>0.86102236421725242</v>
      </c>
    </row>
    <row r="526" spans="1:3" x14ac:dyDescent="0.25">
      <c r="A526" s="1">
        <v>37135</v>
      </c>
      <c r="B526">
        <v>124.7</v>
      </c>
      <c r="C526" s="2">
        <f t="shared" si="8"/>
        <v>0.86046511627906974</v>
      </c>
    </row>
    <row r="527" spans="1:3" x14ac:dyDescent="0.25">
      <c r="A527" s="1">
        <v>37165</v>
      </c>
      <c r="B527">
        <v>120.9</v>
      </c>
      <c r="C527" s="2">
        <f t="shared" si="8"/>
        <v>0.85607940446650121</v>
      </c>
    </row>
    <row r="528" spans="1:3" x14ac:dyDescent="0.25">
      <c r="A528" s="1">
        <v>37196</v>
      </c>
      <c r="B528">
        <v>115.5</v>
      </c>
      <c r="C528" s="2">
        <f t="shared" si="8"/>
        <v>0.8493506493506493</v>
      </c>
    </row>
    <row r="529" spans="1:3" x14ac:dyDescent="0.25">
      <c r="A529" s="1">
        <v>37226</v>
      </c>
      <c r="B529">
        <v>115.1</v>
      </c>
      <c r="C529" s="2">
        <f t="shared" si="8"/>
        <v>0.84882710686359686</v>
      </c>
    </row>
    <row r="530" spans="1:3" x14ac:dyDescent="0.25">
      <c r="A530" s="1">
        <v>37257</v>
      </c>
      <c r="B530">
        <v>114.6</v>
      </c>
      <c r="C530" s="2">
        <f t="shared" si="8"/>
        <v>0.84816753926701571</v>
      </c>
    </row>
    <row r="531" spans="1:3" x14ac:dyDescent="0.25">
      <c r="A531" s="1">
        <v>37288</v>
      </c>
      <c r="B531">
        <v>113.9</v>
      </c>
      <c r="C531" s="2">
        <f t="shared" si="8"/>
        <v>0.84723441615452155</v>
      </c>
    </row>
    <row r="532" spans="1:3" x14ac:dyDescent="0.25">
      <c r="A532" s="1">
        <v>37316</v>
      </c>
      <c r="B532">
        <v>114.1</v>
      </c>
      <c r="C532" s="2">
        <f t="shared" si="8"/>
        <v>0.84750219106047331</v>
      </c>
    </row>
    <row r="533" spans="1:3" x14ac:dyDescent="0.25">
      <c r="A533" s="1">
        <v>37347</v>
      </c>
      <c r="B533">
        <v>113.9</v>
      </c>
      <c r="C533" s="2">
        <f t="shared" si="8"/>
        <v>0.84723441615452155</v>
      </c>
    </row>
    <row r="534" spans="1:3" x14ac:dyDescent="0.25">
      <c r="A534" s="1">
        <v>37377</v>
      </c>
      <c r="B534">
        <v>115.9</v>
      </c>
      <c r="C534" s="2">
        <f t="shared" si="8"/>
        <v>0.84987057808455568</v>
      </c>
    </row>
    <row r="535" spans="1:3" x14ac:dyDescent="0.25">
      <c r="A535" s="1">
        <v>37408</v>
      </c>
      <c r="B535">
        <v>120.7</v>
      </c>
      <c r="C535" s="2">
        <f t="shared" si="8"/>
        <v>0.85584092792046396</v>
      </c>
    </row>
    <row r="536" spans="1:3" x14ac:dyDescent="0.25">
      <c r="A536" s="1">
        <v>37438</v>
      </c>
      <c r="B536">
        <v>121.8</v>
      </c>
      <c r="C536" s="2">
        <f t="shared" si="8"/>
        <v>0.85714285714285721</v>
      </c>
    </row>
    <row r="537" spans="1:3" x14ac:dyDescent="0.25">
      <c r="A537" s="1">
        <v>37469</v>
      </c>
      <c r="B537">
        <v>122</v>
      </c>
      <c r="C537" s="2">
        <f t="shared" si="8"/>
        <v>0.85737704918032787</v>
      </c>
    </row>
    <row r="538" spans="1:3" x14ac:dyDescent="0.25">
      <c r="A538" s="1">
        <v>37500</v>
      </c>
      <c r="B538">
        <v>122.6</v>
      </c>
      <c r="C538" s="2">
        <f t="shared" si="8"/>
        <v>0.8580750407830342</v>
      </c>
    </row>
    <row r="539" spans="1:3" x14ac:dyDescent="0.25">
      <c r="A539" s="1">
        <v>37530</v>
      </c>
      <c r="B539">
        <v>117.7</v>
      </c>
      <c r="C539" s="2">
        <f t="shared" si="8"/>
        <v>0.85216652506372137</v>
      </c>
    </row>
    <row r="540" spans="1:3" x14ac:dyDescent="0.25">
      <c r="A540" s="1">
        <v>37561</v>
      </c>
      <c r="B540">
        <v>117.3</v>
      </c>
      <c r="C540" s="2">
        <f t="shared" si="8"/>
        <v>0.85166240409207161</v>
      </c>
    </row>
    <row r="541" spans="1:3" x14ac:dyDescent="0.25">
      <c r="A541" s="1">
        <v>37591</v>
      </c>
      <c r="B541">
        <v>117.4</v>
      </c>
      <c r="C541" s="2">
        <f t="shared" si="8"/>
        <v>0.85178875638841567</v>
      </c>
    </row>
    <row r="542" spans="1:3" x14ac:dyDescent="0.25">
      <c r="A542" s="1">
        <v>37622</v>
      </c>
      <c r="B542">
        <v>118</v>
      </c>
      <c r="C542" s="2">
        <f t="shared" si="8"/>
        <v>0.85254237288135593</v>
      </c>
    </row>
    <row r="543" spans="1:3" x14ac:dyDescent="0.25">
      <c r="A543" s="1">
        <v>37653</v>
      </c>
      <c r="B543">
        <v>118.2</v>
      </c>
      <c r="C543" s="2">
        <f t="shared" si="8"/>
        <v>0.85279187817258884</v>
      </c>
    </row>
    <row r="544" spans="1:3" x14ac:dyDescent="0.25">
      <c r="A544" s="1">
        <v>37681</v>
      </c>
      <c r="B544">
        <v>120.5</v>
      </c>
      <c r="C544" s="2">
        <f t="shared" si="8"/>
        <v>0.85560165975103741</v>
      </c>
    </row>
    <row r="545" spans="1:3" x14ac:dyDescent="0.25">
      <c r="A545" s="1">
        <v>37712</v>
      </c>
      <c r="B545">
        <v>121.3</v>
      </c>
      <c r="C545" s="2">
        <f t="shared" si="8"/>
        <v>0.85655399835119539</v>
      </c>
    </row>
    <row r="546" spans="1:3" x14ac:dyDescent="0.25">
      <c r="A546" s="1">
        <v>37742</v>
      </c>
      <c r="B546">
        <v>122</v>
      </c>
      <c r="C546" s="2">
        <f t="shared" si="8"/>
        <v>0.85737704918032787</v>
      </c>
    </row>
    <row r="547" spans="1:3" x14ac:dyDescent="0.25">
      <c r="A547" s="1">
        <v>37773</v>
      </c>
      <c r="B547">
        <v>124.7</v>
      </c>
      <c r="C547" s="2">
        <f t="shared" si="8"/>
        <v>0.86046511627906974</v>
      </c>
    </row>
    <row r="548" spans="1:3" x14ac:dyDescent="0.25">
      <c r="A548" s="1">
        <v>37803</v>
      </c>
      <c r="B548">
        <v>127.5</v>
      </c>
      <c r="C548" s="2">
        <f t="shared" si="8"/>
        <v>0.86352941176470588</v>
      </c>
    </row>
    <row r="549" spans="1:3" x14ac:dyDescent="0.25">
      <c r="A549" s="1">
        <v>37834</v>
      </c>
      <c r="B549">
        <v>127.2</v>
      </c>
      <c r="C549" s="2">
        <f t="shared" si="8"/>
        <v>0.8632075471698113</v>
      </c>
    </row>
    <row r="550" spans="1:3" x14ac:dyDescent="0.25">
      <c r="A550" s="1">
        <v>37865</v>
      </c>
      <c r="B550">
        <v>127.8</v>
      </c>
      <c r="C550" s="2">
        <f t="shared" si="8"/>
        <v>0.863849765258216</v>
      </c>
    </row>
    <row r="551" spans="1:3" x14ac:dyDescent="0.25">
      <c r="A551" s="1">
        <v>37895</v>
      </c>
      <c r="B551">
        <v>124</v>
      </c>
      <c r="C551" s="2">
        <f t="shared" si="8"/>
        <v>0.85967741935483866</v>
      </c>
    </row>
    <row r="552" spans="1:3" x14ac:dyDescent="0.25">
      <c r="A552" s="1">
        <v>37926</v>
      </c>
      <c r="B552">
        <v>120</v>
      </c>
      <c r="C552" s="2">
        <f t="shared" si="8"/>
        <v>0.85499999999999998</v>
      </c>
    </row>
    <row r="553" spans="1:3" x14ac:dyDescent="0.25">
      <c r="A553" s="1">
        <v>37956</v>
      </c>
      <c r="B553">
        <v>120.1</v>
      </c>
      <c r="C553" s="2">
        <f t="shared" si="8"/>
        <v>0.85512073272273104</v>
      </c>
    </row>
    <row r="554" spans="1:3" x14ac:dyDescent="0.25">
      <c r="A554" s="1">
        <v>37987</v>
      </c>
      <c r="B554">
        <v>120.3</v>
      </c>
      <c r="C554" s="2">
        <f t="shared" si="8"/>
        <v>0.85536159600997508</v>
      </c>
    </row>
    <row r="555" spans="1:3" x14ac:dyDescent="0.25">
      <c r="A555" s="1">
        <v>38018</v>
      </c>
      <c r="B555">
        <v>120.3</v>
      </c>
      <c r="C555" s="2">
        <f t="shared" si="8"/>
        <v>0.85536159600997508</v>
      </c>
    </row>
    <row r="556" spans="1:3" x14ac:dyDescent="0.25">
      <c r="A556" s="1">
        <v>38047</v>
      </c>
      <c r="B556">
        <v>120.3</v>
      </c>
      <c r="C556" s="2">
        <f t="shared" si="8"/>
        <v>0.85536159600997508</v>
      </c>
    </row>
    <row r="557" spans="1:3" x14ac:dyDescent="0.25">
      <c r="A557" s="1">
        <v>38078</v>
      </c>
      <c r="B557">
        <v>120.3</v>
      </c>
      <c r="C557" s="2">
        <f t="shared" si="8"/>
        <v>0.85536159600997508</v>
      </c>
    </row>
    <row r="558" spans="1:3" x14ac:dyDescent="0.25">
      <c r="A558" s="1">
        <v>38108</v>
      </c>
      <c r="B558">
        <v>121.3</v>
      </c>
      <c r="C558" s="2">
        <f t="shared" si="8"/>
        <v>0.85655399835119539</v>
      </c>
    </row>
    <row r="559" spans="1:3" x14ac:dyDescent="0.25">
      <c r="A559" s="1">
        <v>38139</v>
      </c>
      <c r="B559">
        <v>128.1</v>
      </c>
      <c r="C559" s="2">
        <f t="shared" si="8"/>
        <v>0.86416861826697899</v>
      </c>
    </row>
    <row r="560" spans="1:3" x14ac:dyDescent="0.25">
      <c r="A560" s="1">
        <v>38169</v>
      </c>
      <c r="B560">
        <v>128</v>
      </c>
      <c r="C560" s="2">
        <f t="shared" si="8"/>
        <v>0.86406249999999996</v>
      </c>
    </row>
    <row r="561" spans="1:3" x14ac:dyDescent="0.25">
      <c r="A561" s="1">
        <v>38200</v>
      </c>
      <c r="B561">
        <v>129.5</v>
      </c>
      <c r="C561" s="2">
        <f t="shared" si="8"/>
        <v>0.86563706563706566</v>
      </c>
    </row>
    <row r="562" spans="1:3" x14ac:dyDescent="0.25">
      <c r="A562" s="1">
        <v>38231</v>
      </c>
      <c r="B562">
        <v>129.5</v>
      </c>
      <c r="C562" s="2">
        <f t="shared" si="8"/>
        <v>0.86563706563706566</v>
      </c>
    </row>
    <row r="563" spans="1:3" x14ac:dyDescent="0.25">
      <c r="A563" s="1">
        <v>38261</v>
      </c>
      <c r="B563">
        <v>122.6</v>
      </c>
      <c r="C563" s="2">
        <f t="shared" si="8"/>
        <v>0.8580750407830342</v>
      </c>
    </row>
    <row r="564" spans="1:3" x14ac:dyDescent="0.25">
      <c r="A564" s="1">
        <v>38292</v>
      </c>
      <c r="B564">
        <v>121.8</v>
      </c>
      <c r="C564" s="2">
        <f t="shared" si="8"/>
        <v>0.85714285714285721</v>
      </c>
    </row>
    <row r="565" spans="1:3" x14ac:dyDescent="0.25">
      <c r="A565" s="1">
        <v>38322</v>
      </c>
      <c r="B565">
        <v>122.9</v>
      </c>
      <c r="C565" s="2">
        <f t="shared" si="8"/>
        <v>0.85842148087876324</v>
      </c>
    </row>
    <row r="566" spans="1:3" x14ac:dyDescent="0.25">
      <c r="A566" s="1">
        <v>38353</v>
      </c>
      <c r="B566">
        <v>125.2</v>
      </c>
      <c r="C566" s="2">
        <f t="shared" si="8"/>
        <v>0.86102236421725242</v>
      </c>
    </row>
    <row r="567" spans="1:3" x14ac:dyDescent="0.25">
      <c r="A567" s="1">
        <v>38384</v>
      </c>
      <c r="B567">
        <v>124.5</v>
      </c>
      <c r="C567" s="2">
        <f t="shared" si="8"/>
        <v>0.8602409638554217</v>
      </c>
    </row>
    <row r="568" spans="1:3" x14ac:dyDescent="0.25">
      <c r="A568" s="1">
        <v>38412</v>
      </c>
      <c r="B568">
        <v>124.6</v>
      </c>
      <c r="C568" s="2">
        <f t="shared" si="8"/>
        <v>0.8603531300160514</v>
      </c>
    </row>
    <row r="569" spans="1:3" x14ac:dyDescent="0.25">
      <c r="A569" s="1">
        <v>38443</v>
      </c>
      <c r="B569">
        <v>125</v>
      </c>
      <c r="C569" s="2">
        <f t="shared" si="8"/>
        <v>0.86080000000000001</v>
      </c>
    </row>
    <row r="570" spans="1:3" x14ac:dyDescent="0.25">
      <c r="A570" s="1">
        <v>38473</v>
      </c>
      <c r="B570">
        <v>127</v>
      </c>
      <c r="C570" s="2">
        <f t="shared" si="8"/>
        <v>0.86299212598425201</v>
      </c>
    </row>
    <row r="571" spans="1:3" x14ac:dyDescent="0.25">
      <c r="A571" s="1">
        <v>38504</v>
      </c>
      <c r="B571">
        <v>134.19999999999999</v>
      </c>
      <c r="C571" s="2">
        <f t="shared" si="8"/>
        <v>0.87034277198211618</v>
      </c>
    </row>
    <row r="572" spans="1:3" x14ac:dyDescent="0.25">
      <c r="A572" s="1">
        <v>38534</v>
      </c>
      <c r="B572">
        <v>136.30000000000001</v>
      </c>
      <c r="C572" s="2">
        <f t="shared" si="8"/>
        <v>0.87234042553191493</v>
      </c>
    </row>
    <row r="573" spans="1:3" x14ac:dyDescent="0.25">
      <c r="A573" s="1">
        <v>38565</v>
      </c>
      <c r="B573">
        <v>136.6</v>
      </c>
      <c r="C573" s="2">
        <f t="shared" si="8"/>
        <v>0.87262079062957543</v>
      </c>
    </row>
    <row r="574" spans="1:3" x14ac:dyDescent="0.25">
      <c r="A574" s="1">
        <v>38596</v>
      </c>
      <c r="B574">
        <v>136.9</v>
      </c>
      <c r="C574" s="2">
        <f t="shared" si="8"/>
        <v>0.872899926953981</v>
      </c>
    </row>
    <row r="575" spans="1:3" x14ac:dyDescent="0.25">
      <c r="A575" s="1">
        <v>38626</v>
      </c>
      <c r="B575">
        <v>134.19999999999999</v>
      </c>
      <c r="C575" s="2">
        <f t="shared" si="8"/>
        <v>0.87034277198211618</v>
      </c>
    </row>
    <row r="576" spans="1:3" x14ac:dyDescent="0.25">
      <c r="A576" s="1">
        <v>38657</v>
      </c>
      <c r="B576">
        <v>135.5</v>
      </c>
      <c r="C576" s="2">
        <f t="shared" si="8"/>
        <v>0.87158671586715863</v>
      </c>
    </row>
    <row r="577" spans="1:3" x14ac:dyDescent="0.25">
      <c r="A577" s="1">
        <v>38687</v>
      </c>
      <c r="B577">
        <v>135.69999999999999</v>
      </c>
      <c r="C577" s="2">
        <f t="shared" si="8"/>
        <v>0.87177597641857041</v>
      </c>
    </row>
    <row r="578" spans="1:3" x14ac:dyDescent="0.25">
      <c r="A578" s="1">
        <v>38718</v>
      </c>
      <c r="B578">
        <v>140.4</v>
      </c>
      <c r="C578" s="2">
        <f t="shared" ref="C578:C641" si="9">1-(B$2/B578)</f>
        <v>0.87606837606837606</v>
      </c>
    </row>
    <row r="579" spans="1:3" x14ac:dyDescent="0.25">
      <c r="A579" s="1">
        <v>38749</v>
      </c>
      <c r="B579">
        <v>141.80000000000001</v>
      </c>
      <c r="C579" s="2">
        <f t="shared" si="9"/>
        <v>0.87729196050775737</v>
      </c>
    </row>
    <row r="580" spans="1:3" x14ac:dyDescent="0.25">
      <c r="A580" s="1">
        <v>38777</v>
      </c>
      <c r="B580">
        <v>140.80000000000001</v>
      </c>
      <c r="C580" s="2">
        <f t="shared" si="9"/>
        <v>0.87642045454545459</v>
      </c>
    </row>
    <row r="581" spans="1:3" x14ac:dyDescent="0.25">
      <c r="A581" s="1">
        <v>38808</v>
      </c>
      <c r="B581">
        <v>142.6</v>
      </c>
      <c r="C581" s="2">
        <f t="shared" si="9"/>
        <v>0.87798036465638152</v>
      </c>
    </row>
    <row r="582" spans="1:3" x14ac:dyDescent="0.25">
      <c r="A582" s="1">
        <v>38838</v>
      </c>
      <c r="B582">
        <v>143.6</v>
      </c>
      <c r="C582" s="2">
        <f t="shared" si="9"/>
        <v>0.87883008356545966</v>
      </c>
    </row>
    <row r="583" spans="1:3" x14ac:dyDescent="0.25">
      <c r="A583" s="1">
        <v>38869</v>
      </c>
      <c r="B583">
        <v>152.4</v>
      </c>
      <c r="C583" s="2">
        <f t="shared" si="9"/>
        <v>0.88582677165354329</v>
      </c>
    </row>
    <row r="584" spans="1:3" x14ac:dyDescent="0.25">
      <c r="A584" s="1">
        <v>38899</v>
      </c>
      <c r="B584">
        <v>153</v>
      </c>
      <c r="C584" s="2">
        <f t="shared" si="9"/>
        <v>0.88627450980392153</v>
      </c>
    </row>
    <row r="585" spans="1:3" x14ac:dyDescent="0.25">
      <c r="A585" s="1">
        <v>38930</v>
      </c>
      <c r="B585">
        <v>151.5</v>
      </c>
      <c r="C585" s="2">
        <f t="shared" si="9"/>
        <v>0.88514851485148516</v>
      </c>
    </row>
    <row r="586" spans="1:3" x14ac:dyDescent="0.25">
      <c r="A586" s="1">
        <v>38961</v>
      </c>
      <c r="B586">
        <v>152.19999999999999</v>
      </c>
      <c r="C586" s="2">
        <f t="shared" si="9"/>
        <v>0.88567674113009198</v>
      </c>
    </row>
    <row r="587" spans="1:3" x14ac:dyDescent="0.25">
      <c r="A587" s="1">
        <v>38991</v>
      </c>
      <c r="B587">
        <v>144</v>
      </c>
      <c r="C587" s="2">
        <f t="shared" si="9"/>
        <v>0.87916666666666665</v>
      </c>
    </row>
    <row r="588" spans="1:3" x14ac:dyDescent="0.25">
      <c r="A588" s="1">
        <v>39022</v>
      </c>
      <c r="B588">
        <v>140.6</v>
      </c>
      <c r="C588" s="2">
        <f t="shared" si="9"/>
        <v>0.87624466571834991</v>
      </c>
    </row>
    <row r="589" spans="1:3" x14ac:dyDescent="0.25">
      <c r="A589" s="1">
        <v>39052</v>
      </c>
      <c r="B589">
        <v>141.1</v>
      </c>
      <c r="C589" s="2">
        <f t="shared" si="9"/>
        <v>0.87668320340184269</v>
      </c>
    </row>
    <row r="590" spans="1:3" x14ac:dyDescent="0.25">
      <c r="A590" s="1">
        <v>39083</v>
      </c>
      <c r="B590">
        <v>144.5</v>
      </c>
      <c r="C590" s="2">
        <f t="shared" si="9"/>
        <v>0.87958477508650523</v>
      </c>
    </row>
    <row r="591" spans="1:3" x14ac:dyDescent="0.25">
      <c r="A591" s="1">
        <v>39114</v>
      </c>
      <c r="B591">
        <v>147.69999999999999</v>
      </c>
      <c r="C591" s="2">
        <f t="shared" si="9"/>
        <v>0.88219363574813814</v>
      </c>
    </row>
    <row r="592" spans="1:3" x14ac:dyDescent="0.25">
      <c r="A592" s="1">
        <v>39142</v>
      </c>
      <c r="B592">
        <v>144.69999999999999</v>
      </c>
      <c r="C592" s="2">
        <f t="shared" si="9"/>
        <v>0.87975120939875606</v>
      </c>
    </row>
    <row r="593" spans="1:3" x14ac:dyDescent="0.25">
      <c r="A593" s="1">
        <v>39173</v>
      </c>
      <c r="B593">
        <v>145.6</v>
      </c>
      <c r="C593" s="2">
        <f t="shared" si="9"/>
        <v>0.88049450549450547</v>
      </c>
    </row>
    <row r="594" spans="1:3" x14ac:dyDescent="0.25">
      <c r="A594" s="1">
        <v>39203</v>
      </c>
      <c r="B594">
        <v>150.69999999999999</v>
      </c>
      <c r="C594" s="2">
        <f t="shared" si="9"/>
        <v>0.88453881884538821</v>
      </c>
    </row>
    <row r="595" spans="1:3" x14ac:dyDescent="0.25">
      <c r="A595" s="1">
        <v>39234</v>
      </c>
      <c r="B595">
        <v>157</v>
      </c>
      <c r="C595" s="2">
        <f t="shared" si="9"/>
        <v>0.88917197452229302</v>
      </c>
    </row>
    <row r="596" spans="1:3" x14ac:dyDescent="0.25">
      <c r="A596" s="1">
        <v>39264</v>
      </c>
      <c r="B596">
        <v>157.19999999999999</v>
      </c>
      <c r="C596" s="2">
        <f t="shared" si="9"/>
        <v>0.88931297709923662</v>
      </c>
    </row>
    <row r="597" spans="1:3" x14ac:dyDescent="0.25">
      <c r="A597" s="1">
        <v>39295</v>
      </c>
      <c r="B597">
        <v>157.80000000000001</v>
      </c>
      <c r="C597" s="2">
        <f t="shared" si="9"/>
        <v>0.88973384030418257</v>
      </c>
    </row>
    <row r="598" spans="1:3" x14ac:dyDescent="0.25">
      <c r="A598" s="1">
        <v>39326</v>
      </c>
      <c r="B598">
        <v>158.4</v>
      </c>
      <c r="C598" s="2">
        <f t="shared" si="9"/>
        <v>0.89015151515151514</v>
      </c>
    </row>
    <row r="599" spans="1:3" x14ac:dyDescent="0.25">
      <c r="A599" s="1">
        <v>39356</v>
      </c>
      <c r="B599">
        <v>153.6</v>
      </c>
      <c r="C599" s="2">
        <f t="shared" si="9"/>
        <v>0.88671875</v>
      </c>
    </row>
    <row r="600" spans="1:3" x14ac:dyDescent="0.25">
      <c r="A600" s="1">
        <v>39387</v>
      </c>
      <c r="B600">
        <v>151.6</v>
      </c>
      <c r="C600" s="2">
        <f t="shared" si="9"/>
        <v>0.88522427440633245</v>
      </c>
    </row>
    <row r="601" spans="1:3" x14ac:dyDescent="0.25">
      <c r="A601" s="1">
        <v>39417</v>
      </c>
      <c r="B601">
        <v>151.30000000000001</v>
      </c>
      <c r="C601" s="2">
        <f t="shared" si="9"/>
        <v>0.88499669530733649</v>
      </c>
    </row>
    <row r="602" spans="1:3" x14ac:dyDescent="0.25">
      <c r="A602" s="1">
        <v>39448</v>
      </c>
      <c r="B602">
        <v>153</v>
      </c>
      <c r="C602" s="2">
        <f t="shared" si="9"/>
        <v>0.88627450980392153</v>
      </c>
    </row>
    <row r="603" spans="1:3" x14ac:dyDescent="0.25">
      <c r="A603" s="1">
        <v>39479</v>
      </c>
      <c r="B603">
        <v>151.1</v>
      </c>
      <c r="C603" s="2">
        <f t="shared" si="9"/>
        <v>0.88484447385837195</v>
      </c>
    </row>
    <row r="604" spans="1:3" x14ac:dyDescent="0.25">
      <c r="A604" s="1">
        <v>39508</v>
      </c>
      <c r="B604">
        <v>154.1</v>
      </c>
      <c r="C604" s="2">
        <f t="shared" si="9"/>
        <v>0.88708630759247242</v>
      </c>
    </row>
    <row r="605" spans="1:3" x14ac:dyDescent="0.25">
      <c r="A605" s="1">
        <v>39539</v>
      </c>
      <c r="B605">
        <v>156.1</v>
      </c>
      <c r="C605" s="2">
        <f t="shared" si="9"/>
        <v>0.88853299167200517</v>
      </c>
    </row>
    <row r="606" spans="1:3" x14ac:dyDescent="0.25">
      <c r="A606" s="1">
        <v>39569</v>
      </c>
      <c r="B606">
        <v>159.69999999999999</v>
      </c>
      <c r="C606" s="2">
        <f t="shared" si="9"/>
        <v>0.89104571070757665</v>
      </c>
    </row>
    <row r="607" spans="1:3" x14ac:dyDescent="0.25">
      <c r="A607" s="1">
        <v>39600</v>
      </c>
      <c r="B607">
        <v>161.4</v>
      </c>
      <c r="C607" s="2">
        <f t="shared" si="9"/>
        <v>0.89219330855018586</v>
      </c>
    </row>
    <row r="608" spans="1:3" x14ac:dyDescent="0.25">
      <c r="A608" s="1">
        <v>39630</v>
      </c>
      <c r="B608">
        <v>165.6</v>
      </c>
      <c r="C608" s="2">
        <f t="shared" si="9"/>
        <v>0.89492753623188404</v>
      </c>
    </row>
    <row r="609" spans="1:3" x14ac:dyDescent="0.25">
      <c r="A609" s="1">
        <v>39661</v>
      </c>
      <c r="B609">
        <v>166.3</v>
      </c>
      <c r="C609" s="2">
        <f t="shared" si="9"/>
        <v>0.89536981358989776</v>
      </c>
    </row>
    <row r="610" spans="1:3" x14ac:dyDescent="0.25">
      <c r="A610" s="1">
        <v>39692</v>
      </c>
      <c r="B610">
        <v>165</v>
      </c>
      <c r="C610" s="2">
        <f t="shared" si="9"/>
        <v>0.89454545454545453</v>
      </c>
    </row>
    <row r="611" spans="1:3" x14ac:dyDescent="0.25">
      <c r="A611" s="1">
        <v>39722</v>
      </c>
      <c r="B611">
        <v>162.69999999999999</v>
      </c>
      <c r="C611" s="2">
        <f t="shared" si="9"/>
        <v>0.8930547019053473</v>
      </c>
    </row>
    <row r="612" spans="1:3" x14ac:dyDescent="0.25">
      <c r="A612" s="1">
        <v>39753</v>
      </c>
      <c r="B612">
        <v>158.19999999999999</v>
      </c>
      <c r="C612" s="2">
        <f t="shared" si="9"/>
        <v>0.89001264222503162</v>
      </c>
    </row>
    <row r="613" spans="1:3" x14ac:dyDescent="0.25">
      <c r="A613" s="1">
        <v>39783</v>
      </c>
      <c r="B613">
        <v>158.69999999999999</v>
      </c>
      <c r="C613" s="2">
        <f t="shared" si="9"/>
        <v>0.89035916824196604</v>
      </c>
    </row>
    <row r="614" spans="1:3" x14ac:dyDescent="0.25">
      <c r="A614" s="1">
        <v>39814</v>
      </c>
      <c r="B614">
        <v>160</v>
      </c>
      <c r="C614" s="2">
        <f t="shared" si="9"/>
        <v>0.89124999999999999</v>
      </c>
    </row>
    <row r="615" spans="1:3" x14ac:dyDescent="0.25">
      <c r="A615" s="1">
        <v>39845</v>
      </c>
      <c r="B615">
        <v>160</v>
      </c>
      <c r="C615" s="2">
        <f t="shared" si="9"/>
        <v>0.89124999999999999</v>
      </c>
    </row>
    <row r="616" spans="1:3" x14ac:dyDescent="0.25">
      <c r="A616" s="1">
        <v>39873</v>
      </c>
      <c r="B616">
        <v>157.30000000000001</v>
      </c>
      <c r="C616" s="2">
        <f t="shared" si="9"/>
        <v>0.88938334392879848</v>
      </c>
    </row>
    <row r="617" spans="1:3" x14ac:dyDescent="0.25">
      <c r="A617" s="1">
        <v>39904</v>
      </c>
      <c r="B617">
        <v>156.30000000000001</v>
      </c>
      <c r="C617" s="2">
        <f t="shared" si="9"/>
        <v>0.8886756238003839</v>
      </c>
    </row>
    <row r="618" spans="1:3" x14ac:dyDescent="0.25">
      <c r="A618" s="1">
        <v>39934</v>
      </c>
      <c r="B618">
        <v>158.9</v>
      </c>
      <c r="C618" s="2">
        <f t="shared" si="9"/>
        <v>0.89049716803020773</v>
      </c>
    </row>
    <row r="619" spans="1:3" x14ac:dyDescent="0.25">
      <c r="A619" s="1">
        <v>39965</v>
      </c>
      <c r="B619">
        <v>160.9</v>
      </c>
      <c r="C619" s="2">
        <f t="shared" si="9"/>
        <v>0.89185829707893105</v>
      </c>
    </row>
    <row r="620" spans="1:3" x14ac:dyDescent="0.25">
      <c r="A620" s="1">
        <v>39995</v>
      </c>
      <c r="B620">
        <v>163.5</v>
      </c>
      <c r="C620" s="2">
        <f t="shared" si="9"/>
        <v>0.89357798165137614</v>
      </c>
    </row>
    <row r="621" spans="1:3" x14ac:dyDescent="0.25">
      <c r="A621" s="1">
        <v>40026</v>
      </c>
      <c r="B621">
        <v>161.9</v>
      </c>
      <c r="C621" s="2">
        <f t="shared" si="9"/>
        <v>0.89252625077208159</v>
      </c>
    </row>
    <row r="622" spans="1:3" x14ac:dyDescent="0.25">
      <c r="A622" s="1">
        <v>40057</v>
      </c>
      <c r="B622">
        <v>162</v>
      </c>
      <c r="C622" s="2">
        <f t="shared" si="9"/>
        <v>0.8925925925925926</v>
      </c>
    </row>
    <row r="623" spans="1:3" x14ac:dyDescent="0.25">
      <c r="A623" s="1">
        <v>40087</v>
      </c>
      <c r="B623">
        <v>158</v>
      </c>
      <c r="C623" s="2">
        <f t="shared" si="9"/>
        <v>0.88987341772151896</v>
      </c>
    </row>
    <row r="624" spans="1:3" x14ac:dyDescent="0.25">
      <c r="A624" s="1">
        <v>40118</v>
      </c>
      <c r="B624">
        <v>155.19999999999999</v>
      </c>
      <c r="C624" s="2">
        <f t="shared" si="9"/>
        <v>0.88788659793814428</v>
      </c>
    </row>
    <row r="625" spans="1:3" x14ac:dyDescent="0.25">
      <c r="A625" s="1">
        <v>40148</v>
      </c>
      <c r="B625">
        <v>155.30000000000001</v>
      </c>
      <c r="C625" s="2">
        <f t="shared" si="9"/>
        <v>0.88795878943979401</v>
      </c>
    </row>
    <row r="626" spans="1:3" x14ac:dyDescent="0.25">
      <c r="A626" s="1">
        <v>40179</v>
      </c>
      <c r="B626">
        <v>155.30000000000001</v>
      </c>
      <c r="C626" s="2">
        <f t="shared" si="9"/>
        <v>0.88795878943979401</v>
      </c>
    </row>
    <row r="627" spans="1:3" x14ac:dyDescent="0.25">
      <c r="A627" s="1">
        <v>40210</v>
      </c>
      <c r="B627">
        <v>155.30000000000001</v>
      </c>
      <c r="C627" s="2">
        <f t="shared" si="9"/>
        <v>0.88795878943979401</v>
      </c>
    </row>
    <row r="628" spans="1:3" x14ac:dyDescent="0.25">
      <c r="A628" s="1">
        <v>40238</v>
      </c>
      <c r="B628">
        <v>157.80000000000001</v>
      </c>
      <c r="C628" s="2">
        <f t="shared" si="9"/>
        <v>0.88973384030418257</v>
      </c>
    </row>
    <row r="629" spans="1:3" x14ac:dyDescent="0.25">
      <c r="A629" s="1">
        <v>40269</v>
      </c>
      <c r="B629">
        <v>157.6</v>
      </c>
      <c r="C629" s="2">
        <f t="shared" si="9"/>
        <v>0.88959390862944165</v>
      </c>
    </row>
    <row r="630" spans="1:3" x14ac:dyDescent="0.25">
      <c r="A630" s="1">
        <v>40299</v>
      </c>
      <c r="B630">
        <v>159.6</v>
      </c>
      <c r="C630" s="2">
        <f t="shared" si="9"/>
        <v>0.89097744360902253</v>
      </c>
    </row>
    <row r="631" spans="1:3" x14ac:dyDescent="0.25">
      <c r="A631" s="1">
        <v>40330</v>
      </c>
      <c r="B631">
        <v>164.8</v>
      </c>
      <c r="C631" s="2">
        <f t="shared" si="9"/>
        <v>0.89441747572815533</v>
      </c>
    </row>
    <row r="632" spans="1:3" x14ac:dyDescent="0.25">
      <c r="A632" s="1">
        <v>40360</v>
      </c>
      <c r="B632">
        <v>166</v>
      </c>
      <c r="C632" s="2">
        <f t="shared" si="9"/>
        <v>0.89518072289156625</v>
      </c>
    </row>
    <row r="633" spans="1:3" x14ac:dyDescent="0.25">
      <c r="A633" s="1">
        <v>40391</v>
      </c>
      <c r="B633">
        <v>166.9</v>
      </c>
      <c r="C633" s="2">
        <f t="shared" si="9"/>
        <v>0.89574595566207316</v>
      </c>
    </row>
    <row r="634" spans="1:3" x14ac:dyDescent="0.25">
      <c r="A634" s="1">
        <v>40422</v>
      </c>
      <c r="B634">
        <v>166.3</v>
      </c>
      <c r="C634" s="2">
        <f t="shared" si="9"/>
        <v>0.89536981358989776</v>
      </c>
    </row>
    <row r="635" spans="1:3" x14ac:dyDescent="0.25">
      <c r="A635" s="1">
        <v>40452</v>
      </c>
      <c r="B635">
        <v>162</v>
      </c>
      <c r="C635" s="2">
        <f t="shared" si="9"/>
        <v>0.8925925925925926</v>
      </c>
    </row>
    <row r="636" spans="1:3" x14ac:dyDescent="0.25">
      <c r="A636" s="1">
        <v>40483</v>
      </c>
      <c r="B636">
        <v>158.9</v>
      </c>
      <c r="C636" s="2">
        <f t="shared" si="9"/>
        <v>0.89049716803020773</v>
      </c>
    </row>
    <row r="637" spans="1:3" x14ac:dyDescent="0.25">
      <c r="A637" s="1">
        <v>40513</v>
      </c>
      <c r="B637">
        <v>159.4</v>
      </c>
      <c r="C637" s="2">
        <f t="shared" si="9"/>
        <v>0.89084065244667499</v>
      </c>
    </row>
    <row r="638" spans="1:3" x14ac:dyDescent="0.25">
      <c r="A638" s="1">
        <v>40544</v>
      </c>
      <c r="B638">
        <v>160.80000000000001</v>
      </c>
      <c r="C638" s="2">
        <f t="shared" si="9"/>
        <v>0.89179104477611948</v>
      </c>
    </row>
    <row r="639" spans="1:3" x14ac:dyDescent="0.25">
      <c r="A639" s="1">
        <v>40575</v>
      </c>
      <c r="B639">
        <v>162.1</v>
      </c>
      <c r="C639" s="2">
        <f t="shared" si="9"/>
        <v>0.8926588525601481</v>
      </c>
    </row>
    <row r="640" spans="1:3" x14ac:dyDescent="0.25">
      <c r="A640" s="1">
        <v>40603</v>
      </c>
      <c r="B640">
        <v>162.6</v>
      </c>
      <c r="C640" s="2">
        <f t="shared" si="9"/>
        <v>0.8929889298892989</v>
      </c>
    </row>
    <row r="641" spans="1:3" x14ac:dyDescent="0.25">
      <c r="A641" s="1">
        <v>40634</v>
      </c>
      <c r="B641">
        <v>161.9</v>
      </c>
      <c r="C641" s="2">
        <f t="shared" si="9"/>
        <v>0.89252625077208159</v>
      </c>
    </row>
    <row r="642" spans="1:3" x14ac:dyDescent="0.25">
      <c r="A642" s="1">
        <v>40664</v>
      </c>
      <c r="B642">
        <v>163.6</v>
      </c>
      <c r="C642" s="2">
        <f t="shared" ref="C642:C705" si="10">1-(B$2/B642)</f>
        <v>0.89364303178484106</v>
      </c>
    </row>
    <row r="643" spans="1:3" x14ac:dyDescent="0.25">
      <c r="A643" s="1">
        <v>40695</v>
      </c>
      <c r="B643">
        <v>171</v>
      </c>
      <c r="C643" s="2">
        <f t="shared" si="10"/>
        <v>0.89824561403508774</v>
      </c>
    </row>
    <row r="644" spans="1:3" x14ac:dyDescent="0.25">
      <c r="A644" s="1">
        <v>40725</v>
      </c>
      <c r="B644">
        <v>179.2</v>
      </c>
      <c r="C644" s="2">
        <f t="shared" si="10"/>
        <v>0.9029017857142857</v>
      </c>
    </row>
    <row r="645" spans="1:3" x14ac:dyDescent="0.25">
      <c r="A645" s="1">
        <v>40756</v>
      </c>
      <c r="B645">
        <v>180.4</v>
      </c>
      <c r="C645" s="2">
        <f t="shared" si="10"/>
        <v>0.90354767184035478</v>
      </c>
    </row>
    <row r="646" spans="1:3" x14ac:dyDescent="0.25">
      <c r="A646" s="1">
        <v>40787</v>
      </c>
      <c r="B646">
        <v>179.6</v>
      </c>
      <c r="C646" s="2">
        <f t="shared" si="10"/>
        <v>0.9031180400890868</v>
      </c>
    </row>
    <row r="647" spans="1:3" x14ac:dyDescent="0.25">
      <c r="A647" s="1">
        <v>40817</v>
      </c>
      <c r="B647">
        <v>172.3</v>
      </c>
      <c r="C647" s="2">
        <f t="shared" si="10"/>
        <v>0.89901334881021477</v>
      </c>
    </row>
    <row r="648" spans="1:3" x14ac:dyDescent="0.25">
      <c r="A648" s="1">
        <v>40848</v>
      </c>
      <c r="B648">
        <v>170.5</v>
      </c>
      <c r="C648" s="2">
        <f t="shared" si="10"/>
        <v>0.89794721407624634</v>
      </c>
    </row>
    <row r="649" spans="1:3" x14ac:dyDescent="0.25">
      <c r="A649" s="1">
        <v>40878</v>
      </c>
      <c r="B649">
        <v>170.8</v>
      </c>
      <c r="C649" s="2">
        <f t="shared" si="10"/>
        <v>0.89812646370023419</v>
      </c>
    </row>
    <row r="650" spans="1:3" x14ac:dyDescent="0.25">
      <c r="A650" s="1">
        <v>40909</v>
      </c>
      <c r="B650">
        <v>167.9</v>
      </c>
      <c r="C650" s="2">
        <f t="shared" si="10"/>
        <v>0.89636688505062534</v>
      </c>
    </row>
    <row r="651" spans="1:3" x14ac:dyDescent="0.25">
      <c r="A651" s="1">
        <v>40940</v>
      </c>
      <c r="B651">
        <v>167.3</v>
      </c>
      <c r="C651" s="2">
        <f t="shared" si="10"/>
        <v>0.8959952181709504</v>
      </c>
    </row>
    <row r="652" spans="1:3" x14ac:dyDescent="0.25">
      <c r="A652" s="1">
        <v>40969</v>
      </c>
      <c r="B652">
        <v>166.8</v>
      </c>
      <c r="C652" s="2">
        <f t="shared" si="10"/>
        <v>0.89568345323741005</v>
      </c>
    </row>
    <row r="653" spans="1:3" x14ac:dyDescent="0.25">
      <c r="A653" s="1">
        <v>41000</v>
      </c>
      <c r="B653">
        <v>165.4</v>
      </c>
      <c r="C653" s="2">
        <f t="shared" si="10"/>
        <v>0.89480048367593712</v>
      </c>
    </row>
    <row r="654" spans="1:3" x14ac:dyDescent="0.25">
      <c r="A654" s="1">
        <v>41030</v>
      </c>
      <c r="B654">
        <v>168.2</v>
      </c>
      <c r="C654" s="2">
        <f t="shared" si="10"/>
        <v>0.89655172413793105</v>
      </c>
    </row>
    <row r="655" spans="1:3" x14ac:dyDescent="0.25">
      <c r="A655" s="1">
        <v>41061</v>
      </c>
      <c r="B655">
        <v>173.3</v>
      </c>
      <c r="C655" s="2">
        <f t="shared" si="10"/>
        <v>0.89959607616849391</v>
      </c>
    </row>
    <row r="656" spans="1:3" x14ac:dyDescent="0.25">
      <c r="A656" s="1">
        <v>41091</v>
      </c>
      <c r="B656">
        <v>185.2</v>
      </c>
      <c r="C656" s="2">
        <f t="shared" si="10"/>
        <v>0.90604751619870405</v>
      </c>
    </row>
    <row r="657" spans="1:3" x14ac:dyDescent="0.25">
      <c r="A657" s="1">
        <v>41122</v>
      </c>
      <c r="B657">
        <v>185.6</v>
      </c>
      <c r="C657" s="2">
        <f t="shared" si="10"/>
        <v>0.90625</v>
      </c>
    </row>
    <row r="658" spans="1:3" x14ac:dyDescent="0.25">
      <c r="A658" s="1">
        <v>41153</v>
      </c>
      <c r="B658">
        <v>186.2</v>
      </c>
      <c r="C658" s="2">
        <f t="shared" si="10"/>
        <v>0.90655209452201935</v>
      </c>
    </row>
    <row r="659" spans="1:3" x14ac:dyDescent="0.25">
      <c r="A659" s="1">
        <v>41183</v>
      </c>
      <c r="B659">
        <v>179.2</v>
      </c>
      <c r="C659" s="2">
        <f t="shared" si="10"/>
        <v>0.9029017857142857</v>
      </c>
    </row>
    <row r="660" spans="1:3" x14ac:dyDescent="0.25">
      <c r="A660" s="1">
        <v>41214</v>
      </c>
      <c r="B660">
        <v>177.7</v>
      </c>
      <c r="C660" s="2">
        <f t="shared" si="10"/>
        <v>0.9020821609454136</v>
      </c>
    </row>
    <row r="661" spans="1:3" x14ac:dyDescent="0.25">
      <c r="A661" s="1">
        <v>41244</v>
      </c>
      <c r="B661">
        <v>178.9</v>
      </c>
      <c r="C661" s="2">
        <f t="shared" si="10"/>
        <v>0.90273896031302403</v>
      </c>
    </row>
    <row r="662" spans="1:3" x14ac:dyDescent="0.25">
      <c r="A662" s="1">
        <v>41275</v>
      </c>
      <c r="B662">
        <v>166.2</v>
      </c>
      <c r="C662" s="2">
        <f t="shared" si="10"/>
        <v>0.89530685920577613</v>
      </c>
    </row>
    <row r="663" spans="1:3" x14ac:dyDescent="0.25">
      <c r="A663" s="1">
        <v>41306</v>
      </c>
      <c r="B663">
        <v>166.3</v>
      </c>
      <c r="C663" s="2">
        <f t="shared" si="10"/>
        <v>0.89536981358989776</v>
      </c>
    </row>
    <row r="664" spans="1:3" x14ac:dyDescent="0.25">
      <c r="A664" s="1">
        <v>41334</v>
      </c>
      <c r="B664">
        <v>166</v>
      </c>
      <c r="C664" s="2">
        <f t="shared" si="10"/>
        <v>0.89518072289156625</v>
      </c>
    </row>
    <row r="665" spans="1:3" x14ac:dyDescent="0.25">
      <c r="A665" s="1">
        <v>41365</v>
      </c>
      <c r="B665">
        <v>165.8</v>
      </c>
      <c r="C665" s="2">
        <f t="shared" si="10"/>
        <v>0.89505428226779249</v>
      </c>
    </row>
    <row r="666" spans="1:3" x14ac:dyDescent="0.25">
      <c r="A666" s="1">
        <v>41395</v>
      </c>
      <c r="B666">
        <v>169.7</v>
      </c>
      <c r="C666" s="2">
        <f t="shared" si="10"/>
        <v>0.8974661166764879</v>
      </c>
    </row>
    <row r="667" spans="1:3" x14ac:dyDescent="0.25">
      <c r="A667" s="1">
        <v>41426</v>
      </c>
      <c r="B667">
        <v>176.6</v>
      </c>
      <c r="C667" s="2">
        <f t="shared" si="10"/>
        <v>0.90147225368063422</v>
      </c>
    </row>
    <row r="668" spans="1:3" x14ac:dyDescent="0.25">
      <c r="A668" s="1">
        <v>41456</v>
      </c>
      <c r="B668">
        <v>176</v>
      </c>
      <c r="C668" s="2">
        <f t="shared" si="10"/>
        <v>0.90113636363636362</v>
      </c>
    </row>
    <row r="669" spans="1:3" x14ac:dyDescent="0.25">
      <c r="A669" s="1">
        <v>41487</v>
      </c>
      <c r="B669">
        <v>175.2</v>
      </c>
      <c r="C669" s="2">
        <f t="shared" si="10"/>
        <v>0.90068493150684936</v>
      </c>
    </row>
    <row r="670" spans="1:3" x14ac:dyDescent="0.25">
      <c r="A670" s="1">
        <v>41518</v>
      </c>
      <c r="B670">
        <v>175.2</v>
      </c>
      <c r="C670" s="2">
        <f t="shared" si="10"/>
        <v>0.90068493150684936</v>
      </c>
    </row>
    <row r="671" spans="1:3" x14ac:dyDescent="0.25">
      <c r="A671" s="1">
        <v>41548</v>
      </c>
      <c r="B671">
        <v>167.8</v>
      </c>
      <c r="C671" s="2">
        <f t="shared" si="10"/>
        <v>0.89630512514898686</v>
      </c>
    </row>
    <row r="672" spans="1:3" x14ac:dyDescent="0.25">
      <c r="A672" s="1">
        <v>41579</v>
      </c>
      <c r="B672">
        <v>166</v>
      </c>
      <c r="C672" s="2">
        <f t="shared" si="10"/>
        <v>0.89518072289156625</v>
      </c>
    </row>
    <row r="673" spans="1:3" x14ac:dyDescent="0.25">
      <c r="A673" s="1">
        <v>41609</v>
      </c>
      <c r="B673">
        <v>167.2</v>
      </c>
      <c r="C673" s="2">
        <f t="shared" si="10"/>
        <v>0.89593301435406703</v>
      </c>
    </row>
    <row r="674" spans="1:3" x14ac:dyDescent="0.25">
      <c r="A674" s="1">
        <v>41640</v>
      </c>
      <c r="B674">
        <v>179.5</v>
      </c>
      <c r="C674" s="2">
        <f t="shared" si="10"/>
        <v>0.90306406685236773</v>
      </c>
    </row>
    <row r="675" spans="1:3" x14ac:dyDescent="0.25">
      <c r="A675" s="1">
        <v>41671</v>
      </c>
      <c r="B675">
        <v>178.9</v>
      </c>
      <c r="C675" s="2">
        <f t="shared" si="10"/>
        <v>0.90273896031302403</v>
      </c>
    </row>
    <row r="676" spans="1:3" x14ac:dyDescent="0.25">
      <c r="A676" s="1">
        <v>41699</v>
      </c>
      <c r="B676">
        <v>179.3</v>
      </c>
      <c r="C676" s="2">
        <f t="shared" si="10"/>
        <v>0.90295593976575572</v>
      </c>
    </row>
    <row r="677" spans="1:3" x14ac:dyDescent="0.25">
      <c r="A677" s="1">
        <v>41730</v>
      </c>
      <c r="B677">
        <v>176</v>
      </c>
      <c r="C677" s="2">
        <f t="shared" si="10"/>
        <v>0.90113636363636362</v>
      </c>
    </row>
    <row r="678" spans="1:3" x14ac:dyDescent="0.25">
      <c r="A678" s="1">
        <v>41760</v>
      </c>
      <c r="B678">
        <v>179.6</v>
      </c>
      <c r="C678" s="2">
        <f t="shared" si="10"/>
        <v>0.9031180400890868</v>
      </c>
    </row>
    <row r="679" spans="1:3" x14ac:dyDescent="0.25">
      <c r="A679" s="1">
        <v>41791</v>
      </c>
      <c r="B679">
        <v>186.8</v>
      </c>
      <c r="C679" s="2">
        <f t="shared" si="10"/>
        <v>0.90685224839400425</v>
      </c>
    </row>
    <row r="680" spans="1:3" x14ac:dyDescent="0.25">
      <c r="A680" s="1">
        <v>41821</v>
      </c>
      <c r="B680">
        <v>189.8</v>
      </c>
      <c r="C680" s="2">
        <f t="shared" si="10"/>
        <v>0.90832455216016861</v>
      </c>
    </row>
    <row r="681" spans="1:3" x14ac:dyDescent="0.25">
      <c r="A681" s="1">
        <v>41852</v>
      </c>
      <c r="B681">
        <v>190</v>
      </c>
      <c r="C681" s="2">
        <f t="shared" si="10"/>
        <v>0.90842105263157891</v>
      </c>
    </row>
    <row r="682" spans="1:3" x14ac:dyDescent="0.25">
      <c r="A682" s="1">
        <v>41883</v>
      </c>
      <c r="B682">
        <v>187.8</v>
      </c>
      <c r="C682" s="2">
        <f t="shared" si="10"/>
        <v>0.90734824281150162</v>
      </c>
    </row>
    <row r="683" spans="1:3" x14ac:dyDescent="0.25">
      <c r="A683" s="1">
        <v>41913</v>
      </c>
      <c r="B683">
        <v>181.3</v>
      </c>
      <c r="C683" s="2">
        <f t="shared" si="10"/>
        <v>0.90402647545504689</v>
      </c>
    </row>
    <row r="684" spans="1:3" x14ac:dyDescent="0.25">
      <c r="A684" s="1">
        <v>41944</v>
      </c>
      <c r="B684">
        <v>176</v>
      </c>
      <c r="C684" s="2">
        <f t="shared" si="10"/>
        <v>0.90113636363636362</v>
      </c>
    </row>
    <row r="685" spans="1:3" x14ac:dyDescent="0.25">
      <c r="A685" s="1">
        <v>41974</v>
      </c>
      <c r="B685">
        <v>178.6</v>
      </c>
      <c r="C685" s="2">
        <f t="shared" si="10"/>
        <v>0.90257558790593506</v>
      </c>
    </row>
    <row r="686" spans="1:3" x14ac:dyDescent="0.25">
      <c r="A686" s="1">
        <v>42005</v>
      </c>
      <c r="B686">
        <v>185.9</v>
      </c>
      <c r="C686" s="2">
        <f t="shared" si="10"/>
        <v>0.90640129101667566</v>
      </c>
    </row>
    <row r="687" spans="1:3" x14ac:dyDescent="0.25">
      <c r="A687" s="1">
        <v>42036</v>
      </c>
      <c r="B687">
        <v>184.7</v>
      </c>
      <c r="C687" s="2">
        <f t="shared" si="10"/>
        <v>0.90579317812669191</v>
      </c>
    </row>
    <row r="688" spans="1:3" x14ac:dyDescent="0.25">
      <c r="A688" s="1">
        <v>42064</v>
      </c>
      <c r="B688">
        <v>182.4</v>
      </c>
      <c r="C688" s="2">
        <f t="shared" si="10"/>
        <v>0.90460526315789469</v>
      </c>
    </row>
    <row r="689" spans="1:3" x14ac:dyDescent="0.25">
      <c r="A689" s="1">
        <v>42095</v>
      </c>
      <c r="B689">
        <v>178.4</v>
      </c>
      <c r="C689" s="2">
        <f t="shared" si="10"/>
        <v>0.90246636771300448</v>
      </c>
    </row>
    <row r="690" spans="1:3" x14ac:dyDescent="0.25">
      <c r="A690" s="1">
        <v>42125</v>
      </c>
      <c r="B690">
        <v>181.5</v>
      </c>
      <c r="C690" s="2">
        <f t="shared" si="10"/>
        <v>0.90413223140495869</v>
      </c>
    </row>
    <row r="691" spans="1:3" x14ac:dyDescent="0.25">
      <c r="A691" s="1">
        <v>42156</v>
      </c>
      <c r="B691">
        <v>197.8</v>
      </c>
      <c r="C691" s="2">
        <f t="shared" si="10"/>
        <v>0.91203235591506571</v>
      </c>
    </row>
    <row r="692" spans="1:3" x14ac:dyDescent="0.25">
      <c r="A692" s="1">
        <v>42186</v>
      </c>
      <c r="B692">
        <v>197.7</v>
      </c>
      <c r="C692" s="2">
        <f t="shared" si="10"/>
        <v>0.91198786039453716</v>
      </c>
    </row>
    <row r="693" spans="1:3" x14ac:dyDescent="0.25">
      <c r="A693" s="1">
        <v>42217</v>
      </c>
      <c r="B693">
        <v>197.3</v>
      </c>
      <c r="C693" s="2">
        <f t="shared" si="10"/>
        <v>0.91180942726811964</v>
      </c>
    </row>
    <row r="694" spans="1:3" x14ac:dyDescent="0.25">
      <c r="A694" s="1">
        <v>42248</v>
      </c>
      <c r="B694">
        <v>195.1</v>
      </c>
      <c r="C694" s="2">
        <f t="shared" si="10"/>
        <v>0.91081496668375195</v>
      </c>
    </row>
    <row r="695" spans="1:3" x14ac:dyDescent="0.25">
      <c r="A695" s="1">
        <v>42278</v>
      </c>
      <c r="B695">
        <v>182.1</v>
      </c>
      <c r="C695" s="2">
        <f t="shared" si="10"/>
        <v>0.90444810543657328</v>
      </c>
    </row>
    <row r="696" spans="1:3" x14ac:dyDescent="0.25">
      <c r="A696" s="1">
        <v>42309</v>
      </c>
      <c r="B696">
        <v>178.1</v>
      </c>
      <c r="C696" s="2">
        <f t="shared" si="10"/>
        <v>0.90230207748455926</v>
      </c>
    </row>
    <row r="697" spans="1:3" x14ac:dyDescent="0.25">
      <c r="A697" s="1">
        <v>42339</v>
      </c>
      <c r="B697">
        <v>179.2</v>
      </c>
      <c r="C697" s="2">
        <f t="shared" si="10"/>
        <v>0.9029017857142857</v>
      </c>
    </row>
    <row r="698" spans="1:3" x14ac:dyDescent="0.25">
      <c r="A698" s="1">
        <v>42370</v>
      </c>
      <c r="B698">
        <v>171</v>
      </c>
      <c r="C698" s="2">
        <f t="shared" si="10"/>
        <v>0.89824561403508774</v>
      </c>
    </row>
    <row r="699" spans="1:3" x14ac:dyDescent="0.25">
      <c r="A699" s="1">
        <v>42401</v>
      </c>
      <c r="B699">
        <v>170.2</v>
      </c>
      <c r="C699" s="2">
        <f t="shared" si="10"/>
        <v>0.89776733254994123</v>
      </c>
    </row>
    <row r="700" spans="1:3" x14ac:dyDescent="0.25">
      <c r="A700" s="1">
        <v>42430</v>
      </c>
      <c r="B700">
        <v>170.4</v>
      </c>
      <c r="C700" s="2">
        <f t="shared" si="10"/>
        <v>0.897887323943662</v>
      </c>
    </row>
    <row r="701" spans="1:3" x14ac:dyDescent="0.25">
      <c r="A701" s="1">
        <v>42461</v>
      </c>
      <c r="B701">
        <v>168.6</v>
      </c>
      <c r="C701" s="2">
        <f t="shared" si="10"/>
        <v>0.89679715302491103</v>
      </c>
    </row>
    <row r="702" spans="1:3" x14ac:dyDescent="0.25">
      <c r="A702" s="1">
        <v>42491</v>
      </c>
      <c r="B702">
        <v>171.8</v>
      </c>
      <c r="C702" s="2">
        <f t="shared" si="10"/>
        <v>0.89871944121071012</v>
      </c>
    </row>
    <row r="703" spans="1:3" x14ac:dyDescent="0.25">
      <c r="A703" s="1">
        <v>42522</v>
      </c>
      <c r="B703">
        <v>183.2</v>
      </c>
      <c r="C703" s="2">
        <f t="shared" si="10"/>
        <v>0.90502183406113534</v>
      </c>
    </row>
    <row r="704" spans="1:3" x14ac:dyDescent="0.25">
      <c r="A704" s="1">
        <v>42552</v>
      </c>
      <c r="B704">
        <v>188.3</v>
      </c>
      <c r="C704" s="2">
        <f t="shared" si="10"/>
        <v>0.90759426447158786</v>
      </c>
    </row>
    <row r="705" spans="1:3" x14ac:dyDescent="0.25">
      <c r="A705" s="1">
        <v>42583</v>
      </c>
      <c r="B705">
        <v>189.2</v>
      </c>
      <c r="C705" s="2">
        <f t="shared" si="10"/>
        <v>0.90803382663847776</v>
      </c>
    </row>
    <row r="706" spans="1:3" x14ac:dyDescent="0.25">
      <c r="A706" s="1">
        <v>42614</v>
      </c>
      <c r="B706">
        <v>189.9</v>
      </c>
      <c r="C706" s="2">
        <f t="shared" ref="C706:C769" si="11">1-(B$2/B706)</f>
        <v>0.90837282780410744</v>
      </c>
    </row>
    <row r="707" spans="1:3" x14ac:dyDescent="0.25">
      <c r="A707" s="1">
        <v>42644</v>
      </c>
      <c r="B707">
        <v>179.2</v>
      </c>
      <c r="C707" s="2">
        <f t="shared" si="11"/>
        <v>0.9029017857142857</v>
      </c>
    </row>
    <row r="708" spans="1:3" x14ac:dyDescent="0.25">
      <c r="A708" s="1">
        <v>42675</v>
      </c>
      <c r="B708">
        <v>176.2</v>
      </c>
      <c r="C708" s="2">
        <f t="shared" si="11"/>
        <v>0.90124858115777529</v>
      </c>
    </row>
    <row r="709" spans="1:3" x14ac:dyDescent="0.25">
      <c r="A709" s="1">
        <v>42705</v>
      </c>
      <c r="B709">
        <v>176.5</v>
      </c>
      <c r="C709" s="2">
        <f t="shared" si="11"/>
        <v>0.90141643059490084</v>
      </c>
    </row>
    <row r="710" spans="1:3" x14ac:dyDescent="0.25">
      <c r="A710" s="1">
        <v>42736</v>
      </c>
      <c r="B710">
        <v>193.8</v>
      </c>
      <c r="C710" s="2">
        <f t="shared" si="11"/>
        <v>0.91021671826625394</v>
      </c>
    </row>
    <row r="711" spans="1:3" x14ac:dyDescent="0.25">
      <c r="A711" s="1">
        <v>42767</v>
      </c>
      <c r="B711">
        <v>194.7</v>
      </c>
      <c r="C711" s="2">
        <f t="shared" si="11"/>
        <v>0.91063174114021572</v>
      </c>
    </row>
    <row r="712" spans="1:3" x14ac:dyDescent="0.25">
      <c r="A712" s="1">
        <v>42795</v>
      </c>
      <c r="B712">
        <v>195.9</v>
      </c>
      <c r="C712" s="2">
        <f t="shared" si="11"/>
        <v>0.9111791730474732</v>
      </c>
    </row>
    <row r="713" spans="1:3" x14ac:dyDescent="0.25">
      <c r="A713" s="1">
        <v>42826</v>
      </c>
      <c r="B713">
        <v>196</v>
      </c>
      <c r="C713" s="2">
        <f t="shared" si="11"/>
        <v>0.91122448979591841</v>
      </c>
    </row>
    <row r="714" spans="1:3" x14ac:dyDescent="0.25">
      <c r="A714" s="1">
        <v>42856</v>
      </c>
      <c r="B714">
        <v>198.2</v>
      </c>
      <c r="C714" s="2">
        <f t="shared" si="11"/>
        <v>0.91220988900100908</v>
      </c>
    </row>
    <row r="715" spans="1:3" x14ac:dyDescent="0.25">
      <c r="A715" s="1">
        <v>42887</v>
      </c>
      <c r="B715">
        <v>209.8</v>
      </c>
      <c r="C715" s="2">
        <f t="shared" si="11"/>
        <v>0.91706387035271686</v>
      </c>
    </row>
    <row r="716" spans="1:3" x14ac:dyDescent="0.25">
      <c r="A716" s="1">
        <v>42917</v>
      </c>
      <c r="B716">
        <v>211.8</v>
      </c>
      <c r="C716" s="2">
        <f t="shared" si="11"/>
        <v>0.9178470254957507</v>
      </c>
    </row>
    <row r="717" spans="1:3" x14ac:dyDescent="0.25">
      <c r="A717" s="1">
        <v>42948</v>
      </c>
      <c r="B717">
        <v>209.9</v>
      </c>
      <c r="C717" s="2">
        <f t="shared" si="11"/>
        <v>0.91710338256312529</v>
      </c>
    </row>
    <row r="718" spans="1:3" x14ac:dyDescent="0.25">
      <c r="A718" s="1">
        <v>42979</v>
      </c>
      <c r="B718">
        <v>208.1</v>
      </c>
      <c r="C718" s="2">
        <f t="shared" si="11"/>
        <v>0.91638635271504087</v>
      </c>
    </row>
    <row r="719" spans="1:3" x14ac:dyDescent="0.25">
      <c r="A719" s="1">
        <v>43009</v>
      </c>
      <c r="B719">
        <v>199.6</v>
      </c>
      <c r="C719" s="2">
        <f t="shared" si="11"/>
        <v>0.91282565130260518</v>
      </c>
    </row>
    <row r="720" spans="1:3" x14ac:dyDescent="0.25">
      <c r="A720" s="1">
        <v>43040</v>
      </c>
      <c r="B720">
        <v>197.9</v>
      </c>
      <c r="C720" s="2">
        <f t="shared" si="11"/>
        <v>0.91207680646791311</v>
      </c>
    </row>
    <row r="721" spans="1:3" x14ac:dyDescent="0.25">
      <c r="A721" s="1">
        <v>43070</v>
      </c>
      <c r="B721">
        <v>198.4</v>
      </c>
      <c r="C721" s="2">
        <f t="shared" si="11"/>
        <v>0.91229838709677424</v>
      </c>
    </row>
    <row r="722" spans="1:3" x14ac:dyDescent="0.25">
      <c r="A722" s="1">
        <v>43101</v>
      </c>
      <c r="B722">
        <v>203.5</v>
      </c>
      <c r="C722" s="2">
        <f t="shared" si="11"/>
        <v>0.91449631449631452</v>
      </c>
    </row>
    <row r="723" spans="1:3" x14ac:dyDescent="0.25">
      <c r="A723" s="1">
        <v>43132</v>
      </c>
      <c r="B723">
        <v>205</v>
      </c>
      <c r="C723" s="2">
        <f t="shared" si="11"/>
        <v>0.91512195121951223</v>
      </c>
    </row>
    <row r="724" spans="1:3" x14ac:dyDescent="0.25">
      <c r="A724" s="1">
        <v>43160</v>
      </c>
      <c r="B724">
        <v>201.4</v>
      </c>
      <c r="C724" s="2">
        <f t="shared" si="11"/>
        <v>0.91360476663356505</v>
      </c>
    </row>
    <row r="725" spans="1:3" x14ac:dyDescent="0.25">
      <c r="A725" s="1">
        <v>43191</v>
      </c>
      <c r="B725">
        <v>198.6</v>
      </c>
      <c r="C725" s="2">
        <f t="shared" si="11"/>
        <v>0.91238670694864044</v>
      </c>
    </row>
    <row r="726" spans="1:3" x14ac:dyDescent="0.25">
      <c r="A726" s="1">
        <v>43221</v>
      </c>
      <c r="B726">
        <v>201.6</v>
      </c>
      <c r="C726" s="2">
        <f t="shared" si="11"/>
        <v>0.91369047619047616</v>
      </c>
    </row>
    <row r="727" spans="1:3" x14ac:dyDescent="0.25">
      <c r="A727" s="1">
        <v>43252</v>
      </c>
      <c r="B727">
        <v>213.3</v>
      </c>
      <c r="C727" s="2">
        <f t="shared" si="11"/>
        <v>0.91842475386779188</v>
      </c>
    </row>
    <row r="728" spans="1:3" x14ac:dyDescent="0.25">
      <c r="A728" s="1">
        <v>43282</v>
      </c>
      <c r="B728">
        <v>216.3</v>
      </c>
      <c r="C728" s="2">
        <f t="shared" si="11"/>
        <v>0.91955617198335649</v>
      </c>
    </row>
    <row r="729" spans="1:3" x14ac:dyDescent="0.25">
      <c r="A729" s="1">
        <v>43313</v>
      </c>
      <c r="B729">
        <v>216.2</v>
      </c>
      <c r="C729" s="2">
        <f t="shared" si="11"/>
        <v>0.91951896392229415</v>
      </c>
    </row>
    <row r="730" spans="1:3" x14ac:dyDescent="0.25">
      <c r="A730" s="1">
        <v>43344</v>
      </c>
      <c r="B730">
        <v>213.5</v>
      </c>
      <c r="C730" s="2">
        <f t="shared" si="11"/>
        <v>0.91850117096018735</v>
      </c>
    </row>
    <row r="731" spans="1:3" x14ac:dyDescent="0.25">
      <c r="A731" s="1">
        <v>43374</v>
      </c>
      <c r="B731">
        <v>206.1</v>
      </c>
      <c r="C731" s="2">
        <f t="shared" si="11"/>
        <v>0.9155749636098981</v>
      </c>
    </row>
    <row r="732" spans="1:3" x14ac:dyDescent="0.25">
      <c r="A732" s="1">
        <v>43405</v>
      </c>
      <c r="B732">
        <v>200.7</v>
      </c>
      <c r="C732" s="2">
        <f t="shared" si="11"/>
        <v>0.91330343796711511</v>
      </c>
    </row>
    <row r="733" spans="1:3" x14ac:dyDescent="0.25">
      <c r="A733" s="1">
        <v>43435</v>
      </c>
      <c r="B733">
        <v>201.4</v>
      </c>
      <c r="C733" s="2">
        <f t="shared" si="11"/>
        <v>0.91360476663356505</v>
      </c>
    </row>
    <row r="734" spans="1:3" x14ac:dyDescent="0.25">
      <c r="A734" s="1">
        <v>43466</v>
      </c>
      <c r="B734">
        <v>204.7</v>
      </c>
      <c r="C734" s="2">
        <f t="shared" si="11"/>
        <v>0.91499755740107469</v>
      </c>
    </row>
    <row r="735" spans="1:3" x14ac:dyDescent="0.25">
      <c r="A735" s="1">
        <v>43497</v>
      </c>
      <c r="B735">
        <v>203.9</v>
      </c>
      <c r="C735" s="2">
        <f t="shared" si="11"/>
        <v>0.91466405100539483</v>
      </c>
    </row>
    <row r="736" spans="1:3" x14ac:dyDescent="0.25">
      <c r="A736" s="1">
        <v>43525</v>
      </c>
      <c r="B736">
        <v>201.9</v>
      </c>
      <c r="C736" s="2">
        <f t="shared" si="11"/>
        <v>0.91381872213967308</v>
      </c>
    </row>
    <row r="737" spans="1:3" x14ac:dyDescent="0.25">
      <c r="A737" s="1">
        <v>43556</v>
      </c>
      <c r="B737">
        <v>199.5</v>
      </c>
      <c r="C737" s="2">
        <f t="shared" si="11"/>
        <v>0.91278195488721803</v>
      </c>
    </row>
    <row r="738" spans="1:3" x14ac:dyDescent="0.25">
      <c r="A738" s="1">
        <v>43586</v>
      </c>
      <c r="B738">
        <v>201.5</v>
      </c>
      <c r="C738" s="2">
        <f t="shared" si="11"/>
        <v>0.91364764267990073</v>
      </c>
    </row>
    <row r="739" spans="1:3" x14ac:dyDescent="0.25">
      <c r="A739" s="1">
        <v>43617</v>
      </c>
      <c r="B739">
        <v>209.5</v>
      </c>
      <c r="C739" s="2">
        <f t="shared" si="11"/>
        <v>0.91694510739856805</v>
      </c>
    </row>
    <row r="740" spans="1:3" x14ac:dyDescent="0.25">
      <c r="A740" s="1">
        <v>43647</v>
      </c>
      <c r="B740">
        <v>211.7</v>
      </c>
      <c r="C740" s="2">
        <f t="shared" si="11"/>
        <v>0.9178082191780822</v>
      </c>
    </row>
    <row r="741" spans="1:3" x14ac:dyDescent="0.25">
      <c r="A741" s="1">
        <v>43678</v>
      </c>
      <c r="B741">
        <v>214.9</v>
      </c>
      <c r="C741" s="2">
        <f t="shared" si="11"/>
        <v>0.91903210795718937</v>
      </c>
    </row>
    <row r="742" spans="1:3" x14ac:dyDescent="0.25">
      <c r="A742" s="1">
        <v>43709</v>
      </c>
      <c r="B742">
        <v>212.6</v>
      </c>
      <c r="C742" s="2">
        <f t="shared" si="11"/>
        <v>0.91815616180620885</v>
      </c>
    </row>
    <row r="743" spans="1:3" x14ac:dyDescent="0.25">
      <c r="A743" s="1">
        <v>43739</v>
      </c>
      <c r="B743">
        <v>193.4</v>
      </c>
      <c r="C743" s="2">
        <f t="shared" si="11"/>
        <v>0.91003102378490175</v>
      </c>
    </row>
    <row r="744" spans="1:3" x14ac:dyDescent="0.25">
      <c r="A744" s="1">
        <v>43770</v>
      </c>
      <c r="B744">
        <v>192.4</v>
      </c>
      <c r="C744" s="2">
        <f t="shared" si="11"/>
        <v>0.90956340956340953</v>
      </c>
    </row>
    <row r="745" spans="1:3" x14ac:dyDescent="0.25">
      <c r="A745" s="1">
        <v>43800</v>
      </c>
      <c r="B745">
        <v>194.3</v>
      </c>
      <c r="C745" s="2">
        <f t="shared" si="11"/>
        <v>0.91044776119402981</v>
      </c>
    </row>
    <row r="746" spans="1:3" x14ac:dyDescent="0.25">
      <c r="A746" s="1">
        <v>43831</v>
      </c>
      <c r="B746">
        <v>194.6</v>
      </c>
      <c r="C746" s="2">
        <f t="shared" si="11"/>
        <v>0.91058581706063724</v>
      </c>
    </row>
    <row r="747" spans="1:3" x14ac:dyDescent="0.25">
      <c r="A747" s="1">
        <v>43862</v>
      </c>
      <c r="B747">
        <v>195.8</v>
      </c>
      <c r="C747" s="2">
        <f t="shared" si="11"/>
        <v>0.91113381001021454</v>
      </c>
    </row>
    <row r="748" spans="1:3" x14ac:dyDescent="0.25">
      <c r="A748" s="1">
        <v>43891</v>
      </c>
      <c r="B748">
        <v>194.9</v>
      </c>
      <c r="C748" s="2">
        <f t="shared" si="11"/>
        <v>0.91072344792201132</v>
      </c>
    </row>
    <row r="749" spans="1:3" x14ac:dyDescent="0.25">
      <c r="A749" s="1">
        <v>43922</v>
      </c>
      <c r="B749">
        <v>194.7</v>
      </c>
      <c r="C749" s="2">
        <f t="shared" si="11"/>
        <v>0.91063174114021572</v>
      </c>
    </row>
    <row r="750" spans="1:3" x14ac:dyDescent="0.25">
      <c r="A750" s="1">
        <v>43952</v>
      </c>
      <c r="B750">
        <v>194.6</v>
      </c>
      <c r="C750" s="2">
        <f t="shared" si="11"/>
        <v>0.91058581706063724</v>
      </c>
    </row>
    <row r="751" spans="1:3" x14ac:dyDescent="0.25">
      <c r="A751" s="1">
        <v>43983</v>
      </c>
      <c r="B751">
        <v>209.2</v>
      </c>
      <c r="C751" s="2">
        <f t="shared" si="11"/>
        <v>0.91682600382409174</v>
      </c>
    </row>
    <row r="752" spans="1:3" x14ac:dyDescent="0.25">
      <c r="A752" s="1">
        <v>44013</v>
      </c>
      <c r="B752">
        <v>211.9</v>
      </c>
      <c r="C752" s="2">
        <f t="shared" si="11"/>
        <v>0.91788579518640867</v>
      </c>
    </row>
    <row r="753" spans="1:3" x14ac:dyDescent="0.25">
      <c r="A753" s="1">
        <v>44044</v>
      </c>
      <c r="B753">
        <v>211.9</v>
      </c>
      <c r="C753" s="2">
        <f t="shared" si="11"/>
        <v>0.91788579518640867</v>
      </c>
    </row>
    <row r="754" spans="1:3" x14ac:dyDescent="0.25">
      <c r="A754" s="1">
        <v>44075</v>
      </c>
      <c r="B754">
        <v>214.1</v>
      </c>
      <c r="C754" s="2">
        <f t="shared" si="11"/>
        <v>0.91872956562354036</v>
      </c>
    </row>
    <row r="755" spans="1:3" x14ac:dyDescent="0.25">
      <c r="A755" s="1">
        <v>44105</v>
      </c>
      <c r="B755">
        <v>197.6</v>
      </c>
      <c r="C755" s="2">
        <f t="shared" si="11"/>
        <v>0.91194331983805665</v>
      </c>
    </row>
    <row r="756" spans="1:3" x14ac:dyDescent="0.25">
      <c r="A756" s="1">
        <v>44136</v>
      </c>
      <c r="B756">
        <v>194.9</v>
      </c>
      <c r="C756" s="2">
        <f t="shared" si="11"/>
        <v>0.91072344792201132</v>
      </c>
    </row>
    <row r="757" spans="1:3" x14ac:dyDescent="0.25">
      <c r="A757" s="1">
        <v>44166</v>
      </c>
      <c r="B757">
        <v>194.6</v>
      </c>
      <c r="C757" s="2">
        <f t="shared" si="11"/>
        <v>0.91058581706063724</v>
      </c>
    </row>
    <row r="758" spans="1:3" x14ac:dyDescent="0.25">
      <c r="A758" s="1">
        <v>44197</v>
      </c>
      <c r="B758">
        <v>196.1</v>
      </c>
      <c r="C758" s="2">
        <f t="shared" si="11"/>
        <v>0.91126976032636409</v>
      </c>
    </row>
    <row r="759" spans="1:3" x14ac:dyDescent="0.25">
      <c r="A759" s="1">
        <v>44228</v>
      </c>
      <c r="B759">
        <v>196.6</v>
      </c>
      <c r="C759" s="2">
        <f t="shared" si="11"/>
        <v>0.91149542217700918</v>
      </c>
    </row>
    <row r="760" spans="1:3" x14ac:dyDescent="0.25">
      <c r="A760" s="1">
        <v>44256</v>
      </c>
      <c r="B760">
        <v>211.6</v>
      </c>
      <c r="C760" s="2">
        <f t="shared" si="11"/>
        <v>0.91776937618147447</v>
      </c>
    </row>
    <row r="761" spans="1:3" x14ac:dyDescent="0.25">
      <c r="A761" s="1">
        <v>44287</v>
      </c>
      <c r="B761">
        <v>198.1</v>
      </c>
      <c r="C761" s="2">
        <f t="shared" si="11"/>
        <v>0.91216557294295808</v>
      </c>
    </row>
    <row r="762" spans="1:3" x14ac:dyDescent="0.25">
      <c r="A762" s="1">
        <v>44317</v>
      </c>
      <c r="B762">
        <v>199.9</v>
      </c>
      <c r="C762" s="2">
        <f t="shared" si="11"/>
        <v>0.91295647823911952</v>
      </c>
    </row>
    <row r="763" spans="1:3" x14ac:dyDescent="0.25">
      <c r="A763" s="1">
        <v>44348</v>
      </c>
      <c r="B763">
        <v>217.1</v>
      </c>
      <c r="C763" s="2">
        <f t="shared" si="11"/>
        <v>0.91985260248733303</v>
      </c>
    </row>
    <row r="764" spans="1:3" x14ac:dyDescent="0.25">
      <c r="A764" s="1">
        <v>44378</v>
      </c>
      <c r="B764">
        <v>221.232</v>
      </c>
      <c r="C764" s="2">
        <f t="shared" si="11"/>
        <v>0.92134953352137128</v>
      </c>
    </row>
    <row r="765" spans="1:3" x14ac:dyDescent="0.25">
      <c r="A765" s="1">
        <v>44409</v>
      </c>
      <c r="B765">
        <v>222.61500000000001</v>
      </c>
      <c r="C765" s="2">
        <f t="shared" si="11"/>
        <v>0.92183815106798739</v>
      </c>
    </row>
    <row r="766" spans="1:3" x14ac:dyDescent="0.25">
      <c r="A766" s="1">
        <v>44440</v>
      </c>
      <c r="B766">
        <v>219.977</v>
      </c>
      <c r="C766" s="2">
        <f t="shared" si="11"/>
        <v>0.92090082144951513</v>
      </c>
    </row>
    <row r="767" spans="1:3" x14ac:dyDescent="0.25">
      <c r="A767" s="1">
        <v>44470</v>
      </c>
      <c r="B767">
        <v>213.345</v>
      </c>
      <c r="C767" s="2">
        <f t="shared" si="11"/>
        <v>0.91844196020530133</v>
      </c>
    </row>
    <row r="768" spans="1:3" x14ac:dyDescent="0.25">
      <c r="A768" s="1">
        <v>44501</v>
      </c>
      <c r="B768">
        <v>211.864</v>
      </c>
      <c r="C768" s="2">
        <f t="shared" si="11"/>
        <v>0.91787184231393726</v>
      </c>
    </row>
    <row r="769" spans="1:3" x14ac:dyDescent="0.25">
      <c r="A769" s="1">
        <v>44531</v>
      </c>
      <c r="B769">
        <v>210.08199999999999</v>
      </c>
      <c r="C769" s="2">
        <f t="shared" si="11"/>
        <v>0.91717519825591909</v>
      </c>
    </row>
    <row r="770" spans="1:3" x14ac:dyDescent="0.25">
      <c r="A770" s="1">
        <v>44562</v>
      </c>
      <c r="B770">
        <v>220.00800000000001</v>
      </c>
      <c r="C770" s="2">
        <f t="shared" ref="C770:C833" si="12">1-(B$2/B770)</f>
        <v>0.9209119668375696</v>
      </c>
    </row>
    <row r="771" spans="1:3" x14ac:dyDescent="0.25">
      <c r="A771" s="1">
        <v>44593</v>
      </c>
      <c r="B771">
        <v>224.99799999999999</v>
      </c>
      <c r="C771" s="2">
        <f t="shared" si="12"/>
        <v>0.92266597925314886</v>
      </c>
    </row>
    <row r="772" spans="1:3" x14ac:dyDescent="0.25">
      <c r="A772" s="1">
        <v>44621</v>
      </c>
      <c r="B772">
        <v>221.40199999999999</v>
      </c>
      <c r="C772" s="2">
        <f t="shared" si="12"/>
        <v>0.92140992402959321</v>
      </c>
    </row>
    <row r="773" spans="1:3" x14ac:dyDescent="0.25">
      <c r="A773" s="1">
        <v>44652</v>
      </c>
      <c r="B773">
        <v>219.76400000000001</v>
      </c>
      <c r="C773" s="2">
        <f t="shared" si="12"/>
        <v>0.92082415682277352</v>
      </c>
    </row>
    <row r="774" spans="1:3" x14ac:dyDescent="0.25">
      <c r="A774" s="1">
        <v>44682</v>
      </c>
      <c r="B774">
        <v>223.78800000000001</v>
      </c>
      <c r="C774" s="2">
        <f t="shared" si="12"/>
        <v>0.92224784170733021</v>
      </c>
    </row>
    <row r="775" spans="1:3" x14ac:dyDescent="0.25">
      <c r="A775" s="1">
        <v>44713</v>
      </c>
      <c r="B775">
        <v>237.71799999999999</v>
      </c>
      <c r="C775" s="2">
        <f t="shared" si="12"/>
        <v>0.92680402830244235</v>
      </c>
    </row>
    <row r="776" spans="1:3" x14ac:dyDescent="0.25">
      <c r="A776" s="1">
        <v>44743</v>
      </c>
      <c r="B776">
        <v>248.316</v>
      </c>
      <c r="C776" s="2">
        <f t="shared" si="12"/>
        <v>0.92992799497414591</v>
      </c>
    </row>
    <row r="777" spans="1:3" x14ac:dyDescent="0.25">
      <c r="A777" s="1">
        <v>44774</v>
      </c>
      <c r="B777">
        <v>251.47800000000001</v>
      </c>
      <c r="C777" s="2">
        <f t="shared" si="12"/>
        <v>0.93080905685586812</v>
      </c>
    </row>
    <row r="778" spans="1:3" x14ac:dyDescent="0.25">
      <c r="A778" s="1">
        <v>44805</v>
      </c>
      <c r="B778">
        <v>254.327</v>
      </c>
      <c r="C778" s="2">
        <f t="shared" si="12"/>
        <v>0.931584141675874</v>
      </c>
    </row>
    <row r="779" spans="1:3" x14ac:dyDescent="0.25">
      <c r="A779" s="1">
        <v>44835</v>
      </c>
      <c r="B779">
        <v>238.315</v>
      </c>
      <c r="C779" s="2">
        <f t="shared" si="12"/>
        <v>0.92698739063844071</v>
      </c>
    </row>
    <row r="780" spans="1:3" x14ac:dyDescent="0.25">
      <c r="A780" s="1">
        <v>44866</v>
      </c>
      <c r="B780">
        <v>228.934</v>
      </c>
      <c r="C780" s="2">
        <f t="shared" si="12"/>
        <v>0.92399556203971445</v>
      </c>
    </row>
    <row r="781" spans="1:3" x14ac:dyDescent="0.25">
      <c r="A781" s="1">
        <v>44896</v>
      </c>
      <c r="B781">
        <v>234.03</v>
      </c>
      <c r="C781" s="2">
        <f t="shared" si="12"/>
        <v>0.92565055762081783</v>
      </c>
    </row>
    <row r="782" spans="1:3" x14ac:dyDescent="0.25">
      <c r="A782" s="1">
        <v>44927</v>
      </c>
      <c r="B782">
        <v>255.50200000000001</v>
      </c>
      <c r="C782" s="2">
        <f t="shared" si="12"/>
        <v>0.9318987718295747</v>
      </c>
    </row>
    <row r="783" spans="1:3" x14ac:dyDescent="0.25">
      <c r="A783" s="1">
        <v>44958</v>
      </c>
      <c r="B783">
        <v>245.154</v>
      </c>
      <c r="C783" s="2">
        <f t="shared" si="12"/>
        <v>0.92902420519347029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1F03A-A991-4FBB-BFAB-CD211152F245}">
  <sheetPr codeName="Sheet3">
    <tabColor theme="2" tint="-0.249977111117893"/>
  </sheetPr>
  <dimension ref="A1:C172"/>
  <sheetViews>
    <sheetView workbookViewId="0">
      <selection activeCell="H32" sqref="H32"/>
    </sheetView>
  </sheetViews>
  <sheetFormatPr defaultRowHeight="15" x14ac:dyDescent="0.25"/>
  <cols>
    <col min="1" max="1" width="15.85546875" bestFit="1" customWidth="1"/>
    <col min="2" max="2" width="16.7109375" bestFit="1" customWidth="1"/>
    <col min="3" max="3" width="11.140625" bestFit="1" customWidth="1"/>
  </cols>
  <sheetData>
    <row r="1" spans="1:3" x14ac:dyDescent="0.25">
      <c r="A1" t="s">
        <v>0</v>
      </c>
      <c r="B1" t="s">
        <v>1</v>
      </c>
      <c r="C1" t="s">
        <v>5</v>
      </c>
    </row>
    <row r="2" spans="1:3" x14ac:dyDescent="0.25">
      <c r="A2" s="1">
        <v>39783</v>
      </c>
      <c r="B2">
        <v>100</v>
      </c>
      <c r="C2" s="2">
        <f t="shared" ref="C2:C33" si="0">1-(B$2/B2)</f>
        <v>0</v>
      </c>
    </row>
    <row r="3" spans="1:3" x14ac:dyDescent="0.25">
      <c r="A3" s="1">
        <v>39814</v>
      </c>
      <c r="B3">
        <v>94.3</v>
      </c>
      <c r="C3" s="2">
        <f t="shared" si="0"/>
        <v>-6.0445387062566303E-2</v>
      </c>
    </row>
    <row r="4" spans="1:3" x14ac:dyDescent="0.25">
      <c r="A4" s="1">
        <v>39845</v>
      </c>
      <c r="B4">
        <v>96.1</v>
      </c>
      <c r="C4" s="2">
        <f t="shared" si="0"/>
        <v>-4.058272632674309E-2</v>
      </c>
    </row>
    <row r="5" spans="1:3" x14ac:dyDescent="0.25">
      <c r="A5" s="1">
        <v>39873</v>
      </c>
      <c r="B5">
        <v>86.5</v>
      </c>
      <c r="C5" s="2">
        <f t="shared" si="0"/>
        <v>-0.1560693641618498</v>
      </c>
    </row>
    <row r="6" spans="1:3" x14ac:dyDescent="0.25">
      <c r="A6" s="1">
        <v>39904</v>
      </c>
      <c r="B6">
        <v>86.5</v>
      </c>
      <c r="C6" s="2">
        <f t="shared" si="0"/>
        <v>-0.1560693641618498</v>
      </c>
    </row>
    <row r="7" spans="1:3" x14ac:dyDescent="0.25">
      <c r="A7" s="1">
        <v>39934</v>
      </c>
      <c r="B7">
        <v>84.7</v>
      </c>
      <c r="C7" s="2">
        <f t="shared" si="0"/>
        <v>-0.18063754427390788</v>
      </c>
    </row>
    <row r="8" spans="1:3" x14ac:dyDescent="0.25">
      <c r="A8" s="1">
        <v>39965</v>
      </c>
      <c r="B8">
        <v>78</v>
      </c>
      <c r="C8" s="2">
        <f t="shared" si="0"/>
        <v>-0.28205128205128216</v>
      </c>
    </row>
    <row r="9" spans="1:3" x14ac:dyDescent="0.25">
      <c r="A9" s="1">
        <v>39995</v>
      </c>
      <c r="B9">
        <v>78.599999999999994</v>
      </c>
      <c r="C9" s="2">
        <f t="shared" si="0"/>
        <v>-0.27226463104325704</v>
      </c>
    </row>
    <row r="10" spans="1:3" x14ac:dyDescent="0.25">
      <c r="A10" s="1">
        <v>40026</v>
      </c>
      <c r="B10">
        <v>76.8</v>
      </c>
      <c r="C10" s="2">
        <f t="shared" si="0"/>
        <v>-0.30208333333333348</v>
      </c>
    </row>
    <row r="11" spans="1:3" x14ac:dyDescent="0.25">
      <c r="A11" s="1">
        <v>40057</v>
      </c>
      <c r="B11">
        <v>77.400000000000006</v>
      </c>
      <c r="C11" s="2">
        <f t="shared" si="0"/>
        <v>-0.29198966408268734</v>
      </c>
    </row>
    <row r="12" spans="1:3" x14ac:dyDescent="0.25">
      <c r="A12" s="1">
        <v>40087</v>
      </c>
      <c r="B12">
        <v>73.900000000000006</v>
      </c>
      <c r="C12" s="2">
        <f t="shared" si="0"/>
        <v>-0.35317997293640047</v>
      </c>
    </row>
    <row r="13" spans="1:3" x14ac:dyDescent="0.25">
      <c r="A13" s="1">
        <v>40118</v>
      </c>
      <c r="B13">
        <v>74.5</v>
      </c>
      <c r="C13" s="2">
        <f t="shared" si="0"/>
        <v>-0.34228187919463093</v>
      </c>
    </row>
    <row r="14" spans="1:3" x14ac:dyDescent="0.25">
      <c r="A14" s="1">
        <v>40148</v>
      </c>
      <c r="B14">
        <v>80.3</v>
      </c>
      <c r="C14" s="2">
        <f t="shared" si="0"/>
        <v>-0.24533001245330022</v>
      </c>
    </row>
    <row r="15" spans="1:3" x14ac:dyDescent="0.25">
      <c r="A15" s="1">
        <v>40179</v>
      </c>
      <c r="B15">
        <v>79.3</v>
      </c>
      <c r="C15" s="2">
        <f t="shared" si="0"/>
        <v>-0.26103404791929385</v>
      </c>
    </row>
    <row r="16" spans="1:3" x14ac:dyDescent="0.25">
      <c r="A16" s="1">
        <v>40210</v>
      </c>
      <c r="B16">
        <v>73.8</v>
      </c>
      <c r="C16" s="2">
        <f t="shared" si="0"/>
        <v>-0.3550135501355014</v>
      </c>
    </row>
    <row r="17" spans="1:3" x14ac:dyDescent="0.25">
      <c r="A17" s="1">
        <v>40238</v>
      </c>
      <c r="B17">
        <v>77.3</v>
      </c>
      <c r="C17" s="2">
        <f t="shared" si="0"/>
        <v>-0.29366106080207</v>
      </c>
    </row>
    <row r="18" spans="1:3" x14ac:dyDescent="0.25">
      <c r="A18" s="1">
        <v>40269</v>
      </c>
      <c r="B18">
        <v>78.2</v>
      </c>
      <c r="C18" s="2">
        <f t="shared" si="0"/>
        <v>-0.27877237851662406</v>
      </c>
    </row>
    <row r="19" spans="1:3" x14ac:dyDescent="0.25">
      <c r="A19" s="1">
        <v>40299</v>
      </c>
      <c r="B19">
        <v>77.5</v>
      </c>
      <c r="C19" s="2">
        <f t="shared" si="0"/>
        <v>-0.29032258064516125</v>
      </c>
    </row>
    <row r="20" spans="1:3" x14ac:dyDescent="0.25">
      <c r="A20" s="1">
        <v>40330</v>
      </c>
      <c r="B20">
        <v>79.400000000000006</v>
      </c>
      <c r="C20" s="2">
        <f t="shared" si="0"/>
        <v>-0.25944584382871527</v>
      </c>
    </row>
    <row r="21" spans="1:3" x14ac:dyDescent="0.25">
      <c r="A21" s="1">
        <v>40360</v>
      </c>
      <c r="B21">
        <v>79.2</v>
      </c>
      <c r="C21" s="2">
        <f t="shared" si="0"/>
        <v>-0.26262626262626254</v>
      </c>
    </row>
    <row r="22" spans="1:3" x14ac:dyDescent="0.25">
      <c r="A22" s="1">
        <v>40391</v>
      </c>
      <c r="B22">
        <v>80.5</v>
      </c>
      <c r="C22" s="2">
        <f t="shared" si="0"/>
        <v>-0.2422360248447204</v>
      </c>
    </row>
    <row r="23" spans="1:3" x14ac:dyDescent="0.25">
      <c r="A23" s="1">
        <v>40422</v>
      </c>
      <c r="B23">
        <v>82.1</v>
      </c>
      <c r="C23" s="2">
        <f t="shared" si="0"/>
        <v>-0.21802679658952506</v>
      </c>
    </row>
    <row r="24" spans="1:3" x14ac:dyDescent="0.25">
      <c r="A24" s="1">
        <v>40452</v>
      </c>
      <c r="B24">
        <v>79.900000000000006</v>
      </c>
      <c r="C24" s="2">
        <f t="shared" si="0"/>
        <v>-0.25156445556946183</v>
      </c>
    </row>
    <row r="25" spans="1:3" x14ac:dyDescent="0.25">
      <c r="A25" s="1">
        <v>40483</v>
      </c>
      <c r="B25">
        <v>81.900000000000006</v>
      </c>
      <c r="C25" s="2">
        <f t="shared" si="0"/>
        <v>-0.22100122100122088</v>
      </c>
    </row>
    <row r="26" spans="1:3" x14ac:dyDescent="0.25">
      <c r="A26" s="1">
        <v>40513</v>
      </c>
      <c r="B26">
        <v>81.7</v>
      </c>
      <c r="C26" s="2">
        <f t="shared" si="0"/>
        <v>-0.22399020807833536</v>
      </c>
    </row>
    <row r="27" spans="1:3" x14ac:dyDescent="0.25">
      <c r="A27" s="1">
        <v>40544</v>
      </c>
      <c r="B27">
        <v>86.3</v>
      </c>
      <c r="C27" s="2">
        <f t="shared" si="0"/>
        <v>-0.15874855156431056</v>
      </c>
    </row>
    <row r="28" spans="1:3" x14ac:dyDescent="0.25">
      <c r="A28" s="1">
        <v>40575</v>
      </c>
      <c r="B28">
        <v>86.9</v>
      </c>
      <c r="C28" s="2">
        <f t="shared" si="0"/>
        <v>-0.15074798619102414</v>
      </c>
    </row>
    <row r="29" spans="1:3" x14ac:dyDescent="0.25">
      <c r="A29" s="1">
        <v>40603</v>
      </c>
      <c r="B29">
        <v>87.1</v>
      </c>
      <c r="C29" s="2">
        <f t="shared" si="0"/>
        <v>-0.14810562571756614</v>
      </c>
    </row>
    <row r="30" spans="1:3" x14ac:dyDescent="0.25">
      <c r="A30" s="1">
        <v>40634</v>
      </c>
      <c r="B30">
        <v>88.7</v>
      </c>
      <c r="C30" s="2">
        <f t="shared" si="0"/>
        <v>-0.12739571589627952</v>
      </c>
    </row>
    <row r="31" spans="1:3" x14ac:dyDescent="0.25">
      <c r="A31" s="1">
        <v>40664</v>
      </c>
      <c r="B31">
        <v>90</v>
      </c>
      <c r="C31" s="2">
        <f t="shared" si="0"/>
        <v>-0.11111111111111116</v>
      </c>
    </row>
    <row r="32" spans="1:3" x14ac:dyDescent="0.25">
      <c r="A32" s="1">
        <v>40695</v>
      </c>
      <c r="B32">
        <v>91</v>
      </c>
      <c r="C32" s="2">
        <f t="shared" si="0"/>
        <v>-9.8901098901098994E-2</v>
      </c>
    </row>
    <row r="33" spans="1:3" x14ac:dyDescent="0.25">
      <c r="A33" s="1">
        <v>40725</v>
      </c>
      <c r="B33">
        <v>91.1</v>
      </c>
      <c r="C33" s="2">
        <f t="shared" si="0"/>
        <v>-9.7694840834248176E-2</v>
      </c>
    </row>
    <row r="34" spans="1:3" x14ac:dyDescent="0.25">
      <c r="A34" s="1">
        <v>40756</v>
      </c>
      <c r="B34">
        <v>91.5</v>
      </c>
      <c r="C34" s="2">
        <f t="shared" ref="C34:C65" si="1">1-(B$2/B34)</f>
        <v>-9.2896174863388081E-2</v>
      </c>
    </row>
    <row r="35" spans="1:3" x14ac:dyDescent="0.25">
      <c r="A35" s="1">
        <v>40787</v>
      </c>
      <c r="B35">
        <v>94.4</v>
      </c>
      <c r="C35" s="2">
        <f t="shared" si="1"/>
        <v>-5.9322033898304927E-2</v>
      </c>
    </row>
    <row r="36" spans="1:3" x14ac:dyDescent="0.25">
      <c r="A36" s="1">
        <v>40817</v>
      </c>
      <c r="B36">
        <v>95.4</v>
      </c>
      <c r="C36" s="2">
        <f t="shared" si="1"/>
        <v>-4.8218029350104663E-2</v>
      </c>
    </row>
    <row r="37" spans="1:3" x14ac:dyDescent="0.25">
      <c r="A37" s="1">
        <v>40848</v>
      </c>
      <c r="B37">
        <v>101.6</v>
      </c>
      <c r="C37" s="2">
        <f t="shared" si="1"/>
        <v>1.5748031496062964E-2</v>
      </c>
    </row>
    <row r="38" spans="1:3" x14ac:dyDescent="0.25">
      <c r="A38" s="1">
        <v>40878</v>
      </c>
      <c r="B38">
        <v>104.4</v>
      </c>
      <c r="C38" s="2">
        <f t="shared" si="1"/>
        <v>4.2145593869731823E-2</v>
      </c>
    </row>
    <row r="39" spans="1:3" x14ac:dyDescent="0.25">
      <c r="A39" s="1">
        <v>40909</v>
      </c>
      <c r="B39">
        <v>110.3</v>
      </c>
      <c r="C39" s="2">
        <f t="shared" si="1"/>
        <v>9.3381686310063494E-2</v>
      </c>
    </row>
    <row r="40" spans="1:3" x14ac:dyDescent="0.25">
      <c r="A40" s="1">
        <v>40940</v>
      </c>
      <c r="B40">
        <v>107.6</v>
      </c>
      <c r="C40" s="2">
        <f t="shared" si="1"/>
        <v>7.0631970260223054E-2</v>
      </c>
    </row>
    <row r="41" spans="1:3" x14ac:dyDescent="0.25">
      <c r="A41" s="1">
        <v>40969</v>
      </c>
      <c r="B41">
        <v>112.2</v>
      </c>
      <c r="C41" s="2">
        <f t="shared" si="1"/>
        <v>0.10873440285204994</v>
      </c>
    </row>
    <row r="42" spans="1:3" x14ac:dyDescent="0.25">
      <c r="A42" s="1">
        <v>41000</v>
      </c>
      <c r="B42">
        <v>109.1</v>
      </c>
      <c r="C42" s="2">
        <f t="shared" si="1"/>
        <v>8.3409715857011846E-2</v>
      </c>
    </row>
    <row r="43" spans="1:3" x14ac:dyDescent="0.25">
      <c r="A43" s="1">
        <v>41030</v>
      </c>
      <c r="B43">
        <v>111.7</v>
      </c>
      <c r="C43" s="2">
        <f t="shared" si="1"/>
        <v>0.10474485228290065</v>
      </c>
    </row>
    <row r="44" spans="1:3" x14ac:dyDescent="0.25">
      <c r="A44" s="1">
        <v>41061</v>
      </c>
      <c r="B44">
        <v>111.8</v>
      </c>
      <c r="C44" s="2">
        <f t="shared" si="1"/>
        <v>0.10554561717352418</v>
      </c>
    </row>
    <row r="45" spans="1:3" x14ac:dyDescent="0.25">
      <c r="A45" s="1">
        <v>41091</v>
      </c>
      <c r="B45">
        <v>111.6</v>
      </c>
      <c r="C45" s="2">
        <f t="shared" si="1"/>
        <v>0.10394265232974909</v>
      </c>
    </row>
    <row r="46" spans="1:3" x14ac:dyDescent="0.25">
      <c r="A46" s="1">
        <v>41122</v>
      </c>
      <c r="B46">
        <v>111.9</v>
      </c>
      <c r="C46" s="2">
        <f t="shared" si="1"/>
        <v>0.10634495084897233</v>
      </c>
    </row>
    <row r="47" spans="1:3" x14ac:dyDescent="0.25">
      <c r="A47" s="1">
        <v>41153</v>
      </c>
      <c r="B47">
        <v>113.3</v>
      </c>
      <c r="C47" s="2">
        <f t="shared" si="1"/>
        <v>0.11738746690202995</v>
      </c>
    </row>
    <row r="48" spans="1:3" x14ac:dyDescent="0.25">
      <c r="A48" s="1">
        <v>41183</v>
      </c>
      <c r="B48">
        <v>116.2</v>
      </c>
      <c r="C48" s="2">
        <f t="shared" si="1"/>
        <v>0.13941480206540446</v>
      </c>
    </row>
    <row r="49" spans="1:3" x14ac:dyDescent="0.25">
      <c r="A49" s="1">
        <v>41214</v>
      </c>
      <c r="B49">
        <v>113.5</v>
      </c>
      <c r="C49" s="2">
        <f t="shared" si="1"/>
        <v>0.11894273127753308</v>
      </c>
    </row>
    <row r="50" spans="1:3" x14ac:dyDescent="0.25">
      <c r="A50" s="1">
        <v>41244</v>
      </c>
      <c r="B50">
        <v>112.7</v>
      </c>
      <c r="C50" s="2">
        <f t="shared" si="1"/>
        <v>0.11268855368234254</v>
      </c>
    </row>
    <row r="51" spans="1:3" x14ac:dyDescent="0.25">
      <c r="A51" s="1">
        <v>41275</v>
      </c>
      <c r="B51">
        <v>112.7</v>
      </c>
      <c r="C51" s="2">
        <f t="shared" si="1"/>
        <v>0.11268855368234254</v>
      </c>
    </row>
    <row r="52" spans="1:3" x14ac:dyDescent="0.25">
      <c r="A52" s="1">
        <v>41306</v>
      </c>
      <c r="B52">
        <v>112.5</v>
      </c>
      <c r="C52" s="2">
        <f t="shared" si="1"/>
        <v>0.11111111111111116</v>
      </c>
    </row>
    <row r="53" spans="1:3" x14ac:dyDescent="0.25">
      <c r="A53" s="1">
        <v>41334</v>
      </c>
      <c r="B53">
        <v>112.8</v>
      </c>
      <c r="C53" s="2">
        <f t="shared" si="1"/>
        <v>0.11347517730496448</v>
      </c>
    </row>
    <row r="54" spans="1:3" x14ac:dyDescent="0.25">
      <c r="A54" s="1">
        <v>41365</v>
      </c>
      <c r="B54">
        <v>112.4</v>
      </c>
      <c r="C54" s="2">
        <f t="shared" si="1"/>
        <v>0.11032028469750899</v>
      </c>
    </row>
    <row r="55" spans="1:3" x14ac:dyDescent="0.25">
      <c r="A55" s="1">
        <v>41395</v>
      </c>
      <c r="B55">
        <v>113.3</v>
      </c>
      <c r="C55" s="2">
        <f t="shared" si="1"/>
        <v>0.11738746690202995</v>
      </c>
    </row>
    <row r="56" spans="1:3" x14ac:dyDescent="0.25">
      <c r="A56" s="1">
        <v>41426</v>
      </c>
      <c r="B56">
        <v>111.8</v>
      </c>
      <c r="C56" s="2">
        <f t="shared" si="1"/>
        <v>0.10554561717352418</v>
      </c>
    </row>
    <row r="57" spans="1:3" x14ac:dyDescent="0.25">
      <c r="A57" s="1">
        <v>41456</v>
      </c>
      <c r="B57">
        <v>111.1</v>
      </c>
      <c r="C57" s="2">
        <f t="shared" si="1"/>
        <v>9.9909990999099918E-2</v>
      </c>
    </row>
    <row r="58" spans="1:3" x14ac:dyDescent="0.25">
      <c r="A58" s="1">
        <v>41487</v>
      </c>
      <c r="B58">
        <v>109.5</v>
      </c>
      <c r="C58" s="2">
        <f t="shared" si="1"/>
        <v>8.6757990867579959E-2</v>
      </c>
    </row>
    <row r="59" spans="1:3" x14ac:dyDescent="0.25">
      <c r="A59" s="1">
        <v>41518</v>
      </c>
      <c r="B59">
        <v>110.7</v>
      </c>
      <c r="C59" s="2">
        <f t="shared" si="1"/>
        <v>9.6657633242999141E-2</v>
      </c>
    </row>
    <row r="60" spans="1:3" x14ac:dyDescent="0.25">
      <c r="A60" s="1">
        <v>41548</v>
      </c>
      <c r="B60">
        <v>103.3</v>
      </c>
      <c r="C60" s="2">
        <f t="shared" si="1"/>
        <v>3.1945788964181987E-2</v>
      </c>
    </row>
    <row r="61" spans="1:3" x14ac:dyDescent="0.25">
      <c r="A61" s="1">
        <v>41579</v>
      </c>
      <c r="B61">
        <v>99.5</v>
      </c>
      <c r="C61" s="2">
        <f t="shared" si="1"/>
        <v>-5.0251256281406143E-3</v>
      </c>
    </row>
    <row r="62" spans="1:3" x14ac:dyDescent="0.25">
      <c r="A62" s="1">
        <v>41609</v>
      </c>
      <c r="B62">
        <v>95.8</v>
      </c>
      <c r="C62" s="2">
        <f t="shared" si="1"/>
        <v>-4.3841336116910323E-2</v>
      </c>
    </row>
    <row r="63" spans="1:3" x14ac:dyDescent="0.25">
      <c r="A63" s="1">
        <v>41640</v>
      </c>
      <c r="B63">
        <v>94.6</v>
      </c>
      <c r="C63" s="2">
        <f t="shared" si="1"/>
        <v>-5.7082452431289621E-2</v>
      </c>
    </row>
    <row r="64" spans="1:3" x14ac:dyDescent="0.25">
      <c r="A64" s="1">
        <v>41671</v>
      </c>
      <c r="B64">
        <v>95.3</v>
      </c>
      <c r="C64" s="2">
        <f t="shared" si="1"/>
        <v>-4.9317943336831149E-2</v>
      </c>
    </row>
    <row r="65" spans="1:3" x14ac:dyDescent="0.25">
      <c r="A65" s="1">
        <v>41699</v>
      </c>
      <c r="B65">
        <v>95.9</v>
      </c>
      <c r="C65" s="2">
        <f t="shared" si="1"/>
        <v>-4.2752867570385655E-2</v>
      </c>
    </row>
    <row r="66" spans="1:3" x14ac:dyDescent="0.25">
      <c r="A66" s="1">
        <v>41730</v>
      </c>
      <c r="B66">
        <v>94.6</v>
      </c>
      <c r="C66" s="2">
        <f t="shared" ref="C66:C97" si="2">1-(B$2/B66)</f>
        <v>-5.7082452431289621E-2</v>
      </c>
    </row>
    <row r="67" spans="1:3" x14ac:dyDescent="0.25">
      <c r="A67" s="1">
        <v>41760</v>
      </c>
      <c r="B67">
        <v>95.2</v>
      </c>
      <c r="C67" s="2">
        <f t="shared" si="2"/>
        <v>-5.0420168067226934E-2</v>
      </c>
    </row>
    <row r="68" spans="1:3" x14ac:dyDescent="0.25">
      <c r="A68" s="1">
        <v>41791</v>
      </c>
      <c r="B68">
        <v>96.9</v>
      </c>
      <c r="C68" s="2">
        <f t="shared" si="2"/>
        <v>-3.1991744066047323E-2</v>
      </c>
    </row>
    <row r="69" spans="1:3" x14ac:dyDescent="0.25">
      <c r="A69" s="1">
        <v>41821</v>
      </c>
      <c r="B69">
        <v>99.7</v>
      </c>
      <c r="C69" s="2">
        <f t="shared" si="2"/>
        <v>-3.0090270812437314E-3</v>
      </c>
    </row>
    <row r="70" spans="1:3" x14ac:dyDescent="0.25">
      <c r="A70" s="1">
        <v>41852</v>
      </c>
      <c r="B70">
        <v>99.9</v>
      </c>
      <c r="C70" s="2">
        <f t="shared" si="2"/>
        <v>-1.0010010010008674E-3</v>
      </c>
    </row>
    <row r="71" spans="1:3" x14ac:dyDescent="0.25">
      <c r="A71" s="1">
        <v>41883</v>
      </c>
      <c r="B71">
        <v>102.2</v>
      </c>
      <c r="C71" s="2">
        <f t="shared" si="2"/>
        <v>2.1526418786692814E-2</v>
      </c>
    </row>
    <row r="72" spans="1:3" x14ac:dyDescent="0.25">
      <c r="A72" s="1">
        <v>41913</v>
      </c>
      <c r="B72">
        <v>104.1</v>
      </c>
      <c r="C72" s="2">
        <f t="shared" si="2"/>
        <v>3.9385206532180583E-2</v>
      </c>
    </row>
    <row r="73" spans="1:3" x14ac:dyDescent="0.25">
      <c r="A73" s="1">
        <v>41944</v>
      </c>
      <c r="B73">
        <v>101.7</v>
      </c>
      <c r="C73" s="2">
        <f t="shared" si="2"/>
        <v>1.6715830875122961E-2</v>
      </c>
    </row>
    <row r="74" spans="1:3" x14ac:dyDescent="0.25">
      <c r="A74" s="1">
        <v>41974</v>
      </c>
      <c r="B74">
        <v>104.9</v>
      </c>
      <c r="C74" s="2">
        <f t="shared" si="2"/>
        <v>4.6711153479504386E-2</v>
      </c>
    </row>
    <row r="75" spans="1:3" x14ac:dyDescent="0.25">
      <c r="A75" s="1">
        <v>42005</v>
      </c>
      <c r="B75">
        <v>104.1</v>
      </c>
      <c r="C75" s="2">
        <f t="shared" si="2"/>
        <v>3.9385206532180583E-2</v>
      </c>
    </row>
    <row r="76" spans="1:3" x14ac:dyDescent="0.25">
      <c r="A76" s="1">
        <v>42036</v>
      </c>
      <c r="B76">
        <v>102</v>
      </c>
      <c r="C76" s="2">
        <f t="shared" si="2"/>
        <v>1.9607843137254943E-2</v>
      </c>
    </row>
    <row r="77" spans="1:3" x14ac:dyDescent="0.25">
      <c r="A77" s="1">
        <v>42064</v>
      </c>
      <c r="B77">
        <v>98.8</v>
      </c>
      <c r="C77" s="2">
        <f t="shared" si="2"/>
        <v>-1.2145748987854255E-2</v>
      </c>
    </row>
    <row r="78" spans="1:3" x14ac:dyDescent="0.25">
      <c r="A78" s="1">
        <v>42095</v>
      </c>
      <c r="B78">
        <v>99</v>
      </c>
      <c r="C78" s="2">
        <f t="shared" si="2"/>
        <v>-1.0101010101010166E-2</v>
      </c>
    </row>
    <row r="79" spans="1:3" x14ac:dyDescent="0.25">
      <c r="A79" s="1">
        <v>42125</v>
      </c>
      <c r="B79">
        <v>99</v>
      </c>
      <c r="C79" s="2">
        <f t="shared" si="2"/>
        <v>-1.0101010101010166E-2</v>
      </c>
    </row>
    <row r="80" spans="1:3" x14ac:dyDescent="0.25">
      <c r="A80" s="1">
        <v>42156</v>
      </c>
      <c r="B80">
        <v>97.1</v>
      </c>
      <c r="C80" s="2">
        <f t="shared" si="2"/>
        <v>-2.9866117404737436E-2</v>
      </c>
    </row>
    <row r="81" spans="1:3" x14ac:dyDescent="0.25">
      <c r="A81" s="1">
        <v>42186</v>
      </c>
      <c r="B81">
        <v>96.7</v>
      </c>
      <c r="C81" s="2">
        <f t="shared" si="2"/>
        <v>-3.4126163391933861E-2</v>
      </c>
    </row>
    <row r="82" spans="1:3" x14ac:dyDescent="0.25">
      <c r="A82" s="1">
        <v>42217</v>
      </c>
      <c r="B82">
        <v>97</v>
      </c>
      <c r="C82" s="2">
        <f t="shared" si="2"/>
        <v>-3.0927835051546282E-2</v>
      </c>
    </row>
    <row r="83" spans="1:3" x14ac:dyDescent="0.25">
      <c r="A83" s="1">
        <v>42248</v>
      </c>
      <c r="B83">
        <v>95.4</v>
      </c>
      <c r="C83" s="2">
        <f t="shared" si="2"/>
        <v>-4.8218029350104663E-2</v>
      </c>
    </row>
    <row r="84" spans="1:3" x14ac:dyDescent="0.25">
      <c r="A84" s="1">
        <v>42278</v>
      </c>
      <c r="B84">
        <v>96.8</v>
      </c>
      <c r="C84" s="2">
        <f t="shared" si="2"/>
        <v>-3.3057851239669533E-2</v>
      </c>
    </row>
    <row r="85" spans="1:3" x14ac:dyDescent="0.25">
      <c r="A85" s="1">
        <v>42309</v>
      </c>
      <c r="B85">
        <v>96.5</v>
      </c>
      <c r="C85" s="2">
        <f t="shared" si="2"/>
        <v>-3.6269430051813378E-2</v>
      </c>
    </row>
    <row r="86" spans="1:3" x14ac:dyDescent="0.25">
      <c r="A86" s="1">
        <v>42339</v>
      </c>
      <c r="B86">
        <v>95.6</v>
      </c>
      <c r="C86" s="2">
        <f t="shared" si="2"/>
        <v>-4.6025104602510414E-2</v>
      </c>
    </row>
    <row r="87" spans="1:3" x14ac:dyDescent="0.25">
      <c r="A87" s="1">
        <v>42370</v>
      </c>
      <c r="B87">
        <v>95.7</v>
      </c>
      <c r="C87" s="2">
        <f t="shared" si="2"/>
        <v>-4.4932079414838011E-2</v>
      </c>
    </row>
    <row r="88" spans="1:3" x14ac:dyDescent="0.25">
      <c r="A88" s="1">
        <v>42401</v>
      </c>
      <c r="B88">
        <v>94.8</v>
      </c>
      <c r="C88" s="2">
        <f t="shared" si="2"/>
        <v>-5.4852320675105481E-2</v>
      </c>
    </row>
    <row r="89" spans="1:3" x14ac:dyDescent="0.25">
      <c r="A89" s="1">
        <v>42430</v>
      </c>
      <c r="B89">
        <v>95.4</v>
      </c>
      <c r="C89" s="2">
        <f t="shared" si="2"/>
        <v>-4.8218029350104663E-2</v>
      </c>
    </row>
    <row r="90" spans="1:3" x14ac:dyDescent="0.25">
      <c r="A90" s="1">
        <v>42461</v>
      </c>
      <c r="B90">
        <v>94.1</v>
      </c>
      <c r="C90" s="2">
        <f t="shared" si="2"/>
        <v>-6.2699256110520851E-2</v>
      </c>
    </row>
    <row r="91" spans="1:3" x14ac:dyDescent="0.25">
      <c r="A91" s="1">
        <v>42491</v>
      </c>
      <c r="B91">
        <v>92.1</v>
      </c>
      <c r="C91" s="2">
        <f t="shared" si="2"/>
        <v>-8.5776330076004381E-2</v>
      </c>
    </row>
    <row r="92" spans="1:3" x14ac:dyDescent="0.25">
      <c r="A92" s="1">
        <v>42522</v>
      </c>
      <c r="B92">
        <v>90</v>
      </c>
      <c r="C92" s="2">
        <f t="shared" si="2"/>
        <v>-0.11111111111111116</v>
      </c>
    </row>
    <row r="93" spans="1:3" x14ac:dyDescent="0.25">
      <c r="A93" s="1">
        <v>42552</v>
      </c>
      <c r="B93">
        <v>86.4</v>
      </c>
      <c r="C93" s="2">
        <f t="shared" si="2"/>
        <v>-0.15740740740740744</v>
      </c>
    </row>
    <row r="94" spans="1:3" x14ac:dyDescent="0.25">
      <c r="A94" s="1">
        <v>42583</v>
      </c>
      <c r="B94">
        <v>84.6</v>
      </c>
      <c r="C94" s="2">
        <f t="shared" si="2"/>
        <v>-0.1820330969267141</v>
      </c>
    </row>
    <row r="95" spans="1:3" x14ac:dyDescent="0.25">
      <c r="A95" s="1">
        <v>42614</v>
      </c>
      <c r="B95">
        <v>81.900000000000006</v>
      </c>
      <c r="C95" s="2">
        <f t="shared" si="2"/>
        <v>-0.22100122100122088</v>
      </c>
    </row>
    <row r="96" spans="1:3" x14ac:dyDescent="0.25">
      <c r="A96" s="1">
        <v>42644</v>
      </c>
      <c r="B96">
        <v>81.599999999999994</v>
      </c>
      <c r="C96" s="2">
        <f t="shared" si="2"/>
        <v>-0.22549019607843146</v>
      </c>
    </row>
    <row r="97" spans="1:3" x14ac:dyDescent="0.25">
      <c r="A97" s="1">
        <v>42675</v>
      </c>
      <c r="B97">
        <v>81.8</v>
      </c>
      <c r="C97" s="2">
        <f t="shared" si="2"/>
        <v>-0.22249388753056243</v>
      </c>
    </row>
    <row r="98" spans="1:3" x14ac:dyDescent="0.25">
      <c r="A98" s="1">
        <v>42705</v>
      </c>
      <c r="B98">
        <v>82</v>
      </c>
      <c r="C98" s="2">
        <f t="shared" ref="C98:C129" si="3">1-(B$2/B98)</f>
        <v>-0.21951219512195119</v>
      </c>
    </row>
    <row r="99" spans="1:3" x14ac:dyDescent="0.25">
      <c r="A99" s="1">
        <v>42736</v>
      </c>
      <c r="B99">
        <v>81.099999999999994</v>
      </c>
      <c r="C99" s="2">
        <f t="shared" si="3"/>
        <v>-0.23304562268803952</v>
      </c>
    </row>
    <row r="100" spans="1:3" x14ac:dyDescent="0.25">
      <c r="A100" s="1">
        <v>42767</v>
      </c>
      <c r="B100">
        <v>81</v>
      </c>
      <c r="C100" s="2">
        <f t="shared" si="3"/>
        <v>-0.23456790123456783</v>
      </c>
    </row>
    <row r="101" spans="1:3" x14ac:dyDescent="0.25">
      <c r="A101" s="1">
        <v>42795</v>
      </c>
      <c r="B101">
        <v>80.7</v>
      </c>
      <c r="C101" s="2">
        <f t="shared" si="3"/>
        <v>-0.23915737298636919</v>
      </c>
    </row>
    <row r="102" spans="1:3" x14ac:dyDescent="0.25">
      <c r="A102" s="1">
        <v>42826</v>
      </c>
      <c r="B102">
        <v>80.400000000000006</v>
      </c>
      <c r="C102" s="2">
        <f t="shared" si="3"/>
        <v>-0.24378109452736307</v>
      </c>
    </row>
    <row r="103" spans="1:3" x14ac:dyDescent="0.25">
      <c r="A103" s="1">
        <v>42856</v>
      </c>
      <c r="B103">
        <v>81</v>
      </c>
      <c r="C103" s="2">
        <f t="shared" si="3"/>
        <v>-0.23456790123456783</v>
      </c>
    </row>
    <row r="104" spans="1:3" x14ac:dyDescent="0.25">
      <c r="A104" s="1">
        <v>42887</v>
      </c>
      <c r="B104">
        <v>83.9</v>
      </c>
      <c r="C104" s="2">
        <f t="shared" si="3"/>
        <v>-0.19189511323003572</v>
      </c>
    </row>
    <row r="105" spans="1:3" x14ac:dyDescent="0.25">
      <c r="A105" s="1">
        <v>42917</v>
      </c>
      <c r="B105">
        <v>85.3</v>
      </c>
      <c r="C105" s="2">
        <f t="shared" si="3"/>
        <v>-0.17233294255568588</v>
      </c>
    </row>
    <row r="106" spans="1:3" x14ac:dyDescent="0.25">
      <c r="A106" s="1">
        <v>42948</v>
      </c>
      <c r="B106">
        <v>86.5</v>
      </c>
      <c r="C106" s="2">
        <f t="shared" si="3"/>
        <v>-0.1560693641618498</v>
      </c>
    </row>
    <row r="107" spans="1:3" x14ac:dyDescent="0.25">
      <c r="A107" s="1">
        <v>42979</v>
      </c>
      <c r="B107">
        <v>86.2</v>
      </c>
      <c r="C107" s="2">
        <f t="shared" si="3"/>
        <v>-0.16009280742459397</v>
      </c>
    </row>
    <row r="108" spans="1:3" x14ac:dyDescent="0.25">
      <c r="A108" s="1">
        <v>43009</v>
      </c>
      <c r="B108">
        <v>87.9</v>
      </c>
      <c r="C108" s="2">
        <f t="shared" si="3"/>
        <v>-0.13765642775881681</v>
      </c>
    </row>
    <row r="109" spans="1:3" x14ac:dyDescent="0.25">
      <c r="A109" s="1">
        <v>43040</v>
      </c>
      <c r="B109">
        <v>92.7</v>
      </c>
      <c r="C109" s="2">
        <f t="shared" si="3"/>
        <v>-7.8748651564185534E-2</v>
      </c>
    </row>
    <row r="110" spans="1:3" x14ac:dyDescent="0.25">
      <c r="A110" s="1">
        <v>43070</v>
      </c>
      <c r="B110">
        <v>95.5</v>
      </c>
      <c r="C110" s="2">
        <f t="shared" si="3"/>
        <v>-4.7120418848167533E-2</v>
      </c>
    </row>
    <row r="111" spans="1:3" x14ac:dyDescent="0.25">
      <c r="A111" s="1">
        <v>43101</v>
      </c>
      <c r="B111">
        <v>95.1</v>
      </c>
      <c r="C111" s="2">
        <f t="shared" si="3"/>
        <v>-5.1524710830704645E-2</v>
      </c>
    </row>
    <row r="112" spans="1:3" x14ac:dyDescent="0.25">
      <c r="A112" s="1">
        <v>43132</v>
      </c>
      <c r="B112">
        <v>97.6</v>
      </c>
      <c r="C112" s="2">
        <f t="shared" si="3"/>
        <v>-2.4590163934426368E-2</v>
      </c>
    </row>
    <row r="113" spans="1:3" x14ac:dyDescent="0.25">
      <c r="A113" s="1">
        <v>43160</v>
      </c>
      <c r="B113">
        <v>105</v>
      </c>
      <c r="C113" s="2">
        <f t="shared" si="3"/>
        <v>4.7619047619047672E-2</v>
      </c>
    </row>
    <row r="114" spans="1:3" x14ac:dyDescent="0.25">
      <c r="A114" s="1">
        <v>43191</v>
      </c>
      <c r="B114">
        <v>104.7</v>
      </c>
      <c r="C114" s="2">
        <f t="shared" si="3"/>
        <v>4.4890162368672382E-2</v>
      </c>
    </row>
    <row r="115" spans="1:3" x14ac:dyDescent="0.25">
      <c r="A115" s="1">
        <v>43221</v>
      </c>
      <c r="B115">
        <v>104.8</v>
      </c>
      <c r="C115" s="2">
        <f t="shared" si="3"/>
        <v>4.5801526717557217E-2</v>
      </c>
    </row>
    <row r="116" spans="1:3" x14ac:dyDescent="0.25">
      <c r="A116" s="1">
        <v>43252</v>
      </c>
      <c r="B116">
        <v>105.2</v>
      </c>
      <c r="C116" s="2">
        <f t="shared" si="3"/>
        <v>4.9429657794676785E-2</v>
      </c>
    </row>
    <row r="117" spans="1:3" x14ac:dyDescent="0.25">
      <c r="A117" s="1">
        <v>43282</v>
      </c>
      <c r="B117">
        <v>108.2</v>
      </c>
      <c r="C117" s="2">
        <f t="shared" si="3"/>
        <v>7.578558225508325E-2</v>
      </c>
    </row>
    <row r="118" spans="1:3" x14ac:dyDescent="0.25">
      <c r="A118" s="1">
        <v>43313</v>
      </c>
      <c r="B118">
        <v>105.8</v>
      </c>
      <c r="C118" s="2">
        <f t="shared" si="3"/>
        <v>5.4820415879016982E-2</v>
      </c>
    </row>
    <row r="119" spans="1:3" x14ac:dyDescent="0.25">
      <c r="A119" s="1">
        <v>43344</v>
      </c>
      <c r="B119">
        <v>106.6</v>
      </c>
      <c r="C119" s="2">
        <f t="shared" si="3"/>
        <v>6.1913696060037493E-2</v>
      </c>
    </row>
    <row r="120" spans="1:3" x14ac:dyDescent="0.25">
      <c r="A120" s="1">
        <v>43374</v>
      </c>
      <c r="B120">
        <v>107.9</v>
      </c>
      <c r="C120" s="2">
        <f t="shared" si="3"/>
        <v>7.3215940685820269E-2</v>
      </c>
    </row>
    <row r="121" spans="1:3" x14ac:dyDescent="0.25">
      <c r="A121" s="1">
        <v>43405</v>
      </c>
      <c r="B121">
        <v>108.7</v>
      </c>
      <c r="C121" s="2">
        <f t="shared" si="3"/>
        <v>8.0036798528058894E-2</v>
      </c>
    </row>
    <row r="122" spans="1:3" x14ac:dyDescent="0.25">
      <c r="A122" s="1">
        <v>43435</v>
      </c>
      <c r="B122">
        <v>110.6</v>
      </c>
      <c r="C122" s="2">
        <f t="shared" si="3"/>
        <v>9.5840867992766698E-2</v>
      </c>
    </row>
    <row r="123" spans="1:3" x14ac:dyDescent="0.25">
      <c r="A123" s="1">
        <v>43466</v>
      </c>
      <c r="B123">
        <v>111.2</v>
      </c>
      <c r="C123" s="2">
        <f t="shared" si="3"/>
        <v>0.10071942446043169</v>
      </c>
    </row>
    <row r="124" spans="1:3" x14ac:dyDescent="0.25">
      <c r="A124" s="1">
        <v>43497</v>
      </c>
      <c r="B124">
        <v>112.3</v>
      </c>
      <c r="C124" s="2">
        <f t="shared" si="3"/>
        <v>0.10952804986642917</v>
      </c>
    </row>
    <row r="125" spans="1:3" x14ac:dyDescent="0.25">
      <c r="A125" s="1">
        <v>43525</v>
      </c>
      <c r="B125">
        <v>110.4</v>
      </c>
      <c r="C125" s="2">
        <f t="shared" si="3"/>
        <v>9.4202898550724723E-2</v>
      </c>
    </row>
    <row r="126" spans="1:3" x14ac:dyDescent="0.25">
      <c r="A126" s="1">
        <v>43556</v>
      </c>
      <c r="B126">
        <v>111.4</v>
      </c>
      <c r="C126" s="2">
        <f t="shared" si="3"/>
        <v>0.10233393177737882</v>
      </c>
    </row>
    <row r="127" spans="1:3" x14ac:dyDescent="0.25">
      <c r="A127" s="1">
        <v>43586</v>
      </c>
      <c r="B127">
        <v>109.5</v>
      </c>
      <c r="C127" s="2">
        <f t="shared" si="3"/>
        <v>8.6757990867579959E-2</v>
      </c>
    </row>
    <row r="128" spans="1:3" x14ac:dyDescent="0.25">
      <c r="A128" s="1">
        <v>43617</v>
      </c>
      <c r="B128">
        <v>108.4</v>
      </c>
      <c r="C128" s="2">
        <f t="shared" si="3"/>
        <v>7.7490774907749138E-2</v>
      </c>
    </row>
    <row r="129" spans="1:3" x14ac:dyDescent="0.25">
      <c r="A129" s="1">
        <v>43647</v>
      </c>
      <c r="B129">
        <v>106.8</v>
      </c>
      <c r="C129" s="2">
        <f t="shared" si="3"/>
        <v>6.367041198501866E-2</v>
      </c>
    </row>
    <row r="130" spans="1:3" x14ac:dyDescent="0.25">
      <c r="A130" s="1">
        <v>43678</v>
      </c>
      <c r="B130">
        <v>105</v>
      </c>
      <c r="C130" s="2">
        <f t="shared" ref="C130:C161" si="4">1-(B$2/B130)</f>
        <v>4.7619047619047672E-2</v>
      </c>
    </row>
    <row r="131" spans="1:3" x14ac:dyDescent="0.25">
      <c r="A131" s="1">
        <v>43709</v>
      </c>
      <c r="B131">
        <v>105.3</v>
      </c>
      <c r="C131" s="2">
        <f t="shared" si="4"/>
        <v>5.0332383665717018E-2</v>
      </c>
    </row>
    <row r="132" spans="1:3" x14ac:dyDescent="0.25">
      <c r="A132" s="1">
        <v>43739</v>
      </c>
      <c r="B132">
        <v>104.9</v>
      </c>
      <c r="C132" s="2">
        <f t="shared" si="4"/>
        <v>4.6711153479504386E-2</v>
      </c>
    </row>
    <row r="133" spans="1:3" x14ac:dyDescent="0.25">
      <c r="A133" s="1">
        <v>43770</v>
      </c>
      <c r="B133">
        <v>102.3</v>
      </c>
      <c r="C133" s="2">
        <f t="shared" si="4"/>
        <v>2.2482893450635366E-2</v>
      </c>
    </row>
    <row r="134" spans="1:3" x14ac:dyDescent="0.25">
      <c r="A134" s="1">
        <v>43800</v>
      </c>
      <c r="B134">
        <v>95.3</v>
      </c>
      <c r="C134" s="2">
        <f t="shared" si="4"/>
        <v>-4.9317943336831149E-2</v>
      </c>
    </row>
    <row r="135" spans="1:3" x14ac:dyDescent="0.25">
      <c r="A135" s="1">
        <v>43831</v>
      </c>
      <c r="B135">
        <v>92</v>
      </c>
      <c r="C135" s="2">
        <f t="shared" si="4"/>
        <v>-8.6956521739130377E-2</v>
      </c>
    </row>
    <row r="136" spans="1:3" x14ac:dyDescent="0.25">
      <c r="A136" s="1">
        <v>43862</v>
      </c>
      <c r="B136">
        <v>91.7</v>
      </c>
      <c r="C136" s="2">
        <f t="shared" si="4"/>
        <v>-9.0512540894220228E-2</v>
      </c>
    </row>
    <row r="137" spans="1:3" x14ac:dyDescent="0.25">
      <c r="A137" s="1">
        <v>43891</v>
      </c>
      <c r="B137">
        <v>82.6</v>
      </c>
      <c r="C137" s="2">
        <f t="shared" si="4"/>
        <v>-0.21065375302663436</v>
      </c>
    </row>
    <row r="138" spans="1:3" x14ac:dyDescent="0.25">
      <c r="A138" s="1">
        <v>43922</v>
      </c>
      <c r="B138">
        <v>77.5</v>
      </c>
      <c r="C138" s="2">
        <f t="shared" si="4"/>
        <v>-0.29032258064516125</v>
      </c>
    </row>
    <row r="139" spans="1:3" x14ac:dyDescent="0.25">
      <c r="A139" s="1">
        <v>43952</v>
      </c>
      <c r="B139">
        <v>76</v>
      </c>
      <c r="C139" s="2">
        <f t="shared" si="4"/>
        <v>-0.31578947368421062</v>
      </c>
    </row>
    <row r="140" spans="1:3" x14ac:dyDescent="0.25">
      <c r="A140" s="1">
        <v>43983</v>
      </c>
      <c r="B140">
        <v>78.900000000000006</v>
      </c>
      <c r="C140" s="2">
        <f t="shared" si="4"/>
        <v>-0.26742712294043081</v>
      </c>
    </row>
    <row r="141" spans="1:3" x14ac:dyDescent="0.25">
      <c r="A141" s="1">
        <v>44013</v>
      </c>
      <c r="B141">
        <v>78.599999999999994</v>
      </c>
      <c r="C141" s="2">
        <f t="shared" si="4"/>
        <v>-0.27226463104325704</v>
      </c>
    </row>
    <row r="142" spans="1:3" x14ac:dyDescent="0.25">
      <c r="A142" s="1">
        <v>44044</v>
      </c>
      <c r="B142">
        <v>76.5</v>
      </c>
      <c r="C142" s="2">
        <f t="shared" si="4"/>
        <v>-0.30718954248366015</v>
      </c>
    </row>
    <row r="143" spans="1:3" x14ac:dyDescent="0.25">
      <c r="A143" s="1">
        <v>44075</v>
      </c>
      <c r="B143">
        <v>76.099999999999994</v>
      </c>
      <c r="C143" s="2">
        <f t="shared" si="4"/>
        <v>-0.31406044678055189</v>
      </c>
    </row>
    <row r="144" spans="1:3" x14ac:dyDescent="0.25">
      <c r="A144" s="1">
        <v>44105</v>
      </c>
      <c r="B144">
        <v>76.400000000000006</v>
      </c>
      <c r="C144" s="2">
        <f t="shared" si="4"/>
        <v>-0.30890052356020936</v>
      </c>
    </row>
    <row r="145" spans="1:3" x14ac:dyDescent="0.25">
      <c r="A145" s="1">
        <v>44136</v>
      </c>
      <c r="B145">
        <v>76.599999999999994</v>
      </c>
      <c r="C145" s="2">
        <f t="shared" si="4"/>
        <v>-0.30548302872062671</v>
      </c>
    </row>
    <row r="146" spans="1:3" x14ac:dyDescent="0.25">
      <c r="A146" s="1">
        <v>44166</v>
      </c>
      <c r="B146">
        <v>77.400000000000006</v>
      </c>
      <c r="C146" s="2">
        <f t="shared" si="4"/>
        <v>-0.29198966408268734</v>
      </c>
    </row>
    <row r="147" spans="1:3" x14ac:dyDescent="0.25">
      <c r="A147" s="1">
        <v>44197</v>
      </c>
      <c r="B147">
        <v>77.5</v>
      </c>
      <c r="C147" s="2">
        <f t="shared" si="4"/>
        <v>-0.29032258064516125</v>
      </c>
    </row>
    <row r="148" spans="1:3" x14ac:dyDescent="0.25">
      <c r="A148" s="1">
        <v>44228</v>
      </c>
      <c r="B148">
        <v>79.8</v>
      </c>
      <c r="C148" s="2">
        <f t="shared" si="4"/>
        <v>-0.25313283208020065</v>
      </c>
    </row>
    <row r="149" spans="1:3" x14ac:dyDescent="0.25">
      <c r="A149" s="1">
        <v>44256</v>
      </c>
      <c r="B149">
        <v>81</v>
      </c>
      <c r="C149" s="2">
        <f t="shared" si="4"/>
        <v>-0.23456790123456783</v>
      </c>
    </row>
    <row r="150" spans="1:3" x14ac:dyDescent="0.25">
      <c r="A150" s="1">
        <v>44287</v>
      </c>
      <c r="B150">
        <v>82.9</v>
      </c>
      <c r="C150" s="2">
        <f t="shared" si="4"/>
        <v>-0.20627261761158011</v>
      </c>
    </row>
    <row r="151" spans="1:3" x14ac:dyDescent="0.25">
      <c r="A151" s="1">
        <v>44317</v>
      </c>
      <c r="B151">
        <v>98.7</v>
      </c>
      <c r="C151" s="2">
        <f t="shared" si="4"/>
        <v>-1.3171225937183451E-2</v>
      </c>
    </row>
    <row r="152" spans="1:3" x14ac:dyDescent="0.25">
      <c r="A152" s="1">
        <v>44348</v>
      </c>
      <c r="B152">
        <v>101.6</v>
      </c>
      <c r="C152" s="2">
        <f t="shared" si="4"/>
        <v>1.5748031496062964E-2</v>
      </c>
    </row>
    <row r="153" spans="1:3" x14ac:dyDescent="0.25">
      <c r="A153" s="1">
        <v>44378</v>
      </c>
      <c r="B153">
        <v>106.782</v>
      </c>
      <c r="C153" s="2">
        <f t="shared" si="4"/>
        <v>6.3512577026090478E-2</v>
      </c>
    </row>
    <row r="154" spans="1:3" x14ac:dyDescent="0.25">
      <c r="A154" s="1">
        <v>44409</v>
      </c>
      <c r="B154">
        <v>105.745</v>
      </c>
      <c r="C154" s="2">
        <f t="shared" si="4"/>
        <v>5.4328809872807304E-2</v>
      </c>
    </row>
    <row r="155" spans="1:3" x14ac:dyDescent="0.25">
      <c r="A155" s="1">
        <v>44440</v>
      </c>
      <c r="B155">
        <v>105.26600000000001</v>
      </c>
      <c r="C155" s="2">
        <f t="shared" si="4"/>
        <v>5.0025649307468778E-2</v>
      </c>
    </row>
    <row r="156" spans="1:3" x14ac:dyDescent="0.25">
      <c r="A156" s="1">
        <v>44470</v>
      </c>
      <c r="B156">
        <v>107.027</v>
      </c>
      <c r="C156" s="2">
        <f t="shared" si="4"/>
        <v>6.5656329711194394E-2</v>
      </c>
    </row>
    <row r="157" spans="1:3" x14ac:dyDescent="0.25">
      <c r="A157" s="1">
        <v>44501</v>
      </c>
      <c r="B157">
        <v>107.54900000000001</v>
      </c>
      <c r="C157" s="2">
        <f t="shared" si="4"/>
        <v>7.0191261657477133E-2</v>
      </c>
    </row>
    <row r="158" spans="1:3" x14ac:dyDescent="0.25">
      <c r="A158" s="1">
        <v>44531</v>
      </c>
      <c r="B158">
        <v>118.152</v>
      </c>
      <c r="C158" s="2">
        <f t="shared" si="4"/>
        <v>0.15363260884284646</v>
      </c>
    </row>
    <row r="159" spans="1:3" x14ac:dyDescent="0.25">
      <c r="A159" s="1">
        <v>44562</v>
      </c>
      <c r="B159">
        <v>121.119</v>
      </c>
      <c r="C159" s="2">
        <f t="shared" si="4"/>
        <v>0.1743657064539833</v>
      </c>
    </row>
    <row r="160" spans="1:3" x14ac:dyDescent="0.25">
      <c r="A160" s="1">
        <v>44593</v>
      </c>
      <c r="B160">
        <v>129.065</v>
      </c>
      <c r="C160" s="2">
        <f t="shared" si="4"/>
        <v>0.22519660636113581</v>
      </c>
    </row>
    <row r="161" spans="1:3" x14ac:dyDescent="0.25">
      <c r="A161" s="1">
        <v>44621</v>
      </c>
      <c r="B161">
        <v>131.875</v>
      </c>
      <c r="C161" s="2">
        <f t="shared" si="4"/>
        <v>0.24170616113744081</v>
      </c>
    </row>
    <row r="162" spans="1:3" x14ac:dyDescent="0.25">
      <c r="A162" s="1">
        <v>44652</v>
      </c>
      <c r="B162">
        <v>137.83099999999999</v>
      </c>
      <c r="C162" s="2">
        <f t="shared" ref="C162:C193" si="5">1-(B$2/B162)</f>
        <v>0.27447381213224886</v>
      </c>
    </row>
    <row r="163" spans="1:3" x14ac:dyDescent="0.25">
      <c r="A163" s="1">
        <v>44682</v>
      </c>
      <c r="B163">
        <v>163.72900000000001</v>
      </c>
      <c r="C163" s="2">
        <f t="shared" si="5"/>
        <v>0.38923464993983969</v>
      </c>
    </row>
    <row r="164" spans="1:3" x14ac:dyDescent="0.25">
      <c r="A164" s="1">
        <v>44713</v>
      </c>
      <c r="B164">
        <v>171.95400000000001</v>
      </c>
      <c r="C164" s="2">
        <f t="shared" si="5"/>
        <v>0.41844912011351876</v>
      </c>
    </row>
    <row r="165" spans="1:3" x14ac:dyDescent="0.25">
      <c r="A165" s="1">
        <v>44743</v>
      </c>
      <c r="B165">
        <v>165.876</v>
      </c>
      <c r="C165" s="2">
        <f t="shared" si="5"/>
        <v>0.39714003231329431</v>
      </c>
    </row>
    <row r="166" spans="1:3" x14ac:dyDescent="0.25">
      <c r="A166" s="1">
        <v>44774</v>
      </c>
      <c r="B166">
        <v>151.453</v>
      </c>
      <c r="C166" s="2">
        <f t="shared" si="5"/>
        <v>0.33972915690016048</v>
      </c>
    </row>
    <row r="167" spans="1:3" x14ac:dyDescent="0.25">
      <c r="A167" s="1">
        <v>44805</v>
      </c>
      <c r="B167">
        <v>153.60300000000001</v>
      </c>
      <c r="C167" s="2">
        <f t="shared" si="5"/>
        <v>0.34897104874253759</v>
      </c>
    </row>
    <row r="168" spans="1:3" x14ac:dyDescent="0.25">
      <c r="A168" s="1">
        <v>44835</v>
      </c>
      <c r="B168">
        <v>153.137</v>
      </c>
      <c r="C168" s="2">
        <f t="shared" si="5"/>
        <v>0.34698995017533318</v>
      </c>
    </row>
    <row r="169" spans="1:3" x14ac:dyDescent="0.25">
      <c r="A169" s="1">
        <v>44866</v>
      </c>
      <c r="B169">
        <v>121.44799999999999</v>
      </c>
      <c r="C169" s="2">
        <f t="shared" si="5"/>
        <v>0.17660233186219609</v>
      </c>
    </row>
    <row r="170" spans="1:3" x14ac:dyDescent="0.25">
      <c r="A170" s="1">
        <v>44896</v>
      </c>
      <c r="B170">
        <v>119.12</v>
      </c>
      <c r="C170" s="2">
        <f t="shared" si="5"/>
        <v>0.16051040967092012</v>
      </c>
    </row>
    <row r="171" spans="1:3" x14ac:dyDescent="0.25">
      <c r="A171" s="1">
        <v>44927</v>
      </c>
      <c r="B171">
        <v>119.242</v>
      </c>
      <c r="C171" s="2">
        <f t="shared" si="5"/>
        <v>0.1613693161805404</v>
      </c>
    </row>
    <row r="172" spans="1:3" x14ac:dyDescent="0.25">
      <c r="A172" s="1">
        <v>44958</v>
      </c>
      <c r="B172">
        <v>118.568</v>
      </c>
      <c r="C172" s="2">
        <f t="shared" si="5"/>
        <v>0.15660211861547801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65C04-18C2-4DCF-9ECE-D3C8660B7B9F}">
  <sheetPr codeName="Sheet4">
    <tabColor theme="2" tint="-0.249977111117893"/>
  </sheetPr>
  <dimension ref="A1:C232"/>
  <sheetViews>
    <sheetView workbookViewId="0">
      <selection activeCell="H32" sqref="H32"/>
    </sheetView>
  </sheetViews>
  <sheetFormatPr defaultRowHeight="15" x14ac:dyDescent="0.25"/>
  <cols>
    <col min="1" max="1" width="15.85546875" bestFit="1" customWidth="1"/>
    <col min="2" max="2" width="16.7109375" bestFit="1" customWidth="1"/>
    <col min="3" max="3" width="11.140625" bestFit="1" customWidth="1"/>
  </cols>
  <sheetData>
    <row r="1" spans="1:3" x14ac:dyDescent="0.25">
      <c r="A1" t="s">
        <v>0</v>
      </c>
      <c r="B1" t="s">
        <v>1</v>
      </c>
      <c r="C1" t="s">
        <v>5</v>
      </c>
    </row>
    <row r="2" spans="1:3" x14ac:dyDescent="0.25">
      <c r="A2" s="1">
        <v>37956</v>
      </c>
      <c r="B2">
        <v>100</v>
      </c>
      <c r="C2" s="2">
        <f t="shared" ref="C2:C65" si="0">1-(B$2/B2)</f>
        <v>0</v>
      </c>
    </row>
    <row r="3" spans="1:3" x14ac:dyDescent="0.25">
      <c r="A3" s="1">
        <v>37987</v>
      </c>
      <c r="B3">
        <v>103.9</v>
      </c>
      <c r="C3" s="2">
        <f t="shared" si="0"/>
        <v>3.7536092396535214E-2</v>
      </c>
    </row>
    <row r="4" spans="1:3" x14ac:dyDescent="0.25">
      <c r="A4" s="1">
        <v>38018</v>
      </c>
      <c r="B4">
        <v>104.8</v>
      </c>
      <c r="C4" s="2">
        <f t="shared" si="0"/>
        <v>4.5801526717557217E-2</v>
      </c>
    </row>
    <row r="5" spans="1:3" x14ac:dyDescent="0.25">
      <c r="A5" s="1">
        <v>38047</v>
      </c>
      <c r="B5">
        <v>102.4</v>
      </c>
      <c r="C5" s="2">
        <f t="shared" si="0"/>
        <v>2.34375E-2</v>
      </c>
    </row>
    <row r="6" spans="1:3" x14ac:dyDescent="0.25">
      <c r="A6" s="1">
        <v>38078</v>
      </c>
      <c r="B6">
        <v>103.1</v>
      </c>
      <c r="C6" s="2">
        <f t="shared" si="0"/>
        <v>3.0067895247332665E-2</v>
      </c>
    </row>
    <row r="7" spans="1:3" x14ac:dyDescent="0.25">
      <c r="A7" s="1">
        <v>38108</v>
      </c>
      <c r="B7">
        <v>104.6</v>
      </c>
      <c r="C7" s="2">
        <f t="shared" si="0"/>
        <v>4.3977055449330726E-2</v>
      </c>
    </row>
    <row r="8" spans="1:3" x14ac:dyDescent="0.25">
      <c r="A8" s="1">
        <v>38139</v>
      </c>
      <c r="B8">
        <v>108.7</v>
      </c>
      <c r="C8" s="2">
        <f t="shared" si="0"/>
        <v>8.0036798528058894E-2</v>
      </c>
    </row>
    <row r="9" spans="1:3" x14ac:dyDescent="0.25">
      <c r="A9" s="1">
        <v>38169</v>
      </c>
      <c r="B9">
        <v>108.2</v>
      </c>
      <c r="C9" s="2">
        <f t="shared" si="0"/>
        <v>7.578558225508325E-2</v>
      </c>
    </row>
    <row r="10" spans="1:3" x14ac:dyDescent="0.25">
      <c r="A10" s="1">
        <v>38200</v>
      </c>
      <c r="B10">
        <v>107.9</v>
      </c>
      <c r="C10" s="2">
        <f t="shared" si="0"/>
        <v>7.3215940685820269E-2</v>
      </c>
    </row>
    <row r="11" spans="1:3" x14ac:dyDescent="0.25">
      <c r="A11" s="1">
        <v>38231</v>
      </c>
      <c r="B11">
        <v>104.4</v>
      </c>
      <c r="C11" s="2">
        <f t="shared" si="0"/>
        <v>4.2145593869731823E-2</v>
      </c>
    </row>
    <row r="12" spans="1:3" x14ac:dyDescent="0.25">
      <c r="A12" s="1">
        <v>38261</v>
      </c>
      <c r="B12">
        <v>106.5</v>
      </c>
      <c r="C12" s="2">
        <f t="shared" si="0"/>
        <v>6.1032863849765251E-2</v>
      </c>
    </row>
    <row r="13" spans="1:3" x14ac:dyDescent="0.25">
      <c r="A13" s="1">
        <v>38292</v>
      </c>
      <c r="B13">
        <v>116.5</v>
      </c>
      <c r="C13" s="2">
        <f t="shared" si="0"/>
        <v>0.14163090128755362</v>
      </c>
    </row>
    <row r="14" spans="1:3" x14ac:dyDescent="0.25">
      <c r="A14" s="1">
        <v>38322</v>
      </c>
      <c r="B14">
        <v>116.1</v>
      </c>
      <c r="C14" s="2">
        <f t="shared" si="0"/>
        <v>0.1386735572782084</v>
      </c>
    </row>
    <row r="15" spans="1:3" x14ac:dyDescent="0.25">
      <c r="A15" s="1">
        <v>38353</v>
      </c>
      <c r="B15">
        <v>114.2</v>
      </c>
      <c r="C15" s="2">
        <f t="shared" si="0"/>
        <v>0.12434325744308239</v>
      </c>
    </row>
    <row r="16" spans="1:3" x14ac:dyDescent="0.25">
      <c r="A16" s="1">
        <v>38384</v>
      </c>
      <c r="B16">
        <v>113</v>
      </c>
      <c r="C16" s="2">
        <f t="shared" si="0"/>
        <v>0.11504424778761058</v>
      </c>
    </row>
    <row r="17" spans="1:3" x14ac:dyDescent="0.25">
      <c r="A17" s="1">
        <v>38412</v>
      </c>
      <c r="B17">
        <v>112.8</v>
      </c>
      <c r="C17" s="2">
        <f t="shared" si="0"/>
        <v>0.11347517730496448</v>
      </c>
    </row>
    <row r="18" spans="1:3" x14ac:dyDescent="0.25">
      <c r="A18" s="1">
        <v>38443</v>
      </c>
      <c r="B18">
        <v>118.5</v>
      </c>
      <c r="C18" s="2">
        <f t="shared" si="0"/>
        <v>0.15611814345991559</v>
      </c>
    </row>
    <row r="19" spans="1:3" x14ac:dyDescent="0.25">
      <c r="A19" s="1">
        <v>38473</v>
      </c>
      <c r="B19">
        <v>117.4</v>
      </c>
      <c r="C19" s="2">
        <f t="shared" si="0"/>
        <v>0.14821124361158433</v>
      </c>
    </row>
    <row r="20" spans="1:3" x14ac:dyDescent="0.25">
      <c r="A20" s="1">
        <v>38504</v>
      </c>
      <c r="B20">
        <v>114.9</v>
      </c>
      <c r="C20" s="2">
        <f t="shared" si="0"/>
        <v>0.1296779808529156</v>
      </c>
    </row>
    <row r="21" spans="1:3" x14ac:dyDescent="0.25">
      <c r="A21" s="1">
        <v>38534</v>
      </c>
      <c r="B21">
        <v>119.2</v>
      </c>
      <c r="C21" s="2">
        <f t="shared" si="0"/>
        <v>0.16107382550335569</v>
      </c>
    </row>
    <row r="22" spans="1:3" x14ac:dyDescent="0.25">
      <c r="A22" s="1">
        <v>38565</v>
      </c>
      <c r="B22">
        <v>121.5</v>
      </c>
      <c r="C22" s="2">
        <f t="shared" si="0"/>
        <v>0.17695473251028804</v>
      </c>
    </row>
    <row r="23" spans="1:3" x14ac:dyDescent="0.25">
      <c r="A23" s="1">
        <v>38596</v>
      </c>
      <c r="B23">
        <v>135.1</v>
      </c>
      <c r="C23" s="2">
        <f t="shared" si="0"/>
        <v>0.25980754996299038</v>
      </c>
    </row>
    <row r="24" spans="1:3" x14ac:dyDescent="0.25">
      <c r="A24" s="1">
        <v>38626</v>
      </c>
      <c r="B24">
        <v>151.69999999999999</v>
      </c>
      <c r="C24" s="2">
        <f t="shared" si="0"/>
        <v>0.34080421885299927</v>
      </c>
    </row>
    <row r="25" spans="1:3" x14ac:dyDescent="0.25">
      <c r="A25" s="1">
        <v>38657</v>
      </c>
      <c r="B25">
        <v>153.6</v>
      </c>
      <c r="C25" s="2">
        <f t="shared" si="0"/>
        <v>0.34895833333333326</v>
      </c>
    </row>
    <row r="26" spans="1:3" x14ac:dyDescent="0.25">
      <c r="A26" s="1">
        <v>38687</v>
      </c>
      <c r="B26">
        <v>146.80000000000001</v>
      </c>
      <c r="C26" s="2">
        <f t="shared" si="0"/>
        <v>0.31880108991825618</v>
      </c>
    </row>
    <row r="27" spans="1:3" x14ac:dyDescent="0.25">
      <c r="A27" s="1">
        <v>38718</v>
      </c>
      <c r="B27">
        <v>150.9</v>
      </c>
      <c r="C27" s="2">
        <f t="shared" si="0"/>
        <v>0.33730947647448639</v>
      </c>
    </row>
    <row r="28" spans="1:3" x14ac:dyDescent="0.25">
      <c r="A28" s="1">
        <v>38749</v>
      </c>
      <c r="B28">
        <v>140.4</v>
      </c>
      <c r="C28" s="2">
        <f t="shared" si="0"/>
        <v>0.28774928774928776</v>
      </c>
    </row>
    <row r="29" spans="1:3" x14ac:dyDescent="0.25">
      <c r="A29" s="1">
        <v>38777</v>
      </c>
      <c r="B29">
        <v>133.5</v>
      </c>
      <c r="C29" s="2">
        <f t="shared" si="0"/>
        <v>0.25093632958801493</v>
      </c>
    </row>
    <row r="30" spans="1:3" x14ac:dyDescent="0.25">
      <c r="A30" s="1">
        <v>38808</v>
      </c>
      <c r="B30">
        <v>129.6</v>
      </c>
      <c r="C30" s="2">
        <f t="shared" si="0"/>
        <v>0.22839506172839508</v>
      </c>
    </row>
    <row r="31" spans="1:3" x14ac:dyDescent="0.25">
      <c r="A31" s="1">
        <v>38838</v>
      </c>
      <c r="B31">
        <v>127.7</v>
      </c>
      <c r="C31" s="2">
        <f t="shared" si="0"/>
        <v>0.21691464369616287</v>
      </c>
    </row>
    <row r="32" spans="1:3" x14ac:dyDescent="0.25">
      <c r="A32" s="1">
        <v>38869</v>
      </c>
      <c r="B32">
        <v>122</v>
      </c>
      <c r="C32" s="2">
        <f t="shared" si="0"/>
        <v>0.18032786885245899</v>
      </c>
    </row>
    <row r="33" spans="1:3" x14ac:dyDescent="0.25">
      <c r="A33" s="1">
        <v>38899</v>
      </c>
      <c r="B33">
        <v>122.4</v>
      </c>
      <c r="C33" s="2">
        <f t="shared" si="0"/>
        <v>0.18300653594771243</v>
      </c>
    </row>
    <row r="34" spans="1:3" x14ac:dyDescent="0.25">
      <c r="A34" s="1">
        <v>38930</v>
      </c>
      <c r="B34">
        <v>125.2</v>
      </c>
      <c r="C34" s="2">
        <f t="shared" si="0"/>
        <v>0.20127795527156556</v>
      </c>
    </row>
    <row r="35" spans="1:3" x14ac:dyDescent="0.25">
      <c r="A35" s="1">
        <v>38961</v>
      </c>
      <c r="B35">
        <v>125.5</v>
      </c>
      <c r="C35" s="2">
        <f t="shared" si="0"/>
        <v>0.20318725099601598</v>
      </c>
    </row>
    <row r="36" spans="1:3" x14ac:dyDescent="0.25">
      <c r="A36" s="1">
        <v>38991</v>
      </c>
      <c r="B36">
        <v>115.3</v>
      </c>
      <c r="C36" s="2">
        <f t="shared" si="0"/>
        <v>0.13269731136166518</v>
      </c>
    </row>
    <row r="37" spans="1:3" x14ac:dyDescent="0.25">
      <c r="A37" s="1">
        <v>39022</v>
      </c>
      <c r="B37">
        <v>127.9</v>
      </c>
      <c r="C37" s="2">
        <f t="shared" si="0"/>
        <v>0.21813917122752158</v>
      </c>
    </row>
    <row r="38" spans="1:3" x14ac:dyDescent="0.25">
      <c r="A38" s="1">
        <v>39052</v>
      </c>
      <c r="B38">
        <v>131.30000000000001</v>
      </c>
      <c r="C38" s="2">
        <f t="shared" si="0"/>
        <v>0.23838537699923845</v>
      </c>
    </row>
    <row r="39" spans="1:3" x14ac:dyDescent="0.25">
      <c r="A39" s="1">
        <v>39083</v>
      </c>
      <c r="B39">
        <v>127.7</v>
      </c>
      <c r="C39" s="2">
        <f t="shared" si="0"/>
        <v>0.21691464369616287</v>
      </c>
    </row>
    <row r="40" spans="1:3" x14ac:dyDescent="0.25">
      <c r="A40" s="1">
        <v>39114</v>
      </c>
      <c r="B40">
        <v>128.1</v>
      </c>
      <c r="C40" s="2">
        <f t="shared" si="0"/>
        <v>0.21935987509757993</v>
      </c>
    </row>
    <row r="41" spans="1:3" x14ac:dyDescent="0.25">
      <c r="A41" s="1">
        <v>39142</v>
      </c>
      <c r="B41">
        <v>131.19999999999999</v>
      </c>
      <c r="C41" s="2">
        <f t="shared" si="0"/>
        <v>0.23780487804878048</v>
      </c>
    </row>
    <row r="42" spans="1:3" x14ac:dyDescent="0.25">
      <c r="A42" s="1">
        <v>39173</v>
      </c>
      <c r="B42">
        <v>130.1</v>
      </c>
      <c r="C42" s="2">
        <f t="shared" si="0"/>
        <v>0.23136049192928509</v>
      </c>
    </row>
    <row r="43" spans="1:3" x14ac:dyDescent="0.25">
      <c r="A43" s="1">
        <v>39203</v>
      </c>
      <c r="B43">
        <v>130.1</v>
      </c>
      <c r="C43" s="2">
        <f t="shared" si="0"/>
        <v>0.23136049192928509</v>
      </c>
    </row>
    <row r="44" spans="1:3" x14ac:dyDescent="0.25">
      <c r="A44" s="1">
        <v>39234</v>
      </c>
      <c r="B44">
        <v>133</v>
      </c>
      <c r="C44" s="2">
        <f t="shared" si="0"/>
        <v>0.24812030075187974</v>
      </c>
    </row>
    <row r="45" spans="1:3" x14ac:dyDescent="0.25">
      <c r="A45" s="1">
        <v>39264</v>
      </c>
      <c r="B45">
        <v>133.19999999999999</v>
      </c>
      <c r="C45" s="2">
        <f t="shared" si="0"/>
        <v>0.24924924924924918</v>
      </c>
    </row>
    <row r="46" spans="1:3" x14ac:dyDescent="0.25">
      <c r="A46" s="1">
        <v>39295</v>
      </c>
      <c r="B46">
        <v>125.9</v>
      </c>
      <c r="C46" s="2">
        <f t="shared" si="0"/>
        <v>0.20571882446386025</v>
      </c>
    </row>
    <row r="47" spans="1:3" x14ac:dyDescent="0.25">
      <c r="A47" s="1">
        <v>39326</v>
      </c>
      <c r="B47">
        <v>125.8</v>
      </c>
      <c r="C47" s="2">
        <f t="shared" si="0"/>
        <v>0.20508744038155802</v>
      </c>
    </row>
    <row r="48" spans="1:3" x14ac:dyDescent="0.25">
      <c r="A48" s="1">
        <v>39356</v>
      </c>
      <c r="B48">
        <v>124.8</v>
      </c>
      <c r="C48" s="2">
        <f t="shared" si="0"/>
        <v>0.19871794871794868</v>
      </c>
    </row>
    <row r="49" spans="1:3" x14ac:dyDescent="0.25">
      <c r="A49" s="1">
        <v>39387</v>
      </c>
      <c r="B49">
        <v>128.5</v>
      </c>
      <c r="C49" s="2">
        <f t="shared" si="0"/>
        <v>0.22178988326848248</v>
      </c>
    </row>
    <row r="50" spans="1:3" x14ac:dyDescent="0.25">
      <c r="A50" s="1">
        <v>39417</v>
      </c>
      <c r="B50">
        <v>129.4</v>
      </c>
      <c r="C50" s="2">
        <f t="shared" si="0"/>
        <v>0.22720247295208662</v>
      </c>
    </row>
    <row r="51" spans="1:3" x14ac:dyDescent="0.25">
      <c r="A51" s="1">
        <v>39448</v>
      </c>
      <c r="B51">
        <v>128.80000000000001</v>
      </c>
      <c r="C51" s="2">
        <f t="shared" si="0"/>
        <v>0.22360248447204978</v>
      </c>
    </row>
    <row r="52" spans="1:3" x14ac:dyDescent="0.25">
      <c r="A52" s="1">
        <v>39479</v>
      </c>
      <c r="B52">
        <v>132.19999999999999</v>
      </c>
      <c r="C52" s="2">
        <f t="shared" si="0"/>
        <v>0.24357034795763988</v>
      </c>
    </row>
    <row r="53" spans="1:3" x14ac:dyDescent="0.25">
      <c r="A53" s="1">
        <v>39508</v>
      </c>
      <c r="B53">
        <v>137.1</v>
      </c>
      <c r="C53" s="2">
        <f t="shared" si="0"/>
        <v>0.2706053975200583</v>
      </c>
    </row>
    <row r="54" spans="1:3" x14ac:dyDescent="0.25">
      <c r="A54" s="1">
        <v>39539</v>
      </c>
      <c r="B54">
        <v>141.6</v>
      </c>
      <c r="C54" s="2">
        <f t="shared" si="0"/>
        <v>0.29378531073446323</v>
      </c>
    </row>
    <row r="55" spans="1:3" x14ac:dyDescent="0.25">
      <c r="A55" s="1">
        <v>39569</v>
      </c>
      <c r="B55">
        <v>148.80000000000001</v>
      </c>
      <c r="C55" s="2">
        <f t="shared" si="0"/>
        <v>0.32795698924731187</v>
      </c>
    </row>
    <row r="56" spans="1:3" x14ac:dyDescent="0.25">
      <c r="A56" s="1">
        <v>39600</v>
      </c>
      <c r="B56">
        <v>154.30000000000001</v>
      </c>
      <c r="C56" s="2">
        <f t="shared" si="0"/>
        <v>0.35191186001296182</v>
      </c>
    </row>
    <row r="57" spans="1:3" x14ac:dyDescent="0.25">
      <c r="A57" s="1">
        <v>39630</v>
      </c>
      <c r="B57">
        <v>165.7</v>
      </c>
      <c r="C57" s="2">
        <f t="shared" si="0"/>
        <v>0.3964996982498491</v>
      </c>
    </row>
    <row r="58" spans="1:3" x14ac:dyDescent="0.25">
      <c r="A58" s="1">
        <v>39661</v>
      </c>
      <c r="B58">
        <v>154.1</v>
      </c>
      <c r="C58" s="2">
        <f t="shared" si="0"/>
        <v>0.35107073329007132</v>
      </c>
    </row>
    <row r="59" spans="1:3" x14ac:dyDescent="0.25">
      <c r="A59" s="1">
        <v>39692</v>
      </c>
      <c r="B59">
        <v>145.5</v>
      </c>
      <c r="C59" s="2">
        <f t="shared" si="0"/>
        <v>0.3127147766323024</v>
      </c>
    </row>
    <row r="60" spans="1:3" x14ac:dyDescent="0.25">
      <c r="A60" s="1">
        <v>39722</v>
      </c>
      <c r="B60">
        <v>136.19999999999999</v>
      </c>
      <c r="C60" s="2">
        <f t="shared" si="0"/>
        <v>0.26578560939794416</v>
      </c>
    </row>
    <row r="61" spans="1:3" x14ac:dyDescent="0.25">
      <c r="A61" s="1">
        <v>39753</v>
      </c>
      <c r="B61">
        <v>135.6</v>
      </c>
      <c r="C61" s="2">
        <f t="shared" si="0"/>
        <v>0.26253687315634211</v>
      </c>
    </row>
    <row r="62" spans="1:3" x14ac:dyDescent="0.25">
      <c r="A62" s="1">
        <v>39783</v>
      </c>
      <c r="B62">
        <v>135.5</v>
      </c>
      <c r="C62" s="2">
        <f t="shared" si="0"/>
        <v>0.26199261992619927</v>
      </c>
    </row>
    <row r="63" spans="1:3" x14ac:dyDescent="0.25">
      <c r="A63" s="1">
        <v>39814</v>
      </c>
      <c r="B63">
        <v>134.5</v>
      </c>
      <c r="C63" s="2">
        <f t="shared" si="0"/>
        <v>0.25650557620817849</v>
      </c>
    </row>
    <row r="64" spans="1:3" x14ac:dyDescent="0.25">
      <c r="A64" s="1">
        <v>39845</v>
      </c>
      <c r="B64">
        <v>128.5</v>
      </c>
      <c r="C64" s="2">
        <f t="shared" si="0"/>
        <v>0.22178988326848248</v>
      </c>
    </row>
    <row r="65" spans="1:3" x14ac:dyDescent="0.25">
      <c r="A65" s="1">
        <v>39873</v>
      </c>
      <c r="B65">
        <v>123.7</v>
      </c>
      <c r="C65" s="2">
        <f t="shared" si="0"/>
        <v>0.19159256265157643</v>
      </c>
    </row>
    <row r="66" spans="1:3" x14ac:dyDescent="0.25">
      <c r="A66" s="1">
        <v>39904</v>
      </c>
      <c r="B66">
        <v>117.9</v>
      </c>
      <c r="C66" s="2">
        <f t="shared" ref="C66:C129" si="1">1-(B$2/B66)</f>
        <v>0.15182357930449542</v>
      </c>
    </row>
    <row r="67" spans="1:3" x14ac:dyDescent="0.25">
      <c r="A67" s="1">
        <v>39934</v>
      </c>
      <c r="B67">
        <v>112.4</v>
      </c>
      <c r="C67" s="2">
        <f t="shared" si="1"/>
        <v>0.11032028469750899</v>
      </c>
    </row>
    <row r="68" spans="1:3" x14ac:dyDescent="0.25">
      <c r="A68" s="1">
        <v>39965</v>
      </c>
      <c r="B68">
        <v>111</v>
      </c>
      <c r="C68" s="2">
        <f t="shared" si="1"/>
        <v>9.9099099099099086E-2</v>
      </c>
    </row>
    <row r="69" spans="1:3" x14ac:dyDescent="0.25">
      <c r="A69" s="1">
        <v>39995</v>
      </c>
      <c r="B69">
        <v>113.5</v>
      </c>
      <c r="C69" s="2">
        <f t="shared" si="1"/>
        <v>0.11894273127753308</v>
      </c>
    </row>
    <row r="70" spans="1:3" x14ac:dyDescent="0.25">
      <c r="A70" s="1">
        <v>40026</v>
      </c>
      <c r="B70">
        <v>113.8</v>
      </c>
      <c r="C70" s="2">
        <f t="shared" si="1"/>
        <v>0.12126537785588754</v>
      </c>
    </row>
    <row r="71" spans="1:3" x14ac:dyDescent="0.25">
      <c r="A71" s="1">
        <v>40057</v>
      </c>
      <c r="B71">
        <v>111.9</v>
      </c>
      <c r="C71" s="2">
        <f t="shared" si="1"/>
        <v>0.10634495084897233</v>
      </c>
    </row>
    <row r="72" spans="1:3" x14ac:dyDescent="0.25">
      <c r="A72" s="1">
        <v>40087</v>
      </c>
      <c r="B72">
        <v>113.5</v>
      </c>
      <c r="C72" s="2">
        <f t="shared" si="1"/>
        <v>0.11894273127753308</v>
      </c>
    </row>
    <row r="73" spans="1:3" x14ac:dyDescent="0.25">
      <c r="A73" s="1">
        <v>40118</v>
      </c>
      <c r="B73">
        <v>117.4</v>
      </c>
      <c r="C73" s="2">
        <f t="shared" si="1"/>
        <v>0.14821124361158433</v>
      </c>
    </row>
    <row r="74" spans="1:3" x14ac:dyDescent="0.25">
      <c r="A74" s="1">
        <v>40148</v>
      </c>
      <c r="B74">
        <v>117</v>
      </c>
      <c r="C74" s="2">
        <f t="shared" si="1"/>
        <v>0.14529914529914534</v>
      </c>
    </row>
    <row r="75" spans="1:3" x14ac:dyDescent="0.25">
      <c r="A75" s="1">
        <v>40179</v>
      </c>
      <c r="B75">
        <v>123</v>
      </c>
      <c r="C75" s="2">
        <f t="shared" si="1"/>
        <v>0.18699186991869921</v>
      </c>
    </row>
    <row r="76" spans="1:3" x14ac:dyDescent="0.25">
      <c r="A76" s="1">
        <v>40210</v>
      </c>
      <c r="B76">
        <v>123</v>
      </c>
      <c r="C76" s="2">
        <f t="shared" si="1"/>
        <v>0.18699186991869921</v>
      </c>
    </row>
    <row r="77" spans="1:3" x14ac:dyDescent="0.25">
      <c r="A77" s="1">
        <v>40238</v>
      </c>
      <c r="B77">
        <v>120.5</v>
      </c>
      <c r="C77" s="2">
        <f t="shared" si="1"/>
        <v>0.17012448132780078</v>
      </c>
    </row>
    <row r="78" spans="1:3" x14ac:dyDescent="0.25">
      <c r="A78" s="1">
        <v>40269</v>
      </c>
      <c r="B78">
        <v>117.1</v>
      </c>
      <c r="C78" s="2">
        <f t="shared" si="1"/>
        <v>0.1460290350128095</v>
      </c>
    </row>
    <row r="79" spans="1:3" x14ac:dyDescent="0.25">
      <c r="A79" s="1">
        <v>40299</v>
      </c>
      <c r="B79">
        <v>116.3</v>
      </c>
      <c r="C79" s="2">
        <f t="shared" si="1"/>
        <v>0.14015477214101457</v>
      </c>
    </row>
    <row r="80" spans="1:3" x14ac:dyDescent="0.25">
      <c r="A80" s="1">
        <v>40330</v>
      </c>
      <c r="B80">
        <v>117.6</v>
      </c>
      <c r="C80" s="2">
        <f t="shared" si="1"/>
        <v>0.14965986394557818</v>
      </c>
    </row>
    <row r="81" spans="1:3" x14ac:dyDescent="0.25">
      <c r="A81" s="1">
        <v>40360</v>
      </c>
      <c r="B81">
        <v>121.7</v>
      </c>
      <c r="C81" s="2">
        <f t="shared" si="1"/>
        <v>0.17830731306491376</v>
      </c>
    </row>
    <row r="82" spans="1:3" x14ac:dyDescent="0.25">
      <c r="A82" s="1">
        <v>40391</v>
      </c>
      <c r="B82">
        <v>122.1</v>
      </c>
      <c r="C82" s="2">
        <f t="shared" si="1"/>
        <v>0.180999180999181</v>
      </c>
    </row>
    <row r="83" spans="1:3" x14ac:dyDescent="0.25">
      <c r="A83" s="1">
        <v>40422</v>
      </c>
      <c r="B83">
        <v>118.1</v>
      </c>
      <c r="C83" s="2">
        <f t="shared" si="1"/>
        <v>0.15325994919559693</v>
      </c>
    </row>
    <row r="84" spans="1:3" x14ac:dyDescent="0.25">
      <c r="A84" s="1">
        <v>40452</v>
      </c>
      <c r="B84">
        <v>116.5</v>
      </c>
      <c r="C84" s="2">
        <f t="shared" si="1"/>
        <v>0.14163090128755362</v>
      </c>
    </row>
    <row r="85" spans="1:3" x14ac:dyDescent="0.25">
      <c r="A85" s="1">
        <v>40483</v>
      </c>
      <c r="B85">
        <v>116.4</v>
      </c>
      <c r="C85" s="2">
        <f t="shared" si="1"/>
        <v>0.14089347079037806</v>
      </c>
    </row>
    <row r="86" spans="1:3" x14ac:dyDescent="0.25">
      <c r="A86" s="1">
        <v>40513</v>
      </c>
      <c r="B86">
        <v>118.4</v>
      </c>
      <c r="C86" s="2">
        <f t="shared" si="1"/>
        <v>0.15540540540540548</v>
      </c>
    </row>
    <row r="87" spans="1:3" x14ac:dyDescent="0.25">
      <c r="A87" s="1">
        <v>40544</v>
      </c>
      <c r="B87">
        <v>118.9</v>
      </c>
      <c r="C87" s="2">
        <f t="shared" si="1"/>
        <v>0.15895710681244746</v>
      </c>
    </row>
    <row r="88" spans="1:3" x14ac:dyDescent="0.25">
      <c r="A88" s="1">
        <v>40575</v>
      </c>
      <c r="B88">
        <v>119.4</v>
      </c>
      <c r="C88" s="2">
        <f t="shared" si="1"/>
        <v>0.16247906197654949</v>
      </c>
    </row>
    <row r="89" spans="1:3" x14ac:dyDescent="0.25">
      <c r="A89" s="1">
        <v>40603</v>
      </c>
      <c r="B89">
        <v>117.5</v>
      </c>
      <c r="C89" s="2">
        <f t="shared" si="1"/>
        <v>0.14893617021276595</v>
      </c>
    </row>
    <row r="90" spans="1:3" x14ac:dyDescent="0.25">
      <c r="A90" s="1">
        <v>40634</v>
      </c>
      <c r="B90">
        <v>117.6</v>
      </c>
      <c r="C90" s="2">
        <f t="shared" si="1"/>
        <v>0.14965986394557818</v>
      </c>
    </row>
    <row r="91" spans="1:3" x14ac:dyDescent="0.25">
      <c r="A91" s="1">
        <v>40664</v>
      </c>
      <c r="B91">
        <v>115.9</v>
      </c>
      <c r="C91" s="2">
        <f t="shared" si="1"/>
        <v>0.13718723037100955</v>
      </c>
    </row>
    <row r="92" spans="1:3" x14ac:dyDescent="0.25">
      <c r="A92" s="1">
        <v>40695</v>
      </c>
      <c r="B92">
        <v>118.4</v>
      </c>
      <c r="C92" s="2">
        <f t="shared" si="1"/>
        <v>0.15540540540540548</v>
      </c>
    </row>
    <row r="93" spans="1:3" x14ac:dyDescent="0.25">
      <c r="A93" s="1">
        <v>40725</v>
      </c>
      <c r="B93">
        <v>118.1</v>
      </c>
      <c r="C93" s="2">
        <f t="shared" si="1"/>
        <v>0.15325994919559693</v>
      </c>
    </row>
    <row r="94" spans="1:3" x14ac:dyDescent="0.25">
      <c r="A94" s="1">
        <v>40756</v>
      </c>
      <c r="B94">
        <v>117.2</v>
      </c>
      <c r="C94" s="2">
        <f t="shared" si="1"/>
        <v>0.14675767918088745</v>
      </c>
    </row>
    <row r="95" spans="1:3" x14ac:dyDescent="0.25">
      <c r="A95" s="1">
        <v>40787</v>
      </c>
      <c r="B95">
        <v>116.3</v>
      </c>
      <c r="C95" s="2">
        <f t="shared" si="1"/>
        <v>0.14015477214101457</v>
      </c>
    </row>
    <row r="96" spans="1:3" x14ac:dyDescent="0.25">
      <c r="A96" s="1">
        <v>40817</v>
      </c>
      <c r="B96">
        <v>114.2</v>
      </c>
      <c r="C96" s="2">
        <f t="shared" si="1"/>
        <v>0.12434325744308239</v>
      </c>
    </row>
    <row r="97" spans="1:3" x14ac:dyDescent="0.25">
      <c r="A97" s="1">
        <v>40848</v>
      </c>
      <c r="B97">
        <v>114.9</v>
      </c>
      <c r="C97" s="2">
        <f t="shared" si="1"/>
        <v>0.1296779808529156</v>
      </c>
    </row>
    <row r="98" spans="1:3" x14ac:dyDescent="0.25">
      <c r="A98" s="1">
        <v>40878</v>
      </c>
      <c r="B98">
        <v>114.1</v>
      </c>
      <c r="C98" s="2">
        <f t="shared" si="1"/>
        <v>0.12357581069237511</v>
      </c>
    </row>
    <row r="99" spans="1:3" x14ac:dyDescent="0.25">
      <c r="A99" s="1">
        <v>40909</v>
      </c>
      <c r="B99">
        <v>112.6</v>
      </c>
      <c r="C99" s="2">
        <f t="shared" si="1"/>
        <v>0.11190053285968027</v>
      </c>
    </row>
    <row r="100" spans="1:3" x14ac:dyDescent="0.25">
      <c r="A100" s="1">
        <v>40940</v>
      </c>
      <c r="B100">
        <v>110</v>
      </c>
      <c r="C100" s="2">
        <f t="shared" si="1"/>
        <v>9.0909090909090939E-2</v>
      </c>
    </row>
    <row r="101" spans="1:3" x14ac:dyDescent="0.25">
      <c r="A101" s="1">
        <v>40969</v>
      </c>
      <c r="B101">
        <v>109.4</v>
      </c>
      <c r="C101" s="2">
        <f t="shared" si="1"/>
        <v>8.5923217550274322E-2</v>
      </c>
    </row>
    <row r="102" spans="1:3" x14ac:dyDescent="0.25">
      <c r="A102" s="1">
        <v>41000</v>
      </c>
      <c r="B102">
        <v>105.1</v>
      </c>
      <c r="C102" s="2">
        <f t="shared" si="1"/>
        <v>4.8525214081826751E-2</v>
      </c>
    </row>
    <row r="103" spans="1:3" x14ac:dyDescent="0.25">
      <c r="A103" s="1">
        <v>41030</v>
      </c>
      <c r="B103">
        <v>101.3</v>
      </c>
      <c r="C103" s="2">
        <f t="shared" si="1"/>
        <v>1.2833168805528095E-2</v>
      </c>
    </row>
    <row r="104" spans="1:3" x14ac:dyDescent="0.25">
      <c r="A104" s="1">
        <v>41061</v>
      </c>
      <c r="B104">
        <v>104.3</v>
      </c>
      <c r="C104" s="2">
        <f t="shared" si="1"/>
        <v>4.122722914669219E-2</v>
      </c>
    </row>
    <row r="105" spans="1:3" x14ac:dyDescent="0.25">
      <c r="A105" s="1">
        <v>41091</v>
      </c>
      <c r="B105">
        <v>106.1</v>
      </c>
      <c r="C105" s="2">
        <f t="shared" si="1"/>
        <v>5.7492931196983954E-2</v>
      </c>
    </row>
    <row r="106" spans="1:3" x14ac:dyDescent="0.25">
      <c r="A106" s="1">
        <v>41122</v>
      </c>
      <c r="B106">
        <v>107.1</v>
      </c>
      <c r="C106" s="2">
        <f t="shared" si="1"/>
        <v>6.629318394024275E-2</v>
      </c>
    </row>
    <row r="107" spans="1:3" x14ac:dyDescent="0.25">
      <c r="A107" s="1">
        <v>41153</v>
      </c>
      <c r="B107">
        <v>105.4</v>
      </c>
      <c r="C107" s="2">
        <f t="shared" si="1"/>
        <v>5.1233396584440261E-2</v>
      </c>
    </row>
    <row r="108" spans="1:3" x14ac:dyDescent="0.25">
      <c r="A108" s="1">
        <v>41183</v>
      </c>
      <c r="B108">
        <v>106.8</v>
      </c>
      <c r="C108" s="2">
        <f t="shared" si="1"/>
        <v>6.367041198501866E-2</v>
      </c>
    </row>
    <row r="109" spans="1:3" x14ac:dyDescent="0.25">
      <c r="A109" s="1">
        <v>41214</v>
      </c>
      <c r="B109">
        <v>111.4</v>
      </c>
      <c r="C109" s="2">
        <f t="shared" si="1"/>
        <v>0.10233393177737882</v>
      </c>
    </row>
    <row r="110" spans="1:3" x14ac:dyDescent="0.25">
      <c r="A110" s="1">
        <v>41244</v>
      </c>
      <c r="B110">
        <v>112.8</v>
      </c>
      <c r="C110" s="2">
        <f t="shared" si="1"/>
        <v>0.11347517730496448</v>
      </c>
    </row>
    <row r="111" spans="1:3" x14ac:dyDescent="0.25">
      <c r="A111" s="1">
        <v>41275</v>
      </c>
      <c r="B111">
        <v>112.3</v>
      </c>
      <c r="C111" s="2">
        <f t="shared" si="1"/>
        <v>0.10952804986642917</v>
      </c>
    </row>
    <row r="112" spans="1:3" x14ac:dyDescent="0.25">
      <c r="A112" s="1">
        <v>41306</v>
      </c>
      <c r="B112">
        <v>112.6</v>
      </c>
      <c r="C112" s="2">
        <f t="shared" si="1"/>
        <v>0.11190053285968027</v>
      </c>
    </row>
    <row r="113" spans="1:3" x14ac:dyDescent="0.25">
      <c r="A113" s="1">
        <v>41334</v>
      </c>
      <c r="B113">
        <v>111.8</v>
      </c>
      <c r="C113" s="2">
        <f t="shared" si="1"/>
        <v>0.10554561717352418</v>
      </c>
    </row>
    <row r="114" spans="1:3" x14ac:dyDescent="0.25">
      <c r="A114" s="1">
        <v>41365</v>
      </c>
      <c r="B114">
        <v>115.8</v>
      </c>
      <c r="C114" s="2">
        <f t="shared" si="1"/>
        <v>0.13644214162348878</v>
      </c>
    </row>
    <row r="115" spans="1:3" x14ac:dyDescent="0.25">
      <c r="A115" s="1">
        <v>41395</v>
      </c>
      <c r="B115">
        <v>117.3</v>
      </c>
      <c r="C115" s="2">
        <f t="shared" si="1"/>
        <v>0.14748508098891733</v>
      </c>
    </row>
    <row r="116" spans="1:3" x14ac:dyDescent="0.25">
      <c r="A116" s="1">
        <v>41426</v>
      </c>
      <c r="B116">
        <v>117.4</v>
      </c>
      <c r="C116" s="2">
        <f t="shared" si="1"/>
        <v>0.14821124361158433</v>
      </c>
    </row>
    <row r="117" spans="1:3" x14ac:dyDescent="0.25">
      <c r="A117" s="1">
        <v>41456</v>
      </c>
      <c r="B117">
        <v>115.6</v>
      </c>
      <c r="C117" s="2">
        <f t="shared" si="1"/>
        <v>0.13494809688581311</v>
      </c>
    </row>
    <row r="118" spans="1:3" x14ac:dyDescent="0.25">
      <c r="A118" s="1">
        <v>41487</v>
      </c>
      <c r="B118">
        <v>113.2</v>
      </c>
      <c r="C118" s="2">
        <f t="shared" si="1"/>
        <v>0.11660777385159016</v>
      </c>
    </row>
    <row r="119" spans="1:3" x14ac:dyDescent="0.25">
      <c r="A119" s="1">
        <v>41518</v>
      </c>
      <c r="B119">
        <v>112.8</v>
      </c>
      <c r="C119" s="2">
        <f t="shared" si="1"/>
        <v>0.11347517730496448</v>
      </c>
    </row>
    <row r="120" spans="1:3" x14ac:dyDescent="0.25">
      <c r="A120" s="1">
        <v>41548</v>
      </c>
      <c r="B120">
        <v>113.7</v>
      </c>
      <c r="C120" s="2">
        <f t="shared" si="1"/>
        <v>0.12049252418645562</v>
      </c>
    </row>
    <row r="121" spans="1:3" x14ac:dyDescent="0.25">
      <c r="A121" s="1">
        <v>41579</v>
      </c>
      <c r="B121">
        <v>116.2</v>
      </c>
      <c r="C121" s="2">
        <f t="shared" si="1"/>
        <v>0.13941480206540446</v>
      </c>
    </row>
    <row r="122" spans="1:3" x14ac:dyDescent="0.25">
      <c r="A122" s="1">
        <v>41609</v>
      </c>
      <c r="B122">
        <v>116.8</v>
      </c>
      <c r="C122" s="2">
        <f t="shared" si="1"/>
        <v>0.14383561643835618</v>
      </c>
    </row>
    <row r="123" spans="1:3" x14ac:dyDescent="0.25">
      <c r="A123" s="1">
        <v>41640</v>
      </c>
      <c r="B123">
        <v>120.4</v>
      </c>
      <c r="C123" s="2">
        <f t="shared" si="1"/>
        <v>0.16943521594684385</v>
      </c>
    </row>
    <row r="124" spans="1:3" x14ac:dyDescent="0.25">
      <c r="A124" s="1">
        <v>41671</v>
      </c>
      <c r="B124">
        <v>126.4</v>
      </c>
      <c r="C124" s="2">
        <f t="shared" si="1"/>
        <v>0.20886075949367089</v>
      </c>
    </row>
    <row r="125" spans="1:3" x14ac:dyDescent="0.25">
      <c r="A125" s="1">
        <v>41699</v>
      </c>
      <c r="B125">
        <v>133.30000000000001</v>
      </c>
      <c r="C125" s="2">
        <f t="shared" si="1"/>
        <v>0.24981245311327838</v>
      </c>
    </row>
    <row r="126" spans="1:3" x14ac:dyDescent="0.25">
      <c r="A126" s="1">
        <v>41730</v>
      </c>
      <c r="B126">
        <v>130.19999999999999</v>
      </c>
      <c r="C126" s="2">
        <f t="shared" si="1"/>
        <v>0.23195084485407058</v>
      </c>
    </row>
    <row r="127" spans="1:3" x14ac:dyDescent="0.25">
      <c r="A127" s="1">
        <v>41760</v>
      </c>
      <c r="B127">
        <v>126.2</v>
      </c>
      <c r="C127" s="2">
        <f t="shared" si="1"/>
        <v>0.20760697305863707</v>
      </c>
    </row>
    <row r="128" spans="1:3" x14ac:dyDescent="0.25">
      <c r="A128" s="1">
        <v>41791</v>
      </c>
      <c r="B128">
        <v>124.1</v>
      </c>
      <c r="C128" s="2">
        <f t="shared" si="1"/>
        <v>0.19419822723609992</v>
      </c>
    </row>
    <row r="129" spans="1:3" x14ac:dyDescent="0.25">
      <c r="A129" s="1">
        <v>41821</v>
      </c>
      <c r="B129">
        <v>123.7</v>
      </c>
      <c r="C129" s="2">
        <f t="shared" si="1"/>
        <v>0.19159256265157643</v>
      </c>
    </row>
    <row r="130" spans="1:3" x14ac:dyDescent="0.25">
      <c r="A130" s="1">
        <v>41852</v>
      </c>
      <c r="B130">
        <v>119.3</v>
      </c>
      <c r="C130" s="2">
        <f t="shared" ref="C130:C193" si="2">1-(B$2/B130)</f>
        <v>0.16177703269069565</v>
      </c>
    </row>
    <row r="131" spans="1:3" x14ac:dyDescent="0.25">
      <c r="A131" s="1">
        <v>41883</v>
      </c>
      <c r="B131">
        <v>119</v>
      </c>
      <c r="C131" s="2">
        <f t="shared" si="2"/>
        <v>0.15966386554621848</v>
      </c>
    </row>
    <row r="132" spans="1:3" x14ac:dyDescent="0.25">
      <c r="A132" s="1">
        <v>41913</v>
      </c>
      <c r="B132">
        <v>118.6</v>
      </c>
      <c r="C132" s="2">
        <f t="shared" si="2"/>
        <v>0.15682967959527816</v>
      </c>
    </row>
    <row r="133" spans="1:3" x14ac:dyDescent="0.25">
      <c r="A133" s="1">
        <v>41944</v>
      </c>
      <c r="B133">
        <v>117.6</v>
      </c>
      <c r="C133" s="2">
        <f t="shared" si="2"/>
        <v>0.14965986394557818</v>
      </c>
    </row>
    <row r="134" spans="1:3" x14ac:dyDescent="0.25">
      <c r="A134" s="1">
        <v>41974</v>
      </c>
      <c r="B134">
        <v>121.5</v>
      </c>
      <c r="C134" s="2">
        <f t="shared" si="2"/>
        <v>0.17695473251028804</v>
      </c>
    </row>
    <row r="135" spans="1:3" x14ac:dyDescent="0.25">
      <c r="A135" s="1">
        <v>42005</v>
      </c>
      <c r="B135">
        <v>117.9</v>
      </c>
      <c r="C135" s="2">
        <f t="shared" si="2"/>
        <v>0.15182357930449542</v>
      </c>
    </row>
    <row r="136" spans="1:3" x14ac:dyDescent="0.25">
      <c r="A136" s="1">
        <v>42036</v>
      </c>
      <c r="B136">
        <v>114.8</v>
      </c>
      <c r="C136" s="2">
        <f t="shared" si="2"/>
        <v>0.12891986062717764</v>
      </c>
    </row>
    <row r="137" spans="1:3" x14ac:dyDescent="0.25">
      <c r="A137" s="1">
        <v>42064</v>
      </c>
      <c r="B137">
        <v>113.6</v>
      </c>
      <c r="C137" s="2">
        <f t="shared" si="2"/>
        <v>0.11971830985915488</v>
      </c>
    </row>
    <row r="138" spans="1:3" x14ac:dyDescent="0.25">
      <c r="A138" s="1">
        <v>42095</v>
      </c>
      <c r="B138">
        <v>109.3</v>
      </c>
      <c r="C138" s="2">
        <f t="shared" si="2"/>
        <v>8.5086916742909358E-2</v>
      </c>
    </row>
    <row r="139" spans="1:3" x14ac:dyDescent="0.25">
      <c r="A139" s="1">
        <v>42125</v>
      </c>
      <c r="B139">
        <v>106.4</v>
      </c>
      <c r="C139" s="2">
        <f t="shared" si="2"/>
        <v>6.0150375939849621E-2</v>
      </c>
    </row>
    <row r="140" spans="1:3" x14ac:dyDescent="0.25">
      <c r="A140" s="1">
        <v>42156</v>
      </c>
      <c r="B140">
        <v>109</v>
      </c>
      <c r="C140" s="2">
        <f t="shared" si="2"/>
        <v>8.256880733944949E-2</v>
      </c>
    </row>
    <row r="141" spans="1:3" x14ac:dyDescent="0.25">
      <c r="A141" s="1">
        <v>42186</v>
      </c>
      <c r="B141">
        <v>108.7</v>
      </c>
      <c r="C141" s="2">
        <f t="shared" si="2"/>
        <v>8.0036798528058894E-2</v>
      </c>
    </row>
    <row r="142" spans="1:3" x14ac:dyDescent="0.25">
      <c r="A142" s="1">
        <v>42217</v>
      </c>
      <c r="B142">
        <v>109.1</v>
      </c>
      <c r="C142" s="2">
        <f t="shared" si="2"/>
        <v>8.3409715857011846E-2</v>
      </c>
    </row>
    <row r="143" spans="1:3" x14ac:dyDescent="0.25">
      <c r="A143" s="1">
        <v>42248</v>
      </c>
      <c r="B143">
        <v>107.5</v>
      </c>
      <c r="C143" s="2">
        <f t="shared" si="2"/>
        <v>6.9767441860465129E-2</v>
      </c>
    </row>
    <row r="144" spans="1:3" x14ac:dyDescent="0.25">
      <c r="A144" s="1">
        <v>42278</v>
      </c>
      <c r="B144">
        <v>107.8</v>
      </c>
      <c r="C144" s="2">
        <f t="shared" si="2"/>
        <v>7.2356215213357999E-2</v>
      </c>
    </row>
    <row r="145" spans="1:3" x14ac:dyDescent="0.25">
      <c r="A145" s="1">
        <v>42309</v>
      </c>
      <c r="B145">
        <v>106.4</v>
      </c>
      <c r="C145" s="2">
        <f t="shared" si="2"/>
        <v>6.0150375939849621E-2</v>
      </c>
    </row>
    <row r="146" spans="1:3" x14ac:dyDescent="0.25">
      <c r="A146" s="1">
        <v>42339</v>
      </c>
      <c r="B146">
        <v>106.8</v>
      </c>
      <c r="C146" s="2">
        <f t="shared" si="2"/>
        <v>6.367041198501866E-2</v>
      </c>
    </row>
    <row r="147" spans="1:3" x14ac:dyDescent="0.25">
      <c r="A147" s="1">
        <v>42370</v>
      </c>
      <c r="B147">
        <v>109.4</v>
      </c>
      <c r="C147" s="2">
        <f t="shared" si="2"/>
        <v>8.5923217550274322E-2</v>
      </c>
    </row>
    <row r="148" spans="1:3" x14ac:dyDescent="0.25">
      <c r="A148" s="1">
        <v>42401</v>
      </c>
      <c r="B148">
        <v>107.1</v>
      </c>
      <c r="C148" s="2">
        <f t="shared" si="2"/>
        <v>6.629318394024275E-2</v>
      </c>
    </row>
    <row r="149" spans="1:3" x14ac:dyDescent="0.25">
      <c r="A149" s="1">
        <v>42430</v>
      </c>
      <c r="B149">
        <v>104.7</v>
      </c>
      <c r="C149" s="2">
        <f t="shared" si="2"/>
        <v>4.4890162368672382E-2</v>
      </c>
    </row>
    <row r="150" spans="1:3" x14ac:dyDescent="0.25">
      <c r="A150" s="1">
        <v>42461</v>
      </c>
      <c r="B150">
        <v>104.5</v>
      </c>
      <c r="C150" s="2">
        <f t="shared" si="2"/>
        <v>4.3062200956937802E-2</v>
      </c>
    </row>
    <row r="151" spans="1:3" x14ac:dyDescent="0.25">
      <c r="A151" s="1">
        <v>42491</v>
      </c>
      <c r="B151">
        <v>104.2</v>
      </c>
      <c r="C151" s="2">
        <f t="shared" si="2"/>
        <v>4.0307101727447225E-2</v>
      </c>
    </row>
    <row r="152" spans="1:3" x14ac:dyDescent="0.25">
      <c r="A152" s="1">
        <v>42522</v>
      </c>
      <c r="B152">
        <v>104.7</v>
      </c>
      <c r="C152" s="2">
        <f t="shared" si="2"/>
        <v>4.4890162368672382E-2</v>
      </c>
    </row>
    <row r="153" spans="1:3" x14ac:dyDescent="0.25">
      <c r="A153" s="1">
        <v>42552</v>
      </c>
      <c r="B153">
        <v>109.2</v>
      </c>
      <c r="C153" s="2">
        <f t="shared" si="2"/>
        <v>8.4249084249084283E-2</v>
      </c>
    </row>
    <row r="154" spans="1:3" x14ac:dyDescent="0.25">
      <c r="A154" s="1">
        <v>42583</v>
      </c>
      <c r="B154">
        <v>111.1</v>
      </c>
      <c r="C154" s="2">
        <f t="shared" si="2"/>
        <v>9.9909990999099918E-2</v>
      </c>
    </row>
    <row r="155" spans="1:3" x14ac:dyDescent="0.25">
      <c r="A155" s="1">
        <v>42614</v>
      </c>
      <c r="B155">
        <v>111.6</v>
      </c>
      <c r="C155" s="2">
        <f t="shared" si="2"/>
        <v>0.10394265232974909</v>
      </c>
    </row>
    <row r="156" spans="1:3" x14ac:dyDescent="0.25">
      <c r="A156" s="1">
        <v>42644</v>
      </c>
      <c r="B156">
        <v>112.9</v>
      </c>
      <c r="C156" s="2">
        <f t="shared" si="2"/>
        <v>0.1142604074402126</v>
      </c>
    </row>
    <row r="157" spans="1:3" x14ac:dyDescent="0.25">
      <c r="A157" s="1">
        <v>42675</v>
      </c>
      <c r="B157">
        <v>112.3</v>
      </c>
      <c r="C157" s="2">
        <f t="shared" si="2"/>
        <v>0.10952804986642917</v>
      </c>
    </row>
    <row r="158" spans="1:3" x14ac:dyDescent="0.25">
      <c r="A158" s="1">
        <v>42705</v>
      </c>
      <c r="B158">
        <v>114.5</v>
      </c>
      <c r="C158" s="2">
        <f t="shared" si="2"/>
        <v>0.1266375545851528</v>
      </c>
    </row>
    <row r="159" spans="1:3" x14ac:dyDescent="0.25">
      <c r="A159" s="1">
        <v>42736</v>
      </c>
      <c r="B159">
        <v>121.2</v>
      </c>
      <c r="C159" s="2">
        <f t="shared" si="2"/>
        <v>0.17491749174917492</v>
      </c>
    </row>
    <row r="160" spans="1:3" x14ac:dyDescent="0.25">
      <c r="A160" s="1">
        <v>42767</v>
      </c>
      <c r="B160">
        <v>118.4</v>
      </c>
      <c r="C160" s="2">
        <f t="shared" si="2"/>
        <v>0.15540540540540548</v>
      </c>
    </row>
    <row r="161" spans="1:3" x14ac:dyDescent="0.25">
      <c r="A161" s="1">
        <v>42795</v>
      </c>
      <c r="B161">
        <v>112.9</v>
      </c>
      <c r="C161" s="2">
        <f t="shared" si="2"/>
        <v>0.1142604074402126</v>
      </c>
    </row>
    <row r="162" spans="1:3" x14ac:dyDescent="0.25">
      <c r="A162" s="1">
        <v>42826</v>
      </c>
      <c r="B162">
        <v>116.6</v>
      </c>
      <c r="C162" s="2">
        <f t="shared" si="2"/>
        <v>0.14236706689536871</v>
      </c>
    </row>
    <row r="163" spans="1:3" x14ac:dyDescent="0.25">
      <c r="A163" s="1">
        <v>42856</v>
      </c>
      <c r="B163">
        <v>116.6</v>
      </c>
      <c r="C163" s="2">
        <f t="shared" si="2"/>
        <v>0.14236706689536871</v>
      </c>
    </row>
    <row r="164" spans="1:3" x14ac:dyDescent="0.25">
      <c r="A164" s="1">
        <v>42887</v>
      </c>
      <c r="B164">
        <v>118.9</v>
      </c>
      <c r="C164" s="2">
        <f t="shared" si="2"/>
        <v>0.15895710681244746</v>
      </c>
    </row>
    <row r="165" spans="1:3" x14ac:dyDescent="0.25">
      <c r="A165" s="1">
        <v>42917</v>
      </c>
      <c r="B165">
        <v>117.7</v>
      </c>
      <c r="C165" s="2">
        <f t="shared" si="2"/>
        <v>0.15038232795242146</v>
      </c>
    </row>
    <row r="166" spans="1:3" x14ac:dyDescent="0.25">
      <c r="A166" s="1">
        <v>42948</v>
      </c>
      <c r="B166">
        <v>116.2</v>
      </c>
      <c r="C166" s="2">
        <f t="shared" si="2"/>
        <v>0.13941480206540446</v>
      </c>
    </row>
    <row r="167" spans="1:3" x14ac:dyDescent="0.25">
      <c r="A167" s="1">
        <v>42979</v>
      </c>
      <c r="B167">
        <v>115.5</v>
      </c>
      <c r="C167" s="2">
        <f t="shared" si="2"/>
        <v>0.13419913419913421</v>
      </c>
    </row>
    <row r="168" spans="1:3" x14ac:dyDescent="0.25">
      <c r="A168" s="1">
        <v>43009</v>
      </c>
      <c r="B168">
        <v>115.3</v>
      </c>
      <c r="C168" s="2">
        <f t="shared" si="2"/>
        <v>0.13269731136166518</v>
      </c>
    </row>
    <row r="169" spans="1:3" x14ac:dyDescent="0.25">
      <c r="A169" s="1">
        <v>43040</v>
      </c>
      <c r="B169">
        <v>115.8</v>
      </c>
      <c r="C169" s="2">
        <f t="shared" si="2"/>
        <v>0.13644214162348878</v>
      </c>
    </row>
    <row r="170" spans="1:3" x14ac:dyDescent="0.25">
      <c r="A170" s="1">
        <v>43070</v>
      </c>
      <c r="B170">
        <v>118</v>
      </c>
      <c r="C170" s="2">
        <f t="shared" si="2"/>
        <v>0.15254237288135597</v>
      </c>
    </row>
    <row r="171" spans="1:3" x14ac:dyDescent="0.25">
      <c r="A171" s="1">
        <v>43101</v>
      </c>
      <c r="B171">
        <v>116.2</v>
      </c>
      <c r="C171" s="2">
        <f t="shared" si="2"/>
        <v>0.13941480206540446</v>
      </c>
    </row>
    <row r="172" spans="1:3" x14ac:dyDescent="0.25">
      <c r="A172" s="1">
        <v>43132</v>
      </c>
      <c r="B172">
        <v>124.4</v>
      </c>
      <c r="C172" s="2">
        <f t="shared" si="2"/>
        <v>0.1961414790996785</v>
      </c>
    </row>
    <row r="173" spans="1:3" x14ac:dyDescent="0.25">
      <c r="A173" s="1">
        <v>43160</v>
      </c>
      <c r="B173">
        <v>116.7</v>
      </c>
      <c r="C173" s="2">
        <f t="shared" si="2"/>
        <v>0.14310197086546705</v>
      </c>
    </row>
    <row r="174" spans="1:3" x14ac:dyDescent="0.25">
      <c r="A174" s="1">
        <v>43191</v>
      </c>
      <c r="B174">
        <v>115.6</v>
      </c>
      <c r="C174" s="2">
        <f t="shared" si="2"/>
        <v>0.13494809688581311</v>
      </c>
    </row>
    <row r="175" spans="1:3" x14ac:dyDescent="0.25">
      <c r="A175" s="1">
        <v>43221</v>
      </c>
      <c r="B175">
        <v>114.9</v>
      </c>
      <c r="C175" s="2">
        <f t="shared" si="2"/>
        <v>0.1296779808529156</v>
      </c>
    </row>
    <row r="176" spans="1:3" x14ac:dyDescent="0.25">
      <c r="A176" s="1">
        <v>43252</v>
      </c>
      <c r="B176">
        <v>115.2</v>
      </c>
      <c r="C176" s="2">
        <f t="shared" si="2"/>
        <v>0.13194444444444442</v>
      </c>
    </row>
    <row r="177" spans="1:3" x14ac:dyDescent="0.25">
      <c r="A177" s="1">
        <v>43282</v>
      </c>
      <c r="B177">
        <v>116</v>
      </c>
      <c r="C177" s="2">
        <f t="shared" si="2"/>
        <v>0.13793103448275867</v>
      </c>
    </row>
    <row r="178" spans="1:3" x14ac:dyDescent="0.25">
      <c r="A178" s="1">
        <v>43313</v>
      </c>
      <c r="B178">
        <v>116.1</v>
      </c>
      <c r="C178" s="2">
        <f t="shared" si="2"/>
        <v>0.1386735572782084</v>
      </c>
    </row>
    <row r="179" spans="1:3" x14ac:dyDescent="0.25">
      <c r="A179" s="1">
        <v>43344</v>
      </c>
      <c r="B179">
        <v>115.6</v>
      </c>
      <c r="C179" s="2">
        <f t="shared" si="2"/>
        <v>0.13494809688581311</v>
      </c>
    </row>
    <row r="180" spans="1:3" x14ac:dyDescent="0.25">
      <c r="A180" s="1">
        <v>43374</v>
      </c>
      <c r="B180">
        <v>116.1</v>
      </c>
      <c r="C180" s="2">
        <f t="shared" si="2"/>
        <v>0.1386735572782084</v>
      </c>
    </row>
    <row r="181" spans="1:3" x14ac:dyDescent="0.25">
      <c r="A181" s="1">
        <v>43405</v>
      </c>
      <c r="B181">
        <v>119.4</v>
      </c>
      <c r="C181" s="2">
        <f t="shared" si="2"/>
        <v>0.16247906197654949</v>
      </c>
    </row>
    <row r="182" spans="1:3" x14ac:dyDescent="0.25">
      <c r="A182" s="1">
        <v>43435</v>
      </c>
      <c r="B182">
        <v>130.6</v>
      </c>
      <c r="C182" s="2">
        <f t="shared" si="2"/>
        <v>0.23430321592649306</v>
      </c>
    </row>
    <row r="183" spans="1:3" x14ac:dyDescent="0.25">
      <c r="A183" s="1">
        <v>43466</v>
      </c>
      <c r="B183">
        <v>126.2</v>
      </c>
      <c r="C183" s="2">
        <f t="shared" si="2"/>
        <v>0.20760697305863707</v>
      </c>
    </row>
    <row r="184" spans="1:3" x14ac:dyDescent="0.25">
      <c r="A184" s="1">
        <v>43497</v>
      </c>
      <c r="B184">
        <v>121.5</v>
      </c>
      <c r="C184" s="2">
        <f t="shared" si="2"/>
        <v>0.17695473251028804</v>
      </c>
    </row>
    <row r="185" spans="1:3" x14ac:dyDescent="0.25">
      <c r="A185" s="1">
        <v>43525</v>
      </c>
      <c r="B185">
        <v>119.3</v>
      </c>
      <c r="C185" s="2">
        <f t="shared" si="2"/>
        <v>0.16177703269069565</v>
      </c>
    </row>
    <row r="186" spans="1:3" x14ac:dyDescent="0.25">
      <c r="A186" s="1">
        <v>43556</v>
      </c>
      <c r="B186">
        <v>118.3</v>
      </c>
      <c r="C186" s="2">
        <f t="shared" si="2"/>
        <v>0.15469146238377007</v>
      </c>
    </row>
    <row r="187" spans="1:3" x14ac:dyDescent="0.25">
      <c r="A187" s="1">
        <v>43586</v>
      </c>
      <c r="B187">
        <v>115.4</v>
      </c>
      <c r="C187" s="2">
        <f t="shared" si="2"/>
        <v>0.13344887348353562</v>
      </c>
    </row>
    <row r="188" spans="1:3" x14ac:dyDescent="0.25">
      <c r="A188" s="1">
        <v>43617</v>
      </c>
      <c r="B188">
        <v>115.4</v>
      </c>
      <c r="C188" s="2">
        <f t="shared" si="2"/>
        <v>0.13344887348353562</v>
      </c>
    </row>
    <row r="189" spans="1:3" x14ac:dyDescent="0.25">
      <c r="A189" s="1">
        <v>43647</v>
      </c>
      <c r="B189">
        <v>113.6</v>
      </c>
      <c r="C189" s="2">
        <f t="shared" si="2"/>
        <v>0.11971830985915488</v>
      </c>
    </row>
    <row r="190" spans="1:3" x14ac:dyDescent="0.25">
      <c r="A190" s="1">
        <v>43678</v>
      </c>
      <c r="B190">
        <v>113</v>
      </c>
      <c r="C190" s="2">
        <f t="shared" si="2"/>
        <v>0.11504424778761058</v>
      </c>
    </row>
    <row r="191" spans="1:3" x14ac:dyDescent="0.25">
      <c r="A191" s="1">
        <v>43709</v>
      </c>
      <c r="B191">
        <v>112.6</v>
      </c>
      <c r="C191" s="2">
        <f t="shared" si="2"/>
        <v>0.11190053285968027</v>
      </c>
    </row>
    <row r="192" spans="1:3" x14ac:dyDescent="0.25">
      <c r="A192" s="1">
        <v>43739</v>
      </c>
      <c r="B192">
        <v>114</v>
      </c>
      <c r="C192" s="2">
        <f t="shared" si="2"/>
        <v>0.1228070175438597</v>
      </c>
    </row>
    <row r="193" spans="1:3" x14ac:dyDescent="0.25">
      <c r="A193" s="1">
        <v>43770</v>
      </c>
      <c r="B193">
        <v>116.5</v>
      </c>
      <c r="C193" s="2">
        <f t="shared" si="2"/>
        <v>0.14163090128755362</v>
      </c>
    </row>
    <row r="194" spans="1:3" x14ac:dyDescent="0.25">
      <c r="A194" s="1">
        <v>43800</v>
      </c>
      <c r="B194">
        <v>116</v>
      </c>
      <c r="C194" s="2">
        <f t="shared" ref="C194:C257" si="3">1-(B$2/B194)</f>
        <v>0.13793103448275867</v>
      </c>
    </row>
    <row r="195" spans="1:3" x14ac:dyDescent="0.25">
      <c r="A195" s="1">
        <v>43831</v>
      </c>
      <c r="B195">
        <v>115.4</v>
      </c>
      <c r="C195" s="2">
        <f t="shared" si="3"/>
        <v>0.13344887348353562</v>
      </c>
    </row>
    <row r="196" spans="1:3" x14ac:dyDescent="0.25">
      <c r="A196" s="1">
        <v>43862</v>
      </c>
      <c r="B196">
        <v>112.8</v>
      </c>
      <c r="C196" s="2">
        <f t="shared" si="3"/>
        <v>0.11347517730496448</v>
      </c>
    </row>
    <row r="197" spans="1:3" x14ac:dyDescent="0.25">
      <c r="A197" s="1">
        <v>43891</v>
      </c>
      <c r="B197">
        <v>111.8</v>
      </c>
      <c r="C197" s="2">
        <f t="shared" si="3"/>
        <v>0.10554561717352418</v>
      </c>
    </row>
    <row r="198" spans="1:3" x14ac:dyDescent="0.25">
      <c r="A198" s="1">
        <v>43922</v>
      </c>
      <c r="B198">
        <v>109.2</v>
      </c>
      <c r="C198" s="2">
        <f t="shared" si="3"/>
        <v>8.4249084249084283E-2</v>
      </c>
    </row>
    <row r="199" spans="1:3" x14ac:dyDescent="0.25">
      <c r="A199" s="1">
        <v>43952</v>
      </c>
      <c r="B199">
        <v>110.2</v>
      </c>
      <c r="C199" s="2">
        <f t="shared" si="3"/>
        <v>9.2558983666061745E-2</v>
      </c>
    </row>
    <row r="200" spans="1:3" x14ac:dyDescent="0.25">
      <c r="A200" s="1">
        <v>43983</v>
      </c>
      <c r="B200">
        <v>110</v>
      </c>
      <c r="C200" s="2">
        <f t="shared" si="3"/>
        <v>9.0909090909090939E-2</v>
      </c>
    </row>
    <row r="201" spans="1:3" x14ac:dyDescent="0.25">
      <c r="A201" s="1">
        <v>44013</v>
      </c>
      <c r="B201">
        <v>108.4</v>
      </c>
      <c r="C201" s="2">
        <f t="shared" si="3"/>
        <v>7.7490774907749138E-2</v>
      </c>
    </row>
    <row r="202" spans="1:3" x14ac:dyDescent="0.25">
      <c r="A202" s="1">
        <v>44044</v>
      </c>
      <c r="B202">
        <v>111.2</v>
      </c>
      <c r="C202" s="2">
        <f t="shared" si="3"/>
        <v>0.10071942446043169</v>
      </c>
    </row>
    <row r="203" spans="1:3" x14ac:dyDescent="0.25">
      <c r="A203" s="1">
        <v>44075</v>
      </c>
      <c r="B203">
        <v>116.7</v>
      </c>
      <c r="C203" s="2">
        <f t="shared" si="3"/>
        <v>0.14310197086546705</v>
      </c>
    </row>
    <row r="204" spans="1:3" x14ac:dyDescent="0.25">
      <c r="A204" s="1">
        <v>44105</v>
      </c>
      <c r="B204">
        <v>127.5</v>
      </c>
      <c r="C204" s="2">
        <f t="shared" si="3"/>
        <v>0.21568627450980393</v>
      </c>
    </row>
    <row r="205" spans="1:3" x14ac:dyDescent="0.25">
      <c r="A205" s="1">
        <v>44136</v>
      </c>
      <c r="B205">
        <v>136</v>
      </c>
      <c r="C205" s="2">
        <f t="shared" si="3"/>
        <v>0.26470588235294112</v>
      </c>
    </row>
    <row r="206" spans="1:3" x14ac:dyDescent="0.25">
      <c r="A206" s="1">
        <v>44166</v>
      </c>
      <c r="B206">
        <v>130.19999999999999</v>
      </c>
      <c r="C206" s="2">
        <f t="shared" si="3"/>
        <v>0.23195084485407058</v>
      </c>
    </row>
    <row r="207" spans="1:3" x14ac:dyDescent="0.25">
      <c r="A207" s="1">
        <v>44197</v>
      </c>
      <c r="B207">
        <v>121.5</v>
      </c>
      <c r="C207" s="2">
        <f t="shared" si="3"/>
        <v>0.17695473251028804</v>
      </c>
    </row>
    <row r="208" spans="1:3" x14ac:dyDescent="0.25">
      <c r="A208" s="1">
        <v>44228</v>
      </c>
      <c r="B208">
        <v>123.6</v>
      </c>
      <c r="C208" s="2">
        <f t="shared" si="3"/>
        <v>0.19093851132686079</v>
      </c>
    </row>
    <row r="209" spans="1:3" x14ac:dyDescent="0.25">
      <c r="A209" s="1">
        <v>44256</v>
      </c>
      <c r="B209">
        <v>126</v>
      </c>
      <c r="C209" s="2">
        <f t="shared" si="3"/>
        <v>0.20634920634920639</v>
      </c>
    </row>
    <row r="210" spans="1:3" x14ac:dyDescent="0.25">
      <c r="A210" s="1">
        <v>44287</v>
      </c>
      <c r="B210">
        <v>127.7</v>
      </c>
      <c r="C210" s="2">
        <f t="shared" si="3"/>
        <v>0.21691464369616287</v>
      </c>
    </row>
    <row r="211" spans="1:3" x14ac:dyDescent="0.25">
      <c r="A211" s="1">
        <v>44317</v>
      </c>
      <c r="B211">
        <v>138.9</v>
      </c>
      <c r="C211" s="2">
        <f t="shared" si="3"/>
        <v>0.28005759539236863</v>
      </c>
    </row>
    <row r="212" spans="1:3" x14ac:dyDescent="0.25">
      <c r="A212" s="1">
        <v>44348</v>
      </c>
      <c r="B212">
        <v>134.19999999999999</v>
      </c>
      <c r="C212" s="2">
        <f t="shared" si="3"/>
        <v>0.2548435171385991</v>
      </c>
    </row>
    <row r="213" spans="1:3" x14ac:dyDescent="0.25">
      <c r="A213" s="1">
        <v>44378</v>
      </c>
      <c r="B213">
        <v>141.714</v>
      </c>
      <c r="C213" s="2">
        <f t="shared" si="3"/>
        <v>0.294353416035113</v>
      </c>
    </row>
    <row r="214" spans="1:3" x14ac:dyDescent="0.25">
      <c r="A214" s="1">
        <v>44409</v>
      </c>
      <c r="B214">
        <v>145.68100000000001</v>
      </c>
      <c r="C214" s="2">
        <f t="shared" si="3"/>
        <v>0.31356868774926039</v>
      </c>
    </row>
    <row r="215" spans="1:3" x14ac:dyDescent="0.25">
      <c r="A215" s="1">
        <v>44440</v>
      </c>
      <c r="B215">
        <v>149.16900000000001</v>
      </c>
      <c r="C215" s="2">
        <f t="shared" si="3"/>
        <v>0.32961942494754282</v>
      </c>
    </row>
    <row r="216" spans="1:3" x14ac:dyDescent="0.25">
      <c r="A216" s="1">
        <v>44470</v>
      </c>
      <c r="B216">
        <v>163.68100000000001</v>
      </c>
      <c r="C216" s="2">
        <f t="shared" si="3"/>
        <v>0.38905554096077133</v>
      </c>
    </row>
    <row r="217" spans="1:3" x14ac:dyDescent="0.25">
      <c r="A217" s="1">
        <v>44501</v>
      </c>
      <c r="B217">
        <v>181.01499999999999</v>
      </c>
      <c r="C217" s="2">
        <f t="shared" si="3"/>
        <v>0.44755959450874228</v>
      </c>
    </row>
    <row r="218" spans="1:3" x14ac:dyDescent="0.25">
      <c r="A218" s="1">
        <v>44531</v>
      </c>
      <c r="B218">
        <v>178.464</v>
      </c>
      <c r="C218" s="2">
        <f t="shared" si="3"/>
        <v>0.43966290120136275</v>
      </c>
    </row>
    <row r="219" spans="1:3" x14ac:dyDescent="0.25">
      <c r="A219" s="1">
        <v>44562</v>
      </c>
      <c r="B219">
        <v>174.83500000000001</v>
      </c>
      <c r="C219" s="2">
        <f t="shared" si="3"/>
        <v>0.42803214459347383</v>
      </c>
    </row>
    <row r="220" spans="1:3" x14ac:dyDescent="0.25">
      <c r="A220" s="1">
        <v>44593</v>
      </c>
      <c r="B220">
        <v>171.477</v>
      </c>
      <c r="C220" s="2">
        <f t="shared" si="3"/>
        <v>0.41683141179283523</v>
      </c>
    </row>
    <row r="221" spans="1:3" x14ac:dyDescent="0.25">
      <c r="A221" s="1">
        <v>44621</v>
      </c>
      <c r="B221">
        <v>159.255</v>
      </c>
      <c r="C221" s="2">
        <f t="shared" si="3"/>
        <v>0.37207622994568457</v>
      </c>
    </row>
    <row r="222" spans="1:3" x14ac:dyDescent="0.25">
      <c r="A222" s="1">
        <v>44652</v>
      </c>
      <c r="B222">
        <v>165.28100000000001</v>
      </c>
      <c r="C222" s="2">
        <f t="shared" si="3"/>
        <v>0.39496977874044814</v>
      </c>
    </row>
    <row r="223" spans="1:3" x14ac:dyDescent="0.25">
      <c r="A223" s="1">
        <v>44682</v>
      </c>
      <c r="B223">
        <v>184.58199999999999</v>
      </c>
      <c r="C223" s="2">
        <f t="shared" si="3"/>
        <v>0.45823536422836464</v>
      </c>
    </row>
    <row r="224" spans="1:3" x14ac:dyDescent="0.25">
      <c r="A224" s="1">
        <v>44713</v>
      </c>
      <c r="B224">
        <v>203.37700000000001</v>
      </c>
      <c r="C224" s="2">
        <f t="shared" si="3"/>
        <v>0.50830231540439685</v>
      </c>
    </row>
    <row r="225" spans="1:3" x14ac:dyDescent="0.25">
      <c r="A225" s="1">
        <v>44743</v>
      </c>
      <c r="B225">
        <v>186.20599999999999</v>
      </c>
      <c r="C225" s="2">
        <f t="shared" si="3"/>
        <v>0.46296037721663097</v>
      </c>
    </row>
    <row r="226" spans="1:3" x14ac:dyDescent="0.25">
      <c r="A226" s="1">
        <v>44774</v>
      </c>
      <c r="B226">
        <v>192.55600000000001</v>
      </c>
      <c r="C226" s="2">
        <f t="shared" si="3"/>
        <v>0.48067055817528415</v>
      </c>
    </row>
    <row r="227" spans="1:3" x14ac:dyDescent="0.25">
      <c r="A227" s="1">
        <v>44805</v>
      </c>
      <c r="B227">
        <v>196.261</v>
      </c>
      <c r="C227" s="2">
        <f t="shared" si="3"/>
        <v>0.49047441926821933</v>
      </c>
    </row>
    <row r="228" spans="1:3" x14ac:dyDescent="0.25">
      <c r="A228" s="1">
        <v>44835</v>
      </c>
      <c r="B228">
        <v>188.66399999999999</v>
      </c>
      <c r="C228" s="2">
        <f t="shared" si="3"/>
        <v>0.46995717253954117</v>
      </c>
    </row>
    <row r="229" spans="1:3" x14ac:dyDescent="0.25">
      <c r="A229" s="1">
        <v>44866</v>
      </c>
      <c r="B229">
        <v>184.45400000000001</v>
      </c>
      <c r="C229" s="2">
        <f t="shared" si="3"/>
        <v>0.4578594121027465</v>
      </c>
    </row>
    <row r="230" spans="1:3" x14ac:dyDescent="0.25">
      <c r="A230" s="1">
        <v>44896</v>
      </c>
      <c r="B230">
        <v>188.68199999999999</v>
      </c>
      <c r="C230" s="2">
        <f t="shared" si="3"/>
        <v>0.47000773788702677</v>
      </c>
    </row>
    <row r="231" spans="1:3" x14ac:dyDescent="0.25">
      <c r="A231" s="1">
        <v>44927</v>
      </c>
      <c r="B231">
        <v>202.40100000000001</v>
      </c>
      <c r="C231" s="2">
        <f t="shared" si="3"/>
        <v>0.50593129480585575</v>
      </c>
    </row>
    <row r="232" spans="1:3" x14ac:dyDescent="0.25">
      <c r="A232" s="1">
        <v>44958</v>
      </c>
      <c r="B232">
        <v>188.57599999999999</v>
      </c>
      <c r="C232" s="2">
        <f t="shared" si="3"/>
        <v>0.4697098252163584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34403-6E1D-46CE-A195-17C9B9646AEC}">
  <sheetPr codeName="Sheet5">
    <tabColor theme="2" tint="-0.249977111117893"/>
  </sheetPr>
  <dimension ref="A1:C588"/>
  <sheetViews>
    <sheetView workbookViewId="0">
      <selection activeCell="I29" sqref="I29"/>
    </sheetView>
  </sheetViews>
  <sheetFormatPr defaultRowHeight="15" x14ac:dyDescent="0.25"/>
  <cols>
    <col min="1" max="1" width="15.85546875" bestFit="1" customWidth="1"/>
    <col min="2" max="2" width="16.7109375" bestFit="1" customWidth="1"/>
    <col min="3" max="3" width="11.140625" bestFit="1" customWidth="1"/>
  </cols>
  <sheetData>
    <row r="1" spans="1:3" x14ac:dyDescent="0.25">
      <c r="A1" t="s">
        <v>0</v>
      </c>
      <c r="B1" t="s">
        <v>1</v>
      </c>
      <c r="C1" t="s">
        <v>5</v>
      </c>
    </row>
    <row r="2" spans="1:3" x14ac:dyDescent="0.25">
      <c r="A2" s="1">
        <v>27120</v>
      </c>
      <c r="B2">
        <v>51.4</v>
      </c>
      <c r="C2" s="2">
        <f t="shared" ref="C2:C65" si="0">1-(B$2/B2)</f>
        <v>0</v>
      </c>
    </row>
    <row r="3" spans="1:3" x14ac:dyDescent="0.25">
      <c r="A3" s="1">
        <v>27150</v>
      </c>
      <c r="B3">
        <v>52.9</v>
      </c>
      <c r="C3" s="2">
        <f t="shared" si="0"/>
        <v>2.8355387523629538E-2</v>
      </c>
    </row>
    <row r="4" spans="1:3" x14ac:dyDescent="0.25">
      <c r="A4" s="1">
        <v>27181</v>
      </c>
      <c r="B4">
        <v>53.1</v>
      </c>
      <c r="C4" s="2">
        <f t="shared" si="0"/>
        <v>3.2015065913370999E-2</v>
      </c>
    </row>
    <row r="5" spans="1:3" x14ac:dyDescent="0.25">
      <c r="A5" s="1">
        <v>27211</v>
      </c>
      <c r="B5">
        <v>55.2</v>
      </c>
      <c r="C5" s="2">
        <f t="shared" si="0"/>
        <v>6.8840579710145011E-2</v>
      </c>
    </row>
    <row r="6" spans="1:3" x14ac:dyDescent="0.25">
      <c r="A6" s="1">
        <v>27242</v>
      </c>
      <c r="B6">
        <v>55.2</v>
      </c>
      <c r="C6" s="2">
        <f t="shared" si="0"/>
        <v>6.8840579710145011E-2</v>
      </c>
    </row>
    <row r="7" spans="1:3" x14ac:dyDescent="0.25">
      <c r="A7" s="1">
        <v>27273</v>
      </c>
      <c r="B7">
        <v>55.6</v>
      </c>
      <c r="C7" s="2">
        <f t="shared" si="0"/>
        <v>7.5539568345323826E-2</v>
      </c>
    </row>
    <row r="8" spans="1:3" x14ac:dyDescent="0.25">
      <c r="A8" s="1">
        <v>27303</v>
      </c>
      <c r="B8">
        <v>55.4</v>
      </c>
      <c r="C8" s="2">
        <f t="shared" si="0"/>
        <v>7.2202166064981976E-2</v>
      </c>
    </row>
    <row r="9" spans="1:3" x14ac:dyDescent="0.25">
      <c r="A9" s="1">
        <v>27334</v>
      </c>
      <c r="B9">
        <v>55.4</v>
      </c>
      <c r="C9" s="2">
        <f t="shared" si="0"/>
        <v>7.2202166064981976E-2</v>
      </c>
    </row>
    <row r="10" spans="1:3" x14ac:dyDescent="0.25">
      <c r="A10" s="1">
        <v>27364</v>
      </c>
      <c r="B10">
        <v>55.4</v>
      </c>
      <c r="C10" s="2">
        <f t="shared" si="0"/>
        <v>7.2202166064981976E-2</v>
      </c>
    </row>
    <row r="11" spans="1:3" x14ac:dyDescent="0.25">
      <c r="A11" s="1">
        <v>27395</v>
      </c>
      <c r="B11">
        <v>55.4</v>
      </c>
      <c r="C11" s="2">
        <f t="shared" si="0"/>
        <v>7.2202166064981976E-2</v>
      </c>
    </row>
    <row r="12" spans="1:3" x14ac:dyDescent="0.25">
      <c r="A12" s="1">
        <v>27426</v>
      </c>
      <c r="B12">
        <v>54.9</v>
      </c>
      <c r="C12" s="2">
        <f t="shared" si="0"/>
        <v>6.3752276867030999E-2</v>
      </c>
    </row>
    <row r="13" spans="1:3" x14ac:dyDescent="0.25">
      <c r="A13" s="1">
        <v>27454</v>
      </c>
      <c r="B13">
        <v>54.9</v>
      </c>
      <c r="C13" s="2">
        <f t="shared" si="0"/>
        <v>6.3752276867030999E-2</v>
      </c>
    </row>
    <row r="14" spans="1:3" x14ac:dyDescent="0.25">
      <c r="A14" s="1">
        <v>27485</v>
      </c>
      <c r="B14">
        <v>54.5</v>
      </c>
      <c r="C14" s="2">
        <f t="shared" si="0"/>
        <v>5.6880733944954187E-2</v>
      </c>
    </row>
    <row r="15" spans="1:3" x14ac:dyDescent="0.25">
      <c r="A15" s="1">
        <v>27515</v>
      </c>
      <c r="B15">
        <v>54.5</v>
      </c>
      <c r="C15" s="2">
        <f t="shared" si="0"/>
        <v>5.6880733944954187E-2</v>
      </c>
    </row>
    <row r="16" spans="1:3" x14ac:dyDescent="0.25">
      <c r="A16" s="1">
        <v>27546</v>
      </c>
      <c r="B16">
        <v>54.5</v>
      </c>
      <c r="C16" s="2">
        <f t="shared" si="0"/>
        <v>5.6880733944954187E-2</v>
      </c>
    </row>
    <row r="17" spans="1:3" x14ac:dyDescent="0.25">
      <c r="A17" s="1">
        <v>27576</v>
      </c>
      <c r="B17">
        <v>55.1</v>
      </c>
      <c r="C17" s="2">
        <f t="shared" si="0"/>
        <v>6.7150635208711451E-2</v>
      </c>
    </row>
    <row r="18" spans="1:3" x14ac:dyDescent="0.25">
      <c r="A18" s="1">
        <v>27607</v>
      </c>
      <c r="B18">
        <v>55.1</v>
      </c>
      <c r="C18" s="2">
        <f t="shared" si="0"/>
        <v>6.7150635208711451E-2</v>
      </c>
    </row>
    <row r="19" spans="1:3" x14ac:dyDescent="0.25">
      <c r="A19" s="1">
        <v>27638</v>
      </c>
      <c r="B19">
        <v>55.1</v>
      </c>
      <c r="C19" s="2">
        <f t="shared" si="0"/>
        <v>6.7150635208711451E-2</v>
      </c>
    </row>
    <row r="20" spans="1:3" x14ac:dyDescent="0.25">
      <c r="A20" s="1">
        <v>27668</v>
      </c>
      <c r="B20">
        <v>55.1</v>
      </c>
      <c r="C20" s="2">
        <f t="shared" si="0"/>
        <v>6.7150635208711451E-2</v>
      </c>
    </row>
    <row r="21" spans="1:3" x14ac:dyDescent="0.25">
      <c r="A21" s="1">
        <v>27699</v>
      </c>
      <c r="B21">
        <v>55.7</v>
      </c>
      <c r="C21" s="2">
        <f t="shared" si="0"/>
        <v>7.7199281867145531E-2</v>
      </c>
    </row>
    <row r="22" spans="1:3" x14ac:dyDescent="0.25">
      <c r="A22" s="1">
        <v>27729</v>
      </c>
      <c r="B22">
        <v>55.7</v>
      </c>
      <c r="C22" s="2">
        <f t="shared" si="0"/>
        <v>7.7199281867145531E-2</v>
      </c>
    </row>
    <row r="23" spans="1:3" x14ac:dyDescent="0.25">
      <c r="A23" s="1">
        <v>27760</v>
      </c>
      <c r="B23">
        <v>54.8</v>
      </c>
      <c r="C23" s="2">
        <f t="shared" si="0"/>
        <v>6.2043795620437936E-2</v>
      </c>
    </row>
    <row r="24" spans="1:3" x14ac:dyDescent="0.25">
      <c r="A24" s="1">
        <v>27791</v>
      </c>
      <c r="B24">
        <v>54.8</v>
      </c>
      <c r="C24" s="2">
        <f t="shared" si="0"/>
        <v>6.2043795620437936E-2</v>
      </c>
    </row>
    <row r="25" spans="1:3" x14ac:dyDescent="0.25">
      <c r="A25" s="1">
        <v>27820</v>
      </c>
      <c r="B25">
        <v>54.8</v>
      </c>
      <c r="C25" s="2">
        <f t="shared" si="0"/>
        <v>6.2043795620437936E-2</v>
      </c>
    </row>
    <row r="26" spans="1:3" x14ac:dyDescent="0.25">
      <c r="A26" s="1">
        <v>27851</v>
      </c>
      <c r="B26">
        <v>54.2</v>
      </c>
      <c r="C26" s="2">
        <f t="shared" si="0"/>
        <v>5.1660516605166129E-2</v>
      </c>
    </row>
    <row r="27" spans="1:3" x14ac:dyDescent="0.25">
      <c r="A27" s="1">
        <v>27881</v>
      </c>
      <c r="B27">
        <v>52.9</v>
      </c>
      <c r="C27" s="2">
        <f t="shared" si="0"/>
        <v>2.8355387523629538E-2</v>
      </c>
    </row>
    <row r="28" spans="1:3" x14ac:dyDescent="0.25">
      <c r="A28" s="1">
        <v>27912</v>
      </c>
      <c r="B28">
        <v>52.5</v>
      </c>
      <c r="C28" s="2">
        <f t="shared" si="0"/>
        <v>2.0952380952380945E-2</v>
      </c>
    </row>
    <row r="29" spans="1:3" x14ac:dyDescent="0.25">
      <c r="A29" s="1">
        <v>27942</v>
      </c>
      <c r="B29">
        <v>52.6</v>
      </c>
      <c r="C29" s="2">
        <f t="shared" si="0"/>
        <v>2.2813688212927841E-2</v>
      </c>
    </row>
    <row r="30" spans="1:3" x14ac:dyDescent="0.25">
      <c r="A30" s="1">
        <v>27973</v>
      </c>
      <c r="B30">
        <v>52.9</v>
      </c>
      <c r="C30" s="2">
        <f t="shared" si="0"/>
        <v>2.8355387523629538E-2</v>
      </c>
    </row>
    <row r="31" spans="1:3" x14ac:dyDescent="0.25">
      <c r="A31" s="1">
        <v>28004</v>
      </c>
      <c r="B31">
        <v>54.1</v>
      </c>
      <c r="C31" s="2">
        <f t="shared" si="0"/>
        <v>4.9907578558225585E-2</v>
      </c>
    </row>
    <row r="32" spans="1:3" x14ac:dyDescent="0.25">
      <c r="A32" s="1">
        <v>28034</v>
      </c>
      <c r="B32">
        <v>54.6</v>
      </c>
      <c r="C32" s="2">
        <f t="shared" si="0"/>
        <v>5.8608058608058622E-2</v>
      </c>
    </row>
    <row r="33" spans="1:3" x14ac:dyDescent="0.25">
      <c r="A33" s="1">
        <v>28065</v>
      </c>
      <c r="B33">
        <v>54.9</v>
      </c>
      <c r="C33" s="2">
        <f t="shared" si="0"/>
        <v>6.3752276867030999E-2</v>
      </c>
    </row>
    <row r="34" spans="1:3" x14ac:dyDescent="0.25">
      <c r="A34" s="1">
        <v>28095</v>
      </c>
      <c r="B34">
        <v>55.1</v>
      </c>
      <c r="C34" s="2">
        <f t="shared" si="0"/>
        <v>6.7150635208711451E-2</v>
      </c>
    </row>
    <row r="35" spans="1:3" x14ac:dyDescent="0.25">
      <c r="A35" s="1">
        <v>28126</v>
      </c>
      <c r="B35">
        <v>55.6</v>
      </c>
      <c r="C35" s="2">
        <f t="shared" si="0"/>
        <v>7.5539568345323826E-2</v>
      </c>
    </row>
    <row r="36" spans="1:3" x14ac:dyDescent="0.25">
      <c r="A36" s="1">
        <v>28157</v>
      </c>
      <c r="B36">
        <v>56.4</v>
      </c>
      <c r="C36" s="2">
        <f t="shared" si="0"/>
        <v>8.8652482269503508E-2</v>
      </c>
    </row>
    <row r="37" spans="1:3" x14ac:dyDescent="0.25">
      <c r="A37" s="1">
        <v>28185</v>
      </c>
      <c r="B37">
        <v>56.9</v>
      </c>
      <c r="C37" s="2">
        <f t="shared" si="0"/>
        <v>9.6660808435852341E-2</v>
      </c>
    </row>
    <row r="38" spans="1:3" x14ac:dyDescent="0.25">
      <c r="A38" s="1">
        <v>28216</v>
      </c>
      <c r="B38">
        <v>56.9</v>
      </c>
      <c r="C38" s="2">
        <f t="shared" si="0"/>
        <v>9.6660808435852341E-2</v>
      </c>
    </row>
    <row r="39" spans="1:3" x14ac:dyDescent="0.25">
      <c r="A39" s="1">
        <v>28246</v>
      </c>
      <c r="B39">
        <v>57.3</v>
      </c>
      <c r="C39" s="2">
        <f t="shared" si="0"/>
        <v>0.10296684118673649</v>
      </c>
    </row>
    <row r="40" spans="1:3" x14ac:dyDescent="0.25">
      <c r="A40" s="1">
        <v>28277</v>
      </c>
      <c r="B40">
        <v>57.6</v>
      </c>
      <c r="C40" s="2">
        <f t="shared" si="0"/>
        <v>0.10763888888888895</v>
      </c>
    </row>
    <row r="41" spans="1:3" x14ac:dyDescent="0.25">
      <c r="A41" s="1">
        <v>28307</v>
      </c>
      <c r="B41">
        <v>58.2</v>
      </c>
      <c r="C41" s="2">
        <f t="shared" si="0"/>
        <v>0.11683848797250862</v>
      </c>
    </row>
    <row r="42" spans="1:3" x14ac:dyDescent="0.25">
      <c r="A42" s="1">
        <v>28338</v>
      </c>
      <c r="B42">
        <v>58.6</v>
      </c>
      <c r="C42" s="2">
        <f t="shared" si="0"/>
        <v>0.12286689419795227</v>
      </c>
    </row>
    <row r="43" spans="1:3" x14ac:dyDescent="0.25">
      <c r="A43" s="1">
        <v>28369</v>
      </c>
      <c r="B43">
        <v>59.6</v>
      </c>
      <c r="C43" s="2">
        <f t="shared" si="0"/>
        <v>0.13758389261744974</v>
      </c>
    </row>
    <row r="44" spans="1:3" x14ac:dyDescent="0.25">
      <c r="A44" s="1">
        <v>28399</v>
      </c>
      <c r="B44">
        <v>59.8</v>
      </c>
      <c r="C44" s="2">
        <f t="shared" si="0"/>
        <v>0.14046822742474918</v>
      </c>
    </row>
    <row r="45" spans="1:3" x14ac:dyDescent="0.25">
      <c r="A45" s="1">
        <v>28430</v>
      </c>
      <c r="B45">
        <v>60.8</v>
      </c>
      <c r="C45" s="2">
        <f t="shared" si="0"/>
        <v>0.15460526315789469</v>
      </c>
    </row>
    <row r="46" spans="1:3" x14ac:dyDescent="0.25">
      <c r="A46" s="1">
        <v>28460</v>
      </c>
      <c r="B46">
        <v>60.9</v>
      </c>
      <c r="C46" s="2">
        <f t="shared" si="0"/>
        <v>0.15599343185550085</v>
      </c>
    </row>
    <row r="47" spans="1:3" x14ac:dyDescent="0.25">
      <c r="A47" s="1">
        <v>28491</v>
      </c>
      <c r="B47">
        <v>60.9</v>
      </c>
      <c r="C47" s="2">
        <f t="shared" si="0"/>
        <v>0.15599343185550085</v>
      </c>
    </row>
    <row r="48" spans="1:3" x14ac:dyDescent="0.25">
      <c r="A48" s="1">
        <v>28522</v>
      </c>
      <c r="B48">
        <v>61.3</v>
      </c>
      <c r="C48" s="2">
        <f t="shared" si="0"/>
        <v>0.16150081566068519</v>
      </c>
    </row>
    <row r="49" spans="1:3" x14ac:dyDescent="0.25">
      <c r="A49" s="1">
        <v>28550</v>
      </c>
      <c r="B49">
        <v>61.5</v>
      </c>
      <c r="C49" s="2">
        <f t="shared" si="0"/>
        <v>0.16422764227642284</v>
      </c>
    </row>
    <row r="50" spans="1:3" x14ac:dyDescent="0.25">
      <c r="A50" s="1">
        <v>28581</v>
      </c>
      <c r="B50">
        <v>61.6</v>
      </c>
      <c r="C50" s="2">
        <f t="shared" si="0"/>
        <v>0.16558441558441561</v>
      </c>
    </row>
    <row r="51" spans="1:3" x14ac:dyDescent="0.25">
      <c r="A51" s="1">
        <v>28611</v>
      </c>
      <c r="B51">
        <v>61.7</v>
      </c>
      <c r="C51" s="2">
        <f t="shared" si="0"/>
        <v>0.16693679092382507</v>
      </c>
    </row>
    <row r="52" spans="1:3" x14ac:dyDescent="0.25">
      <c r="A52" s="1">
        <v>28642</v>
      </c>
      <c r="B52">
        <v>62.6</v>
      </c>
      <c r="C52" s="2">
        <f t="shared" si="0"/>
        <v>0.17891373801916932</v>
      </c>
    </row>
    <row r="53" spans="1:3" x14ac:dyDescent="0.25">
      <c r="A53" s="1">
        <v>28672</v>
      </c>
      <c r="B53">
        <v>63.6</v>
      </c>
      <c r="C53" s="2">
        <f t="shared" si="0"/>
        <v>0.19182389937106925</v>
      </c>
    </row>
    <row r="54" spans="1:3" x14ac:dyDescent="0.25">
      <c r="A54" s="1">
        <v>28703</v>
      </c>
      <c r="B54">
        <v>63.6</v>
      </c>
      <c r="C54" s="2">
        <f t="shared" si="0"/>
        <v>0.19182389937106925</v>
      </c>
    </row>
    <row r="55" spans="1:3" x14ac:dyDescent="0.25">
      <c r="A55" s="1">
        <v>28734</v>
      </c>
      <c r="B55">
        <v>62.4</v>
      </c>
      <c r="C55" s="2">
        <f t="shared" si="0"/>
        <v>0.17628205128205132</v>
      </c>
    </row>
    <row r="56" spans="1:3" x14ac:dyDescent="0.25">
      <c r="A56" s="1">
        <v>28764</v>
      </c>
      <c r="B56">
        <v>64.8</v>
      </c>
      <c r="C56" s="2">
        <f t="shared" si="0"/>
        <v>0.20679012345679015</v>
      </c>
    </row>
    <row r="57" spans="1:3" x14ac:dyDescent="0.25">
      <c r="A57" s="1">
        <v>28795</v>
      </c>
      <c r="B57">
        <v>64.900000000000006</v>
      </c>
      <c r="C57" s="2">
        <f t="shared" si="0"/>
        <v>0.20801232665639457</v>
      </c>
    </row>
    <row r="58" spans="1:3" x14ac:dyDescent="0.25">
      <c r="A58" s="1">
        <v>28825</v>
      </c>
      <c r="B58">
        <v>64.900000000000006</v>
      </c>
      <c r="C58" s="2">
        <f t="shared" si="0"/>
        <v>0.20801232665639457</v>
      </c>
    </row>
    <row r="59" spans="1:3" x14ac:dyDescent="0.25">
      <c r="A59" s="1">
        <v>28856</v>
      </c>
      <c r="B59">
        <v>66.5</v>
      </c>
      <c r="C59" s="2">
        <f t="shared" si="0"/>
        <v>0.22706766917293231</v>
      </c>
    </row>
    <row r="60" spans="1:3" x14ac:dyDescent="0.25">
      <c r="A60" s="1">
        <v>28887</v>
      </c>
      <c r="B60">
        <v>67</v>
      </c>
      <c r="C60" s="2">
        <f t="shared" si="0"/>
        <v>0.23283582089552246</v>
      </c>
    </row>
    <row r="61" spans="1:3" x14ac:dyDescent="0.25">
      <c r="A61" s="1">
        <v>28915</v>
      </c>
      <c r="B61">
        <v>68.2</v>
      </c>
      <c r="C61" s="2">
        <f t="shared" si="0"/>
        <v>0.24633431085043989</v>
      </c>
    </row>
    <row r="62" spans="1:3" x14ac:dyDescent="0.25">
      <c r="A62" s="1">
        <v>28946</v>
      </c>
      <c r="B62">
        <v>68.400000000000006</v>
      </c>
      <c r="C62" s="2">
        <f t="shared" si="0"/>
        <v>0.2485380116959065</v>
      </c>
    </row>
    <row r="63" spans="1:3" x14ac:dyDescent="0.25">
      <c r="A63" s="1">
        <v>28976</v>
      </c>
      <c r="B63">
        <v>70.5</v>
      </c>
      <c r="C63" s="2">
        <f t="shared" si="0"/>
        <v>0.27092198581560289</v>
      </c>
    </row>
    <row r="64" spans="1:3" x14ac:dyDescent="0.25">
      <c r="A64" s="1">
        <v>29007</v>
      </c>
      <c r="B64">
        <v>72.900000000000006</v>
      </c>
      <c r="C64" s="2">
        <f t="shared" si="0"/>
        <v>0.29492455418381347</v>
      </c>
    </row>
    <row r="65" spans="1:3" x14ac:dyDescent="0.25">
      <c r="A65" s="1">
        <v>29037</v>
      </c>
      <c r="B65">
        <v>74.400000000000006</v>
      </c>
      <c r="C65" s="2">
        <f t="shared" si="0"/>
        <v>0.30913978494623662</v>
      </c>
    </row>
    <row r="66" spans="1:3" x14ac:dyDescent="0.25">
      <c r="A66" s="1">
        <v>29068</v>
      </c>
      <c r="B66">
        <v>76.2</v>
      </c>
      <c r="C66" s="2">
        <f t="shared" ref="C66:C129" si="1">1-(B$2/B66)</f>
        <v>0.32545931758530189</v>
      </c>
    </row>
    <row r="67" spans="1:3" x14ac:dyDescent="0.25">
      <c r="A67" s="1">
        <v>29099</v>
      </c>
      <c r="B67">
        <v>78</v>
      </c>
      <c r="C67" s="2">
        <f t="shared" si="1"/>
        <v>0.34102564102564104</v>
      </c>
    </row>
    <row r="68" spans="1:3" x14ac:dyDescent="0.25">
      <c r="A68" s="1">
        <v>29129</v>
      </c>
      <c r="B68">
        <v>78.900000000000006</v>
      </c>
      <c r="C68" s="2">
        <f t="shared" si="1"/>
        <v>0.34854245880861856</v>
      </c>
    </row>
    <row r="69" spans="1:3" x14ac:dyDescent="0.25">
      <c r="A69" s="1">
        <v>29160</v>
      </c>
      <c r="B69">
        <v>82.9</v>
      </c>
      <c r="C69" s="2">
        <f t="shared" si="1"/>
        <v>0.37997587454764781</v>
      </c>
    </row>
    <row r="70" spans="1:3" x14ac:dyDescent="0.25">
      <c r="A70" s="1">
        <v>29190</v>
      </c>
      <c r="B70">
        <v>83.3</v>
      </c>
      <c r="C70" s="2">
        <f t="shared" si="1"/>
        <v>0.38295318127250899</v>
      </c>
    </row>
    <row r="71" spans="1:3" x14ac:dyDescent="0.25">
      <c r="A71" s="1">
        <v>29221</v>
      </c>
      <c r="B71">
        <v>85</v>
      </c>
      <c r="C71" s="2">
        <f t="shared" si="1"/>
        <v>0.3952941176470588</v>
      </c>
    </row>
    <row r="72" spans="1:3" x14ac:dyDescent="0.25">
      <c r="A72" s="1">
        <v>29252</v>
      </c>
      <c r="B72">
        <v>88.9</v>
      </c>
      <c r="C72" s="2">
        <f t="shared" si="1"/>
        <v>0.42182227221597302</v>
      </c>
    </row>
    <row r="73" spans="1:3" x14ac:dyDescent="0.25">
      <c r="A73" s="1">
        <v>29281</v>
      </c>
      <c r="B73">
        <v>88.9</v>
      </c>
      <c r="C73" s="2">
        <f t="shared" si="1"/>
        <v>0.42182227221597302</v>
      </c>
    </row>
    <row r="74" spans="1:3" x14ac:dyDescent="0.25">
      <c r="A74" s="1">
        <v>29312</v>
      </c>
      <c r="B74">
        <v>94.1</v>
      </c>
      <c r="C74" s="2">
        <f t="shared" si="1"/>
        <v>0.45377258235919238</v>
      </c>
    </row>
    <row r="75" spans="1:3" x14ac:dyDescent="0.25">
      <c r="A75" s="1">
        <v>29342</v>
      </c>
      <c r="B75">
        <v>94.8</v>
      </c>
      <c r="C75" s="2">
        <f t="shared" si="1"/>
        <v>0.45780590717299574</v>
      </c>
    </row>
    <row r="76" spans="1:3" x14ac:dyDescent="0.25">
      <c r="A76" s="1">
        <v>29373</v>
      </c>
      <c r="B76">
        <v>96</v>
      </c>
      <c r="C76" s="2">
        <f t="shared" si="1"/>
        <v>0.46458333333333335</v>
      </c>
    </row>
    <row r="77" spans="1:3" x14ac:dyDescent="0.25">
      <c r="A77" s="1">
        <v>29403</v>
      </c>
      <c r="B77">
        <v>96.8</v>
      </c>
      <c r="C77" s="2">
        <f t="shared" si="1"/>
        <v>0.46900826446280997</v>
      </c>
    </row>
    <row r="78" spans="1:3" x14ac:dyDescent="0.25">
      <c r="A78" s="1">
        <v>29434</v>
      </c>
      <c r="B78">
        <v>98.4</v>
      </c>
      <c r="C78" s="2">
        <f t="shared" si="1"/>
        <v>0.47764227642276424</v>
      </c>
    </row>
    <row r="79" spans="1:3" x14ac:dyDescent="0.25">
      <c r="A79" s="1">
        <v>29465</v>
      </c>
      <c r="B79">
        <v>98.9</v>
      </c>
      <c r="C79" s="2">
        <f t="shared" si="1"/>
        <v>0.48028311425682513</v>
      </c>
    </row>
    <row r="80" spans="1:3" x14ac:dyDescent="0.25">
      <c r="A80" s="1">
        <v>29495</v>
      </c>
      <c r="B80">
        <v>99.4</v>
      </c>
      <c r="C80" s="2">
        <f t="shared" si="1"/>
        <v>0.48289738430583506</v>
      </c>
    </row>
    <row r="81" spans="1:3" x14ac:dyDescent="0.25">
      <c r="A81" s="1">
        <v>29526</v>
      </c>
      <c r="B81">
        <v>99.5</v>
      </c>
      <c r="C81" s="2">
        <f t="shared" si="1"/>
        <v>0.48341708542713568</v>
      </c>
    </row>
    <row r="82" spans="1:3" x14ac:dyDescent="0.25">
      <c r="A82" s="1">
        <v>29556</v>
      </c>
      <c r="B82">
        <v>100</v>
      </c>
      <c r="C82" s="2">
        <f t="shared" si="1"/>
        <v>0.48599999999999999</v>
      </c>
    </row>
    <row r="83" spans="1:3" x14ac:dyDescent="0.25">
      <c r="A83" s="1">
        <v>29587</v>
      </c>
      <c r="B83">
        <v>100.4</v>
      </c>
      <c r="C83" s="2">
        <f t="shared" si="1"/>
        <v>0.48804780876494025</v>
      </c>
    </row>
    <row r="84" spans="1:3" x14ac:dyDescent="0.25">
      <c r="A84" s="1">
        <v>29618</v>
      </c>
      <c r="B84">
        <v>101.6</v>
      </c>
      <c r="C84" s="2">
        <f t="shared" si="1"/>
        <v>0.49409448818897639</v>
      </c>
    </row>
    <row r="85" spans="1:3" x14ac:dyDescent="0.25">
      <c r="A85" s="1">
        <v>29646</v>
      </c>
      <c r="B85">
        <v>103</v>
      </c>
      <c r="C85" s="2">
        <f t="shared" si="1"/>
        <v>0.50097087378640781</v>
      </c>
    </row>
    <row r="86" spans="1:3" x14ac:dyDescent="0.25">
      <c r="A86" s="1">
        <v>29677</v>
      </c>
      <c r="B86">
        <v>103.6</v>
      </c>
      <c r="C86" s="2">
        <f t="shared" si="1"/>
        <v>0.50386100386100385</v>
      </c>
    </row>
    <row r="87" spans="1:3" x14ac:dyDescent="0.25">
      <c r="A87" s="1">
        <v>29707</v>
      </c>
      <c r="B87">
        <v>105.3</v>
      </c>
      <c r="C87" s="2">
        <f t="shared" si="1"/>
        <v>0.51187084520417847</v>
      </c>
    </row>
    <row r="88" spans="1:3" x14ac:dyDescent="0.25">
      <c r="A88" s="1">
        <v>29738</v>
      </c>
      <c r="B88">
        <v>105.2</v>
      </c>
      <c r="C88" s="2">
        <f t="shared" si="1"/>
        <v>0.51140684410646386</v>
      </c>
    </row>
    <row r="89" spans="1:3" x14ac:dyDescent="0.25">
      <c r="A89" s="1">
        <v>29768</v>
      </c>
      <c r="B89">
        <v>105.5</v>
      </c>
      <c r="C89" s="2">
        <f t="shared" si="1"/>
        <v>0.51279620853080576</v>
      </c>
    </row>
    <row r="90" spans="1:3" x14ac:dyDescent="0.25">
      <c r="A90" s="1">
        <v>29799</v>
      </c>
      <c r="B90">
        <v>105.7</v>
      </c>
      <c r="C90" s="2">
        <f t="shared" si="1"/>
        <v>0.51371807000946079</v>
      </c>
    </row>
    <row r="91" spans="1:3" x14ac:dyDescent="0.25">
      <c r="A91" s="1">
        <v>29830</v>
      </c>
      <c r="B91">
        <v>105.8</v>
      </c>
      <c r="C91" s="2">
        <f t="shared" si="1"/>
        <v>0.51417769376181477</v>
      </c>
    </row>
    <row r="92" spans="1:3" x14ac:dyDescent="0.25">
      <c r="A92" s="1">
        <v>29860</v>
      </c>
      <c r="B92">
        <v>106</v>
      </c>
      <c r="C92" s="2">
        <f t="shared" si="1"/>
        <v>0.51509433962264151</v>
      </c>
    </row>
    <row r="93" spans="1:3" x14ac:dyDescent="0.25">
      <c r="A93" s="1">
        <v>29891</v>
      </c>
      <c r="B93">
        <v>106</v>
      </c>
      <c r="C93" s="2">
        <f t="shared" si="1"/>
        <v>0.51509433962264151</v>
      </c>
    </row>
    <row r="94" spans="1:3" x14ac:dyDescent="0.25">
      <c r="A94" s="1">
        <v>29921</v>
      </c>
      <c r="B94">
        <v>105.9</v>
      </c>
      <c r="C94" s="2">
        <f t="shared" si="1"/>
        <v>0.51463644948064213</v>
      </c>
    </row>
    <row r="95" spans="1:3" x14ac:dyDescent="0.25">
      <c r="A95" s="1">
        <v>29952</v>
      </c>
      <c r="B95">
        <v>106.1</v>
      </c>
      <c r="C95" s="2">
        <f t="shared" si="1"/>
        <v>0.51555136663524981</v>
      </c>
    </row>
    <row r="96" spans="1:3" x14ac:dyDescent="0.25">
      <c r="A96" s="1">
        <v>29983</v>
      </c>
      <c r="B96">
        <v>106</v>
      </c>
      <c r="C96" s="2">
        <f t="shared" si="1"/>
        <v>0.51509433962264151</v>
      </c>
    </row>
    <row r="97" spans="1:3" x14ac:dyDescent="0.25">
      <c r="A97" s="1">
        <v>30011</v>
      </c>
      <c r="B97">
        <v>106.2</v>
      </c>
      <c r="C97" s="2">
        <f t="shared" si="1"/>
        <v>0.51600753295668556</v>
      </c>
    </row>
    <row r="98" spans="1:3" x14ac:dyDescent="0.25">
      <c r="A98" s="1">
        <v>30042</v>
      </c>
      <c r="B98">
        <v>106.3</v>
      </c>
      <c r="C98" s="2">
        <f t="shared" si="1"/>
        <v>0.51646284101599249</v>
      </c>
    </row>
    <row r="99" spans="1:3" x14ac:dyDescent="0.25">
      <c r="A99" s="1">
        <v>30072</v>
      </c>
      <c r="B99">
        <v>107</v>
      </c>
      <c r="C99" s="2">
        <f t="shared" si="1"/>
        <v>0.51962616822429908</v>
      </c>
    </row>
    <row r="100" spans="1:3" x14ac:dyDescent="0.25">
      <c r="A100" s="1">
        <v>30103</v>
      </c>
      <c r="B100">
        <v>107</v>
      </c>
      <c r="C100" s="2">
        <f t="shared" si="1"/>
        <v>0.51962616822429908</v>
      </c>
    </row>
    <row r="101" spans="1:3" x14ac:dyDescent="0.25">
      <c r="A101" s="1">
        <v>30133</v>
      </c>
      <c r="B101">
        <v>106.6</v>
      </c>
      <c r="C101" s="2">
        <f t="shared" si="1"/>
        <v>0.51782363977485923</v>
      </c>
    </row>
    <row r="102" spans="1:3" x14ac:dyDescent="0.25">
      <c r="A102" s="1">
        <v>30164</v>
      </c>
      <c r="B102">
        <v>106.6</v>
      </c>
      <c r="C102" s="2">
        <f t="shared" si="1"/>
        <v>0.51782363977485923</v>
      </c>
    </row>
    <row r="103" spans="1:3" x14ac:dyDescent="0.25">
      <c r="A103" s="1">
        <v>30195</v>
      </c>
      <c r="B103">
        <v>106.7</v>
      </c>
      <c r="C103" s="2">
        <f t="shared" si="1"/>
        <v>0.51827553889409561</v>
      </c>
    </row>
    <row r="104" spans="1:3" x14ac:dyDescent="0.25">
      <c r="A104" s="1">
        <v>30225</v>
      </c>
      <c r="B104">
        <v>106.5</v>
      </c>
      <c r="C104" s="2">
        <f t="shared" si="1"/>
        <v>0.51737089201877939</v>
      </c>
    </row>
    <row r="105" spans="1:3" x14ac:dyDescent="0.25">
      <c r="A105" s="1">
        <v>30256</v>
      </c>
      <c r="B105">
        <v>106.4</v>
      </c>
      <c r="C105" s="2">
        <f t="shared" si="1"/>
        <v>0.51691729323308278</v>
      </c>
    </row>
    <row r="106" spans="1:3" x14ac:dyDescent="0.25">
      <c r="A106" s="1">
        <v>30286</v>
      </c>
      <c r="B106">
        <v>106.3</v>
      </c>
      <c r="C106" s="2">
        <f t="shared" si="1"/>
        <v>0.51646284101599249</v>
      </c>
    </row>
    <row r="107" spans="1:3" x14ac:dyDescent="0.25">
      <c r="A107" s="1">
        <v>30317</v>
      </c>
      <c r="B107">
        <v>106.4</v>
      </c>
      <c r="C107" s="2">
        <f t="shared" si="1"/>
        <v>0.51691729323308278</v>
      </c>
    </row>
    <row r="108" spans="1:3" x14ac:dyDescent="0.25">
      <c r="A108" s="1">
        <v>30348</v>
      </c>
      <c r="B108">
        <v>106.7</v>
      </c>
      <c r="C108" s="2">
        <f t="shared" si="1"/>
        <v>0.51827553889409561</v>
      </c>
    </row>
    <row r="109" spans="1:3" x14ac:dyDescent="0.25">
      <c r="A109" s="1">
        <v>30376</v>
      </c>
      <c r="B109">
        <v>106.6</v>
      </c>
      <c r="C109" s="2">
        <f t="shared" si="1"/>
        <v>0.51782363977485923</v>
      </c>
    </row>
    <row r="110" spans="1:3" x14ac:dyDescent="0.25">
      <c r="A110" s="1">
        <v>30407</v>
      </c>
      <c r="B110">
        <v>106.6</v>
      </c>
      <c r="C110" s="2">
        <f t="shared" si="1"/>
        <v>0.51782363977485923</v>
      </c>
    </row>
    <row r="111" spans="1:3" x14ac:dyDescent="0.25">
      <c r="A111" s="1">
        <v>30437</v>
      </c>
      <c r="B111">
        <v>106.2</v>
      </c>
      <c r="C111" s="2">
        <f t="shared" si="1"/>
        <v>0.51600753295668556</v>
      </c>
    </row>
    <row r="112" spans="1:3" x14ac:dyDescent="0.25">
      <c r="A112" s="1">
        <v>30468</v>
      </c>
      <c r="B112">
        <v>105</v>
      </c>
      <c r="C112" s="2">
        <f t="shared" si="1"/>
        <v>0.51047619047619053</v>
      </c>
    </row>
    <row r="113" spans="1:3" x14ac:dyDescent="0.25">
      <c r="A113" s="1">
        <v>30498</v>
      </c>
      <c r="B113">
        <v>105.2</v>
      </c>
      <c r="C113" s="2">
        <f t="shared" si="1"/>
        <v>0.51140684410646386</v>
      </c>
    </row>
    <row r="114" spans="1:3" x14ac:dyDescent="0.25">
      <c r="A114" s="1">
        <v>30529</v>
      </c>
      <c r="B114">
        <v>105.1</v>
      </c>
      <c r="C114" s="2">
        <f t="shared" si="1"/>
        <v>0.51094196003805892</v>
      </c>
    </row>
    <row r="115" spans="1:3" x14ac:dyDescent="0.25">
      <c r="A115" s="1">
        <v>30560</v>
      </c>
      <c r="B115">
        <v>105.2</v>
      </c>
      <c r="C115" s="2">
        <f t="shared" si="1"/>
        <v>0.51140684410646386</v>
      </c>
    </row>
    <row r="116" spans="1:3" x14ac:dyDescent="0.25">
      <c r="A116" s="1">
        <v>30590</v>
      </c>
      <c r="B116">
        <v>107.7</v>
      </c>
      <c r="C116" s="2">
        <f t="shared" si="1"/>
        <v>0.52274837511606309</v>
      </c>
    </row>
    <row r="117" spans="1:3" x14ac:dyDescent="0.25">
      <c r="A117" s="1">
        <v>30621</v>
      </c>
      <c r="B117">
        <v>111.8</v>
      </c>
      <c r="C117" s="2">
        <f t="shared" si="1"/>
        <v>0.5402504472271914</v>
      </c>
    </row>
    <row r="118" spans="1:3" x14ac:dyDescent="0.25">
      <c r="A118" s="1">
        <v>30651</v>
      </c>
      <c r="B118">
        <v>112.2</v>
      </c>
      <c r="C118" s="2">
        <f t="shared" si="1"/>
        <v>0.54188948306595375</v>
      </c>
    </row>
    <row r="119" spans="1:3" x14ac:dyDescent="0.25">
      <c r="A119" s="1">
        <v>30682</v>
      </c>
      <c r="B119">
        <v>113.5</v>
      </c>
      <c r="C119" s="2">
        <f t="shared" si="1"/>
        <v>0.54713656387665199</v>
      </c>
    </row>
    <row r="120" spans="1:3" x14ac:dyDescent="0.25">
      <c r="A120" s="1">
        <v>30713</v>
      </c>
      <c r="B120">
        <v>112.7</v>
      </c>
      <c r="C120" s="2">
        <f t="shared" si="1"/>
        <v>0.54392191659272404</v>
      </c>
    </row>
    <row r="121" spans="1:3" x14ac:dyDescent="0.25">
      <c r="A121" s="1">
        <v>30742</v>
      </c>
      <c r="B121">
        <v>113.3</v>
      </c>
      <c r="C121" s="2">
        <f t="shared" si="1"/>
        <v>0.54633715798764348</v>
      </c>
    </row>
    <row r="122" spans="1:3" x14ac:dyDescent="0.25">
      <c r="A122" s="1">
        <v>30773</v>
      </c>
      <c r="B122">
        <v>113.6</v>
      </c>
      <c r="C122" s="2">
        <f t="shared" si="1"/>
        <v>0.54753521126760563</v>
      </c>
    </row>
    <row r="123" spans="1:3" x14ac:dyDescent="0.25">
      <c r="A123" s="1">
        <v>30803</v>
      </c>
      <c r="B123">
        <v>113.5</v>
      </c>
      <c r="C123" s="2">
        <f t="shared" si="1"/>
        <v>0.54713656387665199</v>
      </c>
    </row>
    <row r="124" spans="1:3" x14ac:dyDescent="0.25">
      <c r="A124" s="1">
        <v>30834</v>
      </c>
      <c r="B124">
        <v>113.6</v>
      </c>
      <c r="C124" s="2">
        <f t="shared" si="1"/>
        <v>0.54753521126760563</v>
      </c>
    </row>
    <row r="125" spans="1:3" x14ac:dyDescent="0.25">
      <c r="A125" s="1">
        <v>30864</v>
      </c>
      <c r="B125">
        <v>113.5</v>
      </c>
      <c r="C125" s="2">
        <f t="shared" si="1"/>
        <v>0.54713656387665199</v>
      </c>
    </row>
    <row r="126" spans="1:3" x14ac:dyDescent="0.25">
      <c r="A126" s="1">
        <v>30895</v>
      </c>
      <c r="B126">
        <v>113.3</v>
      </c>
      <c r="C126" s="2">
        <f t="shared" si="1"/>
        <v>0.54633715798764348</v>
      </c>
    </row>
    <row r="127" spans="1:3" x14ac:dyDescent="0.25">
      <c r="A127" s="1">
        <v>30926</v>
      </c>
      <c r="B127">
        <v>113.4</v>
      </c>
      <c r="C127" s="2">
        <f t="shared" si="1"/>
        <v>0.54673721340388015</v>
      </c>
    </row>
    <row r="128" spans="1:3" x14ac:dyDescent="0.25">
      <c r="A128" s="1">
        <v>30956</v>
      </c>
      <c r="B128">
        <v>113.5</v>
      </c>
      <c r="C128" s="2">
        <f t="shared" si="1"/>
        <v>0.54713656387665199</v>
      </c>
    </row>
    <row r="129" spans="1:3" x14ac:dyDescent="0.25">
      <c r="A129" s="1">
        <v>30987</v>
      </c>
      <c r="B129">
        <v>113.6</v>
      </c>
      <c r="C129" s="2">
        <f t="shared" si="1"/>
        <v>0.54753521126760563</v>
      </c>
    </row>
    <row r="130" spans="1:3" x14ac:dyDescent="0.25">
      <c r="A130" s="1">
        <v>31017</v>
      </c>
      <c r="B130">
        <v>113.6</v>
      </c>
      <c r="C130" s="2">
        <f t="shared" ref="C130:C193" si="2">1-(B$2/B130)</f>
        <v>0.54753521126760563</v>
      </c>
    </row>
    <row r="131" spans="1:3" x14ac:dyDescent="0.25">
      <c r="A131" s="1">
        <v>31048</v>
      </c>
      <c r="B131">
        <v>114.3</v>
      </c>
      <c r="C131" s="2">
        <f t="shared" si="2"/>
        <v>0.55030621172353456</v>
      </c>
    </row>
    <row r="132" spans="1:3" x14ac:dyDescent="0.25">
      <c r="A132" s="1">
        <v>31079</v>
      </c>
      <c r="B132">
        <v>113.8</v>
      </c>
      <c r="C132" s="2">
        <f t="shared" si="2"/>
        <v>0.54833040421792623</v>
      </c>
    </row>
    <row r="133" spans="1:3" x14ac:dyDescent="0.25">
      <c r="A133" s="1">
        <v>31107</v>
      </c>
      <c r="B133">
        <v>113.8</v>
      </c>
      <c r="C133" s="2">
        <f t="shared" si="2"/>
        <v>0.54833040421792623</v>
      </c>
    </row>
    <row r="134" spans="1:3" x14ac:dyDescent="0.25">
      <c r="A134" s="1">
        <v>31138</v>
      </c>
      <c r="B134">
        <v>114.3</v>
      </c>
      <c r="C134" s="2">
        <f t="shared" si="2"/>
        <v>0.55030621172353456</v>
      </c>
    </row>
    <row r="135" spans="1:3" x14ac:dyDescent="0.25">
      <c r="A135" s="1">
        <v>31168</v>
      </c>
      <c r="B135">
        <v>114.7</v>
      </c>
      <c r="C135" s="2">
        <f t="shared" si="2"/>
        <v>0.55187445510026156</v>
      </c>
    </row>
    <row r="136" spans="1:3" x14ac:dyDescent="0.25">
      <c r="A136" s="1">
        <v>31199</v>
      </c>
      <c r="B136">
        <v>114.8</v>
      </c>
      <c r="C136" s="2">
        <f t="shared" si="2"/>
        <v>0.55226480836236935</v>
      </c>
    </row>
    <row r="137" spans="1:3" x14ac:dyDescent="0.25">
      <c r="A137" s="1">
        <v>31229</v>
      </c>
      <c r="B137">
        <v>114.5</v>
      </c>
      <c r="C137" s="2">
        <f t="shared" si="2"/>
        <v>0.55109170305676858</v>
      </c>
    </row>
    <row r="138" spans="1:3" x14ac:dyDescent="0.25">
      <c r="A138" s="1">
        <v>31260</v>
      </c>
      <c r="B138">
        <v>114.5</v>
      </c>
      <c r="C138" s="2">
        <f t="shared" si="2"/>
        <v>0.55109170305676858</v>
      </c>
    </row>
    <row r="139" spans="1:3" x14ac:dyDescent="0.25">
      <c r="A139" s="1">
        <v>31291</v>
      </c>
      <c r="B139">
        <v>114.3</v>
      </c>
      <c r="C139" s="2">
        <f t="shared" si="2"/>
        <v>0.55030621172353456</v>
      </c>
    </row>
    <row r="140" spans="1:3" x14ac:dyDescent="0.25">
      <c r="A140" s="1">
        <v>31321</v>
      </c>
      <c r="B140">
        <v>114.3</v>
      </c>
      <c r="C140" s="2">
        <f t="shared" si="2"/>
        <v>0.55030621172353456</v>
      </c>
    </row>
    <row r="141" spans="1:3" x14ac:dyDescent="0.25">
      <c r="A141" s="1">
        <v>31352</v>
      </c>
      <c r="B141">
        <v>113.9</v>
      </c>
      <c r="C141" s="2">
        <f t="shared" si="2"/>
        <v>0.54872695346795441</v>
      </c>
    </row>
    <row r="142" spans="1:3" x14ac:dyDescent="0.25">
      <c r="A142" s="1">
        <v>31382</v>
      </c>
      <c r="B142">
        <v>113.9</v>
      </c>
      <c r="C142" s="2">
        <f t="shared" si="2"/>
        <v>0.54872695346795441</v>
      </c>
    </row>
    <row r="143" spans="1:3" x14ac:dyDescent="0.25">
      <c r="A143" s="1">
        <v>31413</v>
      </c>
      <c r="B143">
        <v>114</v>
      </c>
      <c r="C143" s="2">
        <f t="shared" si="2"/>
        <v>0.54912280701754379</v>
      </c>
    </row>
    <row r="144" spans="1:3" x14ac:dyDescent="0.25">
      <c r="A144" s="1">
        <v>31444</v>
      </c>
      <c r="B144">
        <v>113.9</v>
      </c>
      <c r="C144" s="2">
        <f t="shared" si="2"/>
        <v>0.54872695346795441</v>
      </c>
    </row>
    <row r="145" spans="1:3" x14ac:dyDescent="0.25">
      <c r="A145" s="1">
        <v>31472</v>
      </c>
      <c r="B145">
        <v>114</v>
      </c>
      <c r="C145" s="2">
        <f t="shared" si="2"/>
        <v>0.54912280701754379</v>
      </c>
    </row>
    <row r="146" spans="1:3" x14ac:dyDescent="0.25">
      <c r="A146" s="1">
        <v>31503</v>
      </c>
      <c r="B146">
        <v>113.5</v>
      </c>
      <c r="C146" s="2">
        <f t="shared" si="2"/>
        <v>0.54713656387665199</v>
      </c>
    </row>
    <row r="147" spans="1:3" x14ac:dyDescent="0.25">
      <c r="A147" s="1">
        <v>31533</v>
      </c>
      <c r="B147">
        <v>113</v>
      </c>
      <c r="C147" s="2">
        <f t="shared" si="2"/>
        <v>0.54513274336283191</v>
      </c>
    </row>
    <row r="148" spans="1:3" x14ac:dyDescent="0.25">
      <c r="A148" s="1">
        <v>31564</v>
      </c>
      <c r="B148">
        <v>112.8</v>
      </c>
      <c r="C148" s="2">
        <f t="shared" si="2"/>
        <v>0.54432624113475181</v>
      </c>
    </row>
    <row r="149" spans="1:3" x14ac:dyDescent="0.25">
      <c r="A149" s="1">
        <v>31594</v>
      </c>
      <c r="B149">
        <v>112.5</v>
      </c>
      <c r="C149" s="2">
        <f t="shared" si="2"/>
        <v>0.5431111111111111</v>
      </c>
    </row>
    <row r="150" spans="1:3" x14ac:dyDescent="0.25">
      <c r="A150" s="1">
        <v>31625</v>
      </c>
      <c r="B150">
        <v>112.4</v>
      </c>
      <c r="C150" s="2">
        <f t="shared" si="2"/>
        <v>0.54270462633451966</v>
      </c>
    </row>
    <row r="151" spans="1:3" x14ac:dyDescent="0.25">
      <c r="A151" s="1">
        <v>31656</v>
      </c>
      <c r="B151">
        <v>112.4</v>
      </c>
      <c r="C151" s="2">
        <f t="shared" si="2"/>
        <v>0.54270462633451966</v>
      </c>
    </row>
    <row r="152" spans="1:3" x14ac:dyDescent="0.25">
      <c r="A152" s="1">
        <v>31686</v>
      </c>
      <c r="B152">
        <v>112.3</v>
      </c>
      <c r="C152" s="2">
        <f t="shared" si="2"/>
        <v>0.54229741763134465</v>
      </c>
    </row>
    <row r="153" spans="1:3" x14ac:dyDescent="0.25">
      <c r="A153" s="1">
        <v>31717</v>
      </c>
      <c r="B153">
        <v>112.2</v>
      </c>
      <c r="C153" s="2">
        <f t="shared" si="2"/>
        <v>0.54188948306595375</v>
      </c>
    </row>
    <row r="154" spans="1:3" x14ac:dyDescent="0.25">
      <c r="A154" s="1">
        <v>31747</v>
      </c>
      <c r="B154">
        <v>112.1</v>
      </c>
      <c r="C154" s="2">
        <f t="shared" si="2"/>
        <v>0.54148082069580727</v>
      </c>
    </row>
    <row r="155" spans="1:3" x14ac:dyDescent="0.25">
      <c r="A155" s="1">
        <v>31778</v>
      </c>
      <c r="B155">
        <v>112.3</v>
      </c>
      <c r="C155" s="2">
        <f t="shared" si="2"/>
        <v>0.54229741763134465</v>
      </c>
    </row>
    <row r="156" spans="1:3" x14ac:dyDescent="0.25">
      <c r="A156" s="1">
        <v>31809</v>
      </c>
      <c r="B156">
        <v>112</v>
      </c>
      <c r="C156" s="2">
        <f t="shared" si="2"/>
        <v>0.54107142857142865</v>
      </c>
    </row>
    <row r="157" spans="1:3" x14ac:dyDescent="0.25">
      <c r="A157" s="1">
        <v>31837</v>
      </c>
      <c r="B157">
        <v>111.9</v>
      </c>
      <c r="C157" s="2">
        <f t="shared" si="2"/>
        <v>0.54066130473637175</v>
      </c>
    </row>
    <row r="158" spans="1:3" x14ac:dyDescent="0.25">
      <c r="A158" s="1">
        <v>31868</v>
      </c>
      <c r="B158">
        <v>111.6</v>
      </c>
      <c r="C158" s="2">
        <f t="shared" si="2"/>
        <v>0.53942652329749108</v>
      </c>
    </row>
    <row r="159" spans="1:3" x14ac:dyDescent="0.25">
      <c r="A159" s="1">
        <v>31898</v>
      </c>
      <c r="B159">
        <v>111.4</v>
      </c>
      <c r="C159" s="2">
        <f t="shared" si="2"/>
        <v>0.53859964093357271</v>
      </c>
    </row>
    <row r="160" spans="1:3" x14ac:dyDescent="0.25">
      <c r="A160" s="1">
        <v>31929</v>
      </c>
      <c r="B160">
        <v>110.4</v>
      </c>
      <c r="C160" s="2">
        <f t="shared" si="2"/>
        <v>0.53442028985507251</v>
      </c>
    </row>
    <row r="161" spans="1:3" x14ac:dyDescent="0.25">
      <c r="A161" s="1">
        <v>31959</v>
      </c>
      <c r="B161">
        <v>109.5</v>
      </c>
      <c r="C161" s="2">
        <f t="shared" si="2"/>
        <v>0.53059360730593608</v>
      </c>
    </row>
    <row r="162" spans="1:3" x14ac:dyDescent="0.25">
      <c r="A162" s="1">
        <v>31990</v>
      </c>
      <c r="B162">
        <v>109.5</v>
      </c>
      <c r="C162" s="2">
        <f t="shared" si="2"/>
        <v>0.53059360730593608</v>
      </c>
    </row>
    <row r="163" spans="1:3" x14ac:dyDescent="0.25">
      <c r="A163" s="1">
        <v>32021</v>
      </c>
      <c r="B163">
        <v>109.8</v>
      </c>
      <c r="C163" s="2">
        <f t="shared" si="2"/>
        <v>0.53187613843351556</v>
      </c>
    </row>
    <row r="164" spans="1:3" x14ac:dyDescent="0.25">
      <c r="A164" s="1">
        <v>32051</v>
      </c>
      <c r="B164">
        <v>111</v>
      </c>
      <c r="C164" s="2">
        <f t="shared" si="2"/>
        <v>0.536936936936937</v>
      </c>
    </row>
    <row r="165" spans="1:3" x14ac:dyDescent="0.25">
      <c r="A165" s="1">
        <v>32082</v>
      </c>
      <c r="B165">
        <v>112.8</v>
      </c>
      <c r="C165" s="2">
        <f t="shared" si="2"/>
        <v>0.54432624113475181</v>
      </c>
    </row>
    <row r="166" spans="1:3" x14ac:dyDescent="0.25">
      <c r="A166" s="1">
        <v>32112</v>
      </c>
      <c r="B166">
        <v>112.6</v>
      </c>
      <c r="C166" s="2">
        <f t="shared" si="2"/>
        <v>0.54351687388987568</v>
      </c>
    </row>
    <row r="167" spans="1:3" x14ac:dyDescent="0.25">
      <c r="A167" s="1">
        <v>32143</v>
      </c>
      <c r="B167">
        <v>114.5</v>
      </c>
      <c r="C167" s="2">
        <f t="shared" si="2"/>
        <v>0.55109170305676858</v>
      </c>
    </row>
    <row r="168" spans="1:3" x14ac:dyDescent="0.25">
      <c r="A168" s="1">
        <v>32174</v>
      </c>
      <c r="B168">
        <v>114.7</v>
      </c>
      <c r="C168" s="2">
        <f t="shared" si="2"/>
        <v>0.55187445510026156</v>
      </c>
    </row>
    <row r="169" spans="1:3" x14ac:dyDescent="0.25">
      <c r="A169" s="1">
        <v>32203</v>
      </c>
      <c r="B169">
        <v>116.6</v>
      </c>
      <c r="C169" s="2">
        <f t="shared" si="2"/>
        <v>0.55917667238421953</v>
      </c>
    </row>
    <row r="170" spans="1:3" x14ac:dyDescent="0.25">
      <c r="A170" s="1">
        <v>32234</v>
      </c>
      <c r="B170">
        <v>118.2</v>
      </c>
      <c r="C170" s="2">
        <f t="shared" si="2"/>
        <v>0.56514382402707275</v>
      </c>
    </row>
    <row r="171" spans="1:3" x14ac:dyDescent="0.25">
      <c r="A171" s="1">
        <v>32264</v>
      </c>
      <c r="B171">
        <v>119.4</v>
      </c>
      <c r="C171" s="2">
        <f t="shared" si="2"/>
        <v>0.56951423785594635</v>
      </c>
    </row>
    <row r="172" spans="1:3" x14ac:dyDescent="0.25">
      <c r="A172" s="1">
        <v>32295</v>
      </c>
      <c r="B172">
        <v>122.9</v>
      </c>
      <c r="C172" s="2">
        <f t="shared" si="2"/>
        <v>0.58177379983726607</v>
      </c>
    </row>
    <row r="173" spans="1:3" x14ac:dyDescent="0.25">
      <c r="A173" s="1">
        <v>32325</v>
      </c>
      <c r="B173">
        <v>122.2</v>
      </c>
      <c r="C173" s="2">
        <f t="shared" si="2"/>
        <v>0.57937806873977094</v>
      </c>
    </row>
    <row r="174" spans="1:3" x14ac:dyDescent="0.25">
      <c r="A174" s="1">
        <v>32356</v>
      </c>
      <c r="B174">
        <v>123.4</v>
      </c>
      <c r="C174" s="2">
        <f t="shared" si="2"/>
        <v>0.58346839546191254</v>
      </c>
    </row>
    <row r="175" spans="1:3" x14ac:dyDescent="0.25">
      <c r="A175" s="1">
        <v>32387</v>
      </c>
      <c r="B175">
        <v>123.6</v>
      </c>
      <c r="C175" s="2">
        <f t="shared" si="2"/>
        <v>0.58414239482200647</v>
      </c>
    </row>
    <row r="176" spans="1:3" x14ac:dyDescent="0.25">
      <c r="A176" s="1">
        <v>32417</v>
      </c>
      <c r="B176">
        <v>123.4</v>
      </c>
      <c r="C176" s="2">
        <f t="shared" si="2"/>
        <v>0.58346839546191254</v>
      </c>
    </row>
    <row r="177" spans="1:3" x14ac:dyDescent="0.25">
      <c r="A177" s="1">
        <v>32448</v>
      </c>
      <c r="B177">
        <v>123.8</v>
      </c>
      <c r="C177" s="2">
        <f t="shared" si="2"/>
        <v>0.58481421647819065</v>
      </c>
    </row>
    <row r="178" spans="1:3" x14ac:dyDescent="0.25">
      <c r="A178" s="1">
        <v>32478</v>
      </c>
      <c r="B178">
        <v>123.1</v>
      </c>
      <c r="C178" s="2">
        <f t="shared" si="2"/>
        <v>0.5824532900081234</v>
      </c>
    </row>
    <row r="179" spans="1:3" x14ac:dyDescent="0.25">
      <c r="A179" s="1">
        <v>32509</v>
      </c>
      <c r="B179">
        <v>123.7</v>
      </c>
      <c r="C179" s="2">
        <f t="shared" si="2"/>
        <v>0.5844785772029103</v>
      </c>
    </row>
    <row r="180" spans="1:3" x14ac:dyDescent="0.25">
      <c r="A180" s="1">
        <v>32540</v>
      </c>
      <c r="B180">
        <v>123.5</v>
      </c>
      <c r="C180" s="2">
        <f t="shared" si="2"/>
        <v>0.58380566801619427</v>
      </c>
    </row>
    <row r="181" spans="1:3" x14ac:dyDescent="0.25">
      <c r="A181" s="1">
        <v>32568</v>
      </c>
      <c r="B181">
        <v>123.8</v>
      </c>
      <c r="C181" s="2">
        <f t="shared" si="2"/>
        <v>0.58481421647819065</v>
      </c>
    </row>
    <row r="182" spans="1:3" x14ac:dyDescent="0.25">
      <c r="A182" s="1">
        <v>32599</v>
      </c>
      <c r="B182">
        <v>124.6</v>
      </c>
      <c r="C182" s="2">
        <f t="shared" si="2"/>
        <v>0.58747993579454261</v>
      </c>
    </row>
    <row r="183" spans="1:3" x14ac:dyDescent="0.25">
      <c r="A183" s="1">
        <v>32629</v>
      </c>
      <c r="B183">
        <v>126</v>
      </c>
      <c r="C183" s="2">
        <f t="shared" si="2"/>
        <v>0.59206349206349207</v>
      </c>
    </row>
    <row r="184" spans="1:3" x14ac:dyDescent="0.25">
      <c r="A184" s="1">
        <v>32660</v>
      </c>
      <c r="B184">
        <v>126.9</v>
      </c>
      <c r="C184" s="2">
        <f t="shared" si="2"/>
        <v>0.5949566587864461</v>
      </c>
    </row>
    <row r="185" spans="1:3" x14ac:dyDescent="0.25">
      <c r="A185" s="1">
        <v>32690</v>
      </c>
      <c r="B185">
        <v>127.2</v>
      </c>
      <c r="C185" s="2">
        <f t="shared" si="2"/>
        <v>0.59591194968553463</v>
      </c>
    </row>
    <row r="186" spans="1:3" x14ac:dyDescent="0.25">
      <c r="A186" s="1">
        <v>32721</v>
      </c>
      <c r="B186">
        <v>127.3</v>
      </c>
      <c r="C186" s="2">
        <f t="shared" si="2"/>
        <v>0.59622937941869592</v>
      </c>
    </row>
    <row r="187" spans="1:3" x14ac:dyDescent="0.25">
      <c r="A187" s="1">
        <v>32752</v>
      </c>
      <c r="B187">
        <v>127.9</v>
      </c>
      <c r="C187" s="2">
        <f t="shared" si="2"/>
        <v>0.59812353401094609</v>
      </c>
    </row>
    <row r="188" spans="1:3" x14ac:dyDescent="0.25">
      <c r="A188" s="1">
        <v>32782</v>
      </c>
      <c r="B188">
        <v>128.1</v>
      </c>
      <c r="C188" s="2">
        <f t="shared" si="2"/>
        <v>0.59875097580015613</v>
      </c>
    </row>
    <row r="189" spans="1:3" x14ac:dyDescent="0.25">
      <c r="A189" s="1">
        <v>32813</v>
      </c>
      <c r="B189">
        <v>128.5</v>
      </c>
      <c r="C189" s="2">
        <f t="shared" si="2"/>
        <v>0.60000000000000009</v>
      </c>
    </row>
    <row r="190" spans="1:3" x14ac:dyDescent="0.25">
      <c r="A190" s="1">
        <v>32843</v>
      </c>
      <c r="B190">
        <v>128.80000000000001</v>
      </c>
      <c r="C190" s="2">
        <f t="shared" si="2"/>
        <v>0.60093167701863359</v>
      </c>
    </row>
    <row r="191" spans="1:3" x14ac:dyDescent="0.25">
      <c r="A191" s="1">
        <v>32874</v>
      </c>
      <c r="B191">
        <v>129</v>
      </c>
      <c r="C191" s="2">
        <f t="shared" si="2"/>
        <v>0.60155038759689927</v>
      </c>
    </row>
    <row r="192" spans="1:3" x14ac:dyDescent="0.25">
      <c r="A192" s="1">
        <v>32905</v>
      </c>
      <c r="B192">
        <v>129</v>
      </c>
      <c r="C192" s="2">
        <f t="shared" si="2"/>
        <v>0.60155038759689927</v>
      </c>
    </row>
    <row r="193" spans="1:3" x14ac:dyDescent="0.25">
      <c r="A193" s="1">
        <v>32933</v>
      </c>
      <c r="B193">
        <v>130.6</v>
      </c>
      <c r="C193" s="2">
        <f t="shared" si="2"/>
        <v>0.60643185298621738</v>
      </c>
    </row>
    <row r="194" spans="1:3" x14ac:dyDescent="0.25">
      <c r="A194" s="1">
        <v>32964</v>
      </c>
      <c r="B194">
        <v>131.4</v>
      </c>
      <c r="C194" s="2">
        <f t="shared" ref="C194:C257" si="3">1-(B$2/B194)</f>
        <v>0.60882800608828003</v>
      </c>
    </row>
    <row r="195" spans="1:3" x14ac:dyDescent="0.25">
      <c r="A195" s="1">
        <v>32994</v>
      </c>
      <c r="B195">
        <v>131.30000000000001</v>
      </c>
      <c r="C195" s="2">
        <f t="shared" si="3"/>
        <v>0.60853008377760864</v>
      </c>
    </row>
    <row r="196" spans="1:3" x14ac:dyDescent="0.25">
      <c r="A196" s="1">
        <v>33025</v>
      </c>
      <c r="B196">
        <v>132.30000000000001</v>
      </c>
      <c r="C196" s="2">
        <f t="shared" si="3"/>
        <v>0.61148904006046867</v>
      </c>
    </row>
    <row r="197" spans="1:3" x14ac:dyDescent="0.25">
      <c r="A197" s="1">
        <v>33055</v>
      </c>
      <c r="B197">
        <v>132.4</v>
      </c>
      <c r="C197" s="2">
        <f t="shared" si="3"/>
        <v>0.6117824773413898</v>
      </c>
    </row>
    <row r="198" spans="1:3" x14ac:dyDescent="0.25">
      <c r="A198" s="1">
        <v>33086</v>
      </c>
      <c r="B198">
        <v>134.9</v>
      </c>
      <c r="C198" s="2">
        <f t="shared" si="3"/>
        <v>0.6189770200148258</v>
      </c>
    </row>
    <row r="199" spans="1:3" x14ac:dyDescent="0.25">
      <c r="A199" s="1">
        <v>33117</v>
      </c>
      <c r="B199">
        <v>137.19999999999999</v>
      </c>
      <c r="C199" s="2">
        <f t="shared" si="3"/>
        <v>0.62536443148688048</v>
      </c>
    </row>
    <row r="200" spans="1:3" x14ac:dyDescent="0.25">
      <c r="A200" s="1">
        <v>33147</v>
      </c>
      <c r="B200">
        <v>145.30000000000001</v>
      </c>
      <c r="C200" s="2">
        <f t="shared" si="3"/>
        <v>0.64624913971094289</v>
      </c>
    </row>
    <row r="201" spans="1:3" x14ac:dyDescent="0.25">
      <c r="A201" s="1">
        <v>33178</v>
      </c>
      <c r="B201">
        <v>150.80000000000001</v>
      </c>
      <c r="C201" s="2">
        <f t="shared" si="3"/>
        <v>0.65915119363395225</v>
      </c>
    </row>
    <row r="202" spans="1:3" x14ac:dyDescent="0.25">
      <c r="A202" s="1">
        <v>33208</v>
      </c>
      <c r="B202">
        <v>151.80000000000001</v>
      </c>
      <c r="C202" s="2">
        <f t="shared" si="3"/>
        <v>0.66139657444005273</v>
      </c>
    </row>
    <row r="203" spans="1:3" x14ac:dyDescent="0.25">
      <c r="A203" s="1">
        <v>33239</v>
      </c>
      <c r="B203">
        <v>153.1</v>
      </c>
      <c r="C203" s="2">
        <f t="shared" si="3"/>
        <v>0.66427171783148276</v>
      </c>
    </row>
    <row r="204" spans="1:3" x14ac:dyDescent="0.25">
      <c r="A204" s="1">
        <v>33270</v>
      </c>
      <c r="B204">
        <v>153.1</v>
      </c>
      <c r="C204" s="2">
        <f t="shared" si="3"/>
        <v>0.66427171783148276</v>
      </c>
    </row>
    <row r="205" spans="1:3" x14ac:dyDescent="0.25">
      <c r="A205" s="1">
        <v>33298</v>
      </c>
      <c r="B205">
        <v>151.4</v>
      </c>
      <c r="C205" s="2">
        <f t="shared" si="3"/>
        <v>0.66050198150594452</v>
      </c>
    </row>
    <row r="206" spans="1:3" x14ac:dyDescent="0.25">
      <c r="A206" s="1">
        <v>33329</v>
      </c>
      <c r="B206">
        <v>150.5</v>
      </c>
      <c r="C206" s="2">
        <f t="shared" si="3"/>
        <v>0.65847176079734226</v>
      </c>
    </row>
    <row r="207" spans="1:3" x14ac:dyDescent="0.25">
      <c r="A207" s="1">
        <v>33359</v>
      </c>
      <c r="B207">
        <v>149.30000000000001</v>
      </c>
      <c r="C207" s="2">
        <f t="shared" si="3"/>
        <v>0.65572672471533822</v>
      </c>
    </row>
    <row r="208" spans="1:3" x14ac:dyDescent="0.25">
      <c r="A208" s="1">
        <v>33390</v>
      </c>
      <c r="B208">
        <v>149</v>
      </c>
      <c r="C208" s="2">
        <f t="shared" si="3"/>
        <v>0.65503355704697985</v>
      </c>
    </row>
    <row r="209" spans="1:3" x14ac:dyDescent="0.25">
      <c r="A209" s="1">
        <v>33420</v>
      </c>
      <c r="B209">
        <v>149</v>
      </c>
      <c r="C209" s="2">
        <f t="shared" si="3"/>
        <v>0.65503355704697985</v>
      </c>
    </row>
    <row r="210" spans="1:3" x14ac:dyDescent="0.25">
      <c r="A210" s="1">
        <v>33451</v>
      </c>
      <c r="B210">
        <v>148.69999999999999</v>
      </c>
      <c r="C210" s="2">
        <f t="shared" si="3"/>
        <v>0.65433759246805645</v>
      </c>
    </row>
    <row r="211" spans="1:3" x14ac:dyDescent="0.25">
      <c r="A211" s="1">
        <v>33482</v>
      </c>
      <c r="B211">
        <v>148.69999999999999</v>
      </c>
      <c r="C211" s="2">
        <f t="shared" si="3"/>
        <v>0.65433759246805645</v>
      </c>
    </row>
    <row r="212" spans="1:3" x14ac:dyDescent="0.25">
      <c r="A212" s="1">
        <v>33512</v>
      </c>
      <c r="B212">
        <v>147.9</v>
      </c>
      <c r="C212" s="2">
        <f t="shared" si="3"/>
        <v>0.65246788370520625</v>
      </c>
    </row>
    <row r="213" spans="1:3" x14ac:dyDescent="0.25">
      <c r="A213" s="1">
        <v>33543</v>
      </c>
      <c r="B213">
        <v>148</v>
      </c>
      <c r="C213" s="2">
        <f t="shared" si="3"/>
        <v>0.6527027027027027</v>
      </c>
    </row>
    <row r="214" spans="1:3" x14ac:dyDescent="0.25">
      <c r="A214" s="1">
        <v>33573</v>
      </c>
      <c r="B214">
        <v>147.9</v>
      </c>
      <c r="C214" s="2">
        <f t="shared" si="3"/>
        <v>0.65246788370520625</v>
      </c>
    </row>
    <row r="215" spans="1:3" x14ac:dyDescent="0.25">
      <c r="A215" s="1">
        <v>33604</v>
      </c>
      <c r="B215">
        <v>148</v>
      </c>
      <c r="C215" s="2">
        <f t="shared" si="3"/>
        <v>0.6527027027027027</v>
      </c>
    </row>
    <row r="216" spans="1:3" x14ac:dyDescent="0.25">
      <c r="A216" s="1">
        <v>33635</v>
      </c>
      <c r="B216">
        <v>148.30000000000001</v>
      </c>
      <c r="C216" s="2">
        <f t="shared" si="3"/>
        <v>0.65340525960890083</v>
      </c>
    </row>
    <row r="217" spans="1:3" x14ac:dyDescent="0.25">
      <c r="A217" s="1">
        <v>33664</v>
      </c>
      <c r="B217">
        <v>148.30000000000001</v>
      </c>
      <c r="C217" s="2">
        <f t="shared" si="3"/>
        <v>0.65340525960890083</v>
      </c>
    </row>
    <row r="218" spans="1:3" x14ac:dyDescent="0.25">
      <c r="A218" s="1">
        <v>33695</v>
      </c>
      <c r="B218">
        <v>148.30000000000001</v>
      </c>
      <c r="C218" s="2">
        <f t="shared" si="3"/>
        <v>0.65340525960890083</v>
      </c>
    </row>
    <row r="219" spans="1:3" x14ac:dyDescent="0.25">
      <c r="A219" s="1">
        <v>33725</v>
      </c>
      <c r="B219">
        <v>148.6</v>
      </c>
      <c r="C219" s="2">
        <f t="shared" si="3"/>
        <v>0.65410497981157467</v>
      </c>
    </row>
    <row r="220" spans="1:3" x14ac:dyDescent="0.25">
      <c r="A220" s="1">
        <v>33756</v>
      </c>
      <c r="B220">
        <v>148.6</v>
      </c>
      <c r="C220" s="2">
        <f t="shared" si="3"/>
        <v>0.65410497981157467</v>
      </c>
    </row>
    <row r="221" spans="1:3" x14ac:dyDescent="0.25">
      <c r="A221" s="1">
        <v>33786</v>
      </c>
      <c r="B221">
        <v>148.9</v>
      </c>
      <c r="C221" s="2">
        <f t="shared" si="3"/>
        <v>0.65480188045668242</v>
      </c>
    </row>
    <row r="222" spans="1:3" x14ac:dyDescent="0.25">
      <c r="A222" s="1">
        <v>33817</v>
      </c>
      <c r="B222">
        <v>150.30000000000001</v>
      </c>
      <c r="C222" s="2">
        <f t="shared" si="3"/>
        <v>0.65801729873586168</v>
      </c>
    </row>
    <row r="223" spans="1:3" x14ac:dyDescent="0.25">
      <c r="A223" s="1">
        <v>33848</v>
      </c>
      <c r="B223">
        <v>150.69999999999999</v>
      </c>
      <c r="C223" s="2">
        <f t="shared" si="3"/>
        <v>0.65892501658925018</v>
      </c>
    </row>
    <row r="224" spans="1:3" x14ac:dyDescent="0.25">
      <c r="A224" s="1">
        <v>33878</v>
      </c>
      <c r="B224">
        <v>150.69999999999999</v>
      </c>
      <c r="C224" s="2">
        <f t="shared" si="3"/>
        <v>0.65892501658925018</v>
      </c>
    </row>
    <row r="225" spans="1:3" x14ac:dyDescent="0.25">
      <c r="A225" s="1">
        <v>33909</v>
      </c>
      <c r="B225">
        <v>151</v>
      </c>
      <c r="C225" s="2">
        <f t="shared" si="3"/>
        <v>0.65960264900662247</v>
      </c>
    </row>
    <row r="226" spans="1:3" x14ac:dyDescent="0.25">
      <c r="A226" s="1">
        <v>33939</v>
      </c>
      <c r="B226">
        <v>151.6</v>
      </c>
      <c r="C226" s="2">
        <f t="shared" si="3"/>
        <v>0.66094986807387857</v>
      </c>
    </row>
    <row r="227" spans="1:3" x14ac:dyDescent="0.25">
      <c r="A227" s="1">
        <v>33970</v>
      </c>
      <c r="B227">
        <v>151</v>
      </c>
      <c r="C227" s="2">
        <f t="shared" si="3"/>
        <v>0.65960264900662247</v>
      </c>
    </row>
    <row r="228" spans="1:3" x14ac:dyDescent="0.25">
      <c r="A228" s="1">
        <v>34001</v>
      </c>
      <c r="B228">
        <v>151</v>
      </c>
      <c r="C228" s="2">
        <f t="shared" si="3"/>
        <v>0.65960264900662247</v>
      </c>
    </row>
    <row r="229" spans="1:3" x14ac:dyDescent="0.25">
      <c r="A229" s="1">
        <v>34029</v>
      </c>
      <c r="B229">
        <v>151.1</v>
      </c>
      <c r="C229" s="2">
        <f t="shared" si="3"/>
        <v>0.65982792852415617</v>
      </c>
    </row>
    <row r="230" spans="1:3" x14ac:dyDescent="0.25">
      <c r="A230" s="1">
        <v>34060</v>
      </c>
      <c r="B230">
        <v>151.4</v>
      </c>
      <c r="C230" s="2">
        <f t="shared" si="3"/>
        <v>0.66050198150594452</v>
      </c>
    </row>
    <row r="231" spans="1:3" x14ac:dyDescent="0.25">
      <c r="A231" s="1">
        <v>34090</v>
      </c>
      <c r="B231">
        <v>151.4</v>
      </c>
      <c r="C231" s="2">
        <f t="shared" si="3"/>
        <v>0.66050198150594452</v>
      </c>
    </row>
    <row r="232" spans="1:3" x14ac:dyDescent="0.25">
      <c r="A232" s="1">
        <v>34121</v>
      </c>
      <c r="B232">
        <v>151</v>
      </c>
      <c r="C232" s="2">
        <f t="shared" si="3"/>
        <v>0.65960264900662247</v>
      </c>
    </row>
    <row r="233" spans="1:3" x14ac:dyDescent="0.25">
      <c r="A233" s="1">
        <v>34151</v>
      </c>
      <c r="B233">
        <v>151</v>
      </c>
      <c r="C233" s="2">
        <f t="shared" si="3"/>
        <v>0.65960264900662247</v>
      </c>
    </row>
    <row r="234" spans="1:3" x14ac:dyDescent="0.25">
      <c r="A234" s="1">
        <v>34182</v>
      </c>
      <c r="B234">
        <v>151.1</v>
      </c>
      <c r="C234" s="2">
        <f t="shared" si="3"/>
        <v>0.65982792852415617</v>
      </c>
    </row>
    <row r="235" spans="1:3" x14ac:dyDescent="0.25">
      <c r="A235" s="1">
        <v>34213</v>
      </c>
      <c r="B235">
        <v>151.1</v>
      </c>
      <c r="C235" s="2">
        <f t="shared" si="3"/>
        <v>0.65982792852415617</v>
      </c>
    </row>
    <row r="236" spans="1:3" x14ac:dyDescent="0.25">
      <c r="A236" s="1">
        <v>34243</v>
      </c>
      <c r="B236">
        <v>151.1</v>
      </c>
      <c r="C236" s="2">
        <f t="shared" si="3"/>
        <v>0.65982792852415617</v>
      </c>
    </row>
    <row r="237" spans="1:3" x14ac:dyDescent="0.25">
      <c r="A237" s="1">
        <v>34274</v>
      </c>
      <c r="B237">
        <v>151.4</v>
      </c>
      <c r="C237" s="2">
        <f t="shared" si="3"/>
        <v>0.66050198150594452</v>
      </c>
    </row>
    <row r="238" spans="1:3" x14ac:dyDescent="0.25">
      <c r="A238" s="1">
        <v>34304</v>
      </c>
      <c r="B238">
        <v>151.4</v>
      </c>
      <c r="C238" s="2">
        <f t="shared" si="3"/>
        <v>0.66050198150594452</v>
      </c>
    </row>
    <row r="239" spans="1:3" x14ac:dyDescent="0.25">
      <c r="A239" s="1">
        <v>34335</v>
      </c>
      <c r="B239">
        <v>151.5</v>
      </c>
      <c r="C239" s="2">
        <f t="shared" si="3"/>
        <v>0.66072607260726079</v>
      </c>
    </row>
    <row r="240" spans="1:3" x14ac:dyDescent="0.25">
      <c r="A240" s="1">
        <v>34366</v>
      </c>
      <c r="B240">
        <v>151.5</v>
      </c>
      <c r="C240" s="2">
        <f t="shared" si="3"/>
        <v>0.66072607260726079</v>
      </c>
    </row>
    <row r="241" spans="1:3" x14ac:dyDescent="0.25">
      <c r="A241" s="1">
        <v>34394</v>
      </c>
      <c r="B241">
        <v>152.30000000000001</v>
      </c>
      <c r="C241" s="2">
        <f t="shared" si="3"/>
        <v>0.66250820748522654</v>
      </c>
    </row>
    <row r="242" spans="1:3" x14ac:dyDescent="0.25">
      <c r="A242" s="1">
        <v>34425</v>
      </c>
      <c r="B242">
        <v>152.30000000000001</v>
      </c>
      <c r="C242" s="2">
        <f t="shared" si="3"/>
        <v>0.66250820748522654</v>
      </c>
    </row>
    <row r="243" spans="1:3" x14ac:dyDescent="0.25">
      <c r="A243" s="1">
        <v>34455</v>
      </c>
      <c r="B243">
        <v>152.19999999999999</v>
      </c>
      <c r="C243" s="2">
        <f t="shared" si="3"/>
        <v>0.66228646517739809</v>
      </c>
    </row>
    <row r="244" spans="1:3" x14ac:dyDescent="0.25">
      <c r="A244" s="1">
        <v>34486</v>
      </c>
      <c r="B244">
        <v>152.30000000000001</v>
      </c>
      <c r="C244" s="2">
        <f t="shared" si="3"/>
        <v>0.66250820748522654</v>
      </c>
    </row>
    <row r="245" spans="1:3" x14ac:dyDescent="0.25">
      <c r="A245" s="1">
        <v>34516</v>
      </c>
      <c r="B245">
        <v>153.6</v>
      </c>
      <c r="C245" s="2">
        <f t="shared" si="3"/>
        <v>0.66536458333333326</v>
      </c>
    </row>
    <row r="246" spans="1:3" x14ac:dyDescent="0.25">
      <c r="A246" s="1">
        <v>34547</v>
      </c>
      <c r="B246">
        <v>154.5</v>
      </c>
      <c r="C246" s="2">
        <f t="shared" si="3"/>
        <v>0.66731391585760513</v>
      </c>
    </row>
    <row r="247" spans="1:3" x14ac:dyDescent="0.25">
      <c r="A247" s="1">
        <v>34578</v>
      </c>
      <c r="B247">
        <v>155.6</v>
      </c>
      <c r="C247" s="2">
        <f t="shared" si="3"/>
        <v>0.66966580976863754</v>
      </c>
    </row>
    <row r="248" spans="1:3" x14ac:dyDescent="0.25">
      <c r="A248" s="1">
        <v>34608</v>
      </c>
      <c r="B248">
        <v>155.6</v>
      </c>
      <c r="C248" s="2">
        <f t="shared" si="3"/>
        <v>0.66966580976863754</v>
      </c>
    </row>
    <row r="249" spans="1:3" x14ac:dyDescent="0.25">
      <c r="A249" s="1">
        <v>34639</v>
      </c>
      <c r="B249">
        <v>155.9</v>
      </c>
      <c r="C249" s="2">
        <f t="shared" si="3"/>
        <v>0.67030147530468254</v>
      </c>
    </row>
    <row r="250" spans="1:3" x14ac:dyDescent="0.25">
      <c r="A250" s="1">
        <v>34669</v>
      </c>
      <c r="B250">
        <v>156</v>
      </c>
      <c r="C250" s="2">
        <f t="shared" si="3"/>
        <v>0.67051282051282057</v>
      </c>
    </row>
    <row r="251" spans="1:3" x14ac:dyDescent="0.25">
      <c r="A251" s="1">
        <v>34700</v>
      </c>
      <c r="B251">
        <v>157.5</v>
      </c>
      <c r="C251" s="2">
        <f t="shared" si="3"/>
        <v>0.67365079365079361</v>
      </c>
    </row>
    <row r="252" spans="1:3" x14ac:dyDescent="0.25">
      <c r="A252" s="1">
        <v>34731</v>
      </c>
      <c r="B252">
        <v>158.69999999999999</v>
      </c>
      <c r="C252" s="2">
        <f t="shared" si="3"/>
        <v>0.67611846250787644</v>
      </c>
    </row>
    <row r="253" spans="1:3" x14ac:dyDescent="0.25">
      <c r="A253" s="1">
        <v>34759</v>
      </c>
      <c r="B253">
        <v>159.19999999999999</v>
      </c>
      <c r="C253" s="2">
        <f t="shared" si="3"/>
        <v>0.67713567839195976</v>
      </c>
    </row>
    <row r="254" spans="1:3" x14ac:dyDescent="0.25">
      <c r="A254" s="1">
        <v>34790</v>
      </c>
      <c r="B254">
        <v>159.30000000000001</v>
      </c>
      <c r="C254" s="2">
        <f t="shared" si="3"/>
        <v>0.67733835530445696</v>
      </c>
    </row>
    <row r="255" spans="1:3" x14ac:dyDescent="0.25">
      <c r="A255" s="1">
        <v>34820</v>
      </c>
      <c r="B255">
        <v>159.4</v>
      </c>
      <c r="C255" s="2">
        <f t="shared" si="3"/>
        <v>0.67754077791718947</v>
      </c>
    </row>
    <row r="256" spans="1:3" x14ac:dyDescent="0.25">
      <c r="A256" s="1">
        <v>34851</v>
      </c>
      <c r="B256">
        <v>160.5</v>
      </c>
      <c r="C256" s="2">
        <f t="shared" si="3"/>
        <v>0.67975077881619939</v>
      </c>
    </row>
    <row r="257" spans="1:3" x14ac:dyDescent="0.25">
      <c r="A257" s="1">
        <v>34881</v>
      </c>
      <c r="B257">
        <v>160.4</v>
      </c>
      <c r="C257" s="2">
        <f t="shared" si="3"/>
        <v>0.67955112219451375</v>
      </c>
    </row>
    <row r="258" spans="1:3" x14ac:dyDescent="0.25">
      <c r="A258" s="1">
        <v>34912</v>
      </c>
      <c r="B258">
        <v>160.69999999999999</v>
      </c>
      <c r="C258" s="2">
        <f t="shared" ref="C258:C321" si="4">1-(B$2/B258)</f>
        <v>0.68014934660858739</v>
      </c>
    </row>
    <row r="259" spans="1:3" x14ac:dyDescent="0.25">
      <c r="A259" s="1">
        <v>34943</v>
      </c>
      <c r="B259">
        <v>160.69999999999999</v>
      </c>
      <c r="C259" s="2">
        <f t="shared" si="4"/>
        <v>0.68014934660858739</v>
      </c>
    </row>
    <row r="260" spans="1:3" x14ac:dyDescent="0.25">
      <c r="A260" s="1">
        <v>34973</v>
      </c>
      <c r="B260">
        <v>160.80000000000001</v>
      </c>
      <c r="C260" s="2">
        <f t="shared" si="4"/>
        <v>0.68034825870646776</v>
      </c>
    </row>
    <row r="261" spans="1:3" x14ac:dyDescent="0.25">
      <c r="A261" s="1">
        <v>35004</v>
      </c>
      <c r="B261">
        <v>160.5</v>
      </c>
      <c r="C261" s="2">
        <f t="shared" si="4"/>
        <v>0.67975077881619939</v>
      </c>
    </row>
    <row r="262" spans="1:3" x14ac:dyDescent="0.25">
      <c r="A262" s="1">
        <v>35034</v>
      </c>
      <c r="B262">
        <v>159.4</v>
      </c>
      <c r="C262" s="2">
        <f t="shared" si="4"/>
        <v>0.67754077791718947</v>
      </c>
    </row>
    <row r="263" spans="1:3" x14ac:dyDescent="0.25">
      <c r="A263" s="1">
        <v>35065</v>
      </c>
      <c r="B263">
        <v>159.69999999999999</v>
      </c>
      <c r="C263" s="2">
        <f t="shared" si="4"/>
        <v>0.67814652473387604</v>
      </c>
    </row>
    <row r="264" spans="1:3" x14ac:dyDescent="0.25">
      <c r="A264" s="1">
        <v>35096</v>
      </c>
      <c r="B264">
        <v>159.9</v>
      </c>
      <c r="C264" s="2">
        <f t="shared" si="4"/>
        <v>0.67854909318323953</v>
      </c>
    </row>
    <row r="265" spans="1:3" x14ac:dyDescent="0.25">
      <c r="A265" s="1">
        <v>35125</v>
      </c>
      <c r="B265">
        <v>159.9</v>
      </c>
      <c r="C265" s="2">
        <f t="shared" si="4"/>
        <v>0.67854909318323953</v>
      </c>
    </row>
    <row r="266" spans="1:3" x14ac:dyDescent="0.25">
      <c r="A266" s="1">
        <v>35156</v>
      </c>
      <c r="B266">
        <v>160</v>
      </c>
      <c r="C266" s="2">
        <f t="shared" si="4"/>
        <v>0.67874999999999996</v>
      </c>
    </row>
    <row r="267" spans="1:3" x14ac:dyDescent="0.25">
      <c r="A267" s="1">
        <v>35186</v>
      </c>
      <c r="B267">
        <v>160.1</v>
      </c>
      <c r="C267" s="2">
        <f t="shared" si="4"/>
        <v>0.67895065584009995</v>
      </c>
    </row>
    <row r="268" spans="1:3" x14ac:dyDescent="0.25">
      <c r="A268" s="1">
        <v>35217</v>
      </c>
      <c r="B268">
        <v>160.4</v>
      </c>
      <c r="C268" s="2">
        <f t="shared" si="4"/>
        <v>0.67955112219451375</v>
      </c>
    </row>
    <row r="269" spans="1:3" x14ac:dyDescent="0.25">
      <c r="A269" s="1">
        <v>35247</v>
      </c>
      <c r="B269">
        <v>160.5</v>
      </c>
      <c r="C269" s="2">
        <f t="shared" si="4"/>
        <v>0.67975077881619939</v>
      </c>
    </row>
    <row r="270" spans="1:3" x14ac:dyDescent="0.25">
      <c r="A270" s="1">
        <v>35278</v>
      </c>
      <c r="B270">
        <v>161.1</v>
      </c>
      <c r="C270" s="2">
        <f t="shared" si="4"/>
        <v>0.68094351334574799</v>
      </c>
    </row>
    <row r="271" spans="1:3" x14ac:dyDescent="0.25">
      <c r="A271" s="1">
        <v>35309</v>
      </c>
      <c r="B271">
        <v>161</v>
      </c>
      <c r="C271" s="2">
        <f t="shared" si="4"/>
        <v>0.68074534161490685</v>
      </c>
    </row>
    <row r="272" spans="1:3" x14ac:dyDescent="0.25">
      <c r="A272" s="1">
        <v>35339</v>
      </c>
      <c r="B272">
        <v>161.1</v>
      </c>
      <c r="C272" s="2">
        <f t="shared" si="4"/>
        <v>0.68094351334574799</v>
      </c>
    </row>
    <row r="273" spans="1:3" x14ac:dyDescent="0.25">
      <c r="A273" s="1">
        <v>35370</v>
      </c>
      <c r="B273">
        <v>161.1</v>
      </c>
      <c r="C273" s="2">
        <f t="shared" si="4"/>
        <v>0.68094351334574799</v>
      </c>
    </row>
    <row r="274" spans="1:3" x14ac:dyDescent="0.25">
      <c r="A274" s="1">
        <v>35400</v>
      </c>
      <c r="B274">
        <v>161.30000000000001</v>
      </c>
      <c r="C274" s="2">
        <f t="shared" si="4"/>
        <v>0.6813391196528209</v>
      </c>
    </row>
    <row r="275" spans="1:3" x14ac:dyDescent="0.25">
      <c r="A275" s="1">
        <v>35431</v>
      </c>
      <c r="B275">
        <v>161.6</v>
      </c>
      <c r="C275" s="2">
        <f t="shared" si="4"/>
        <v>0.68193069306930698</v>
      </c>
    </row>
    <row r="276" spans="1:3" x14ac:dyDescent="0.25">
      <c r="A276" s="1">
        <v>35462</v>
      </c>
      <c r="B276">
        <v>161.6</v>
      </c>
      <c r="C276" s="2">
        <f t="shared" si="4"/>
        <v>0.68193069306930698</v>
      </c>
    </row>
    <row r="277" spans="1:3" x14ac:dyDescent="0.25">
      <c r="A277" s="1">
        <v>35490</v>
      </c>
      <c r="B277">
        <v>161</v>
      </c>
      <c r="C277" s="2">
        <f t="shared" si="4"/>
        <v>0.68074534161490685</v>
      </c>
    </row>
    <row r="278" spans="1:3" x14ac:dyDescent="0.25">
      <c r="A278" s="1">
        <v>35521</v>
      </c>
      <c r="B278">
        <v>160.80000000000001</v>
      </c>
      <c r="C278" s="2">
        <f t="shared" si="4"/>
        <v>0.68034825870646776</v>
      </c>
    </row>
    <row r="279" spans="1:3" x14ac:dyDescent="0.25">
      <c r="A279" s="1">
        <v>35551</v>
      </c>
      <c r="B279">
        <v>161.4</v>
      </c>
      <c r="C279" s="2">
        <f t="shared" si="4"/>
        <v>0.68153655514250311</v>
      </c>
    </row>
    <row r="280" spans="1:3" x14ac:dyDescent="0.25">
      <c r="A280" s="1">
        <v>35582</v>
      </c>
      <c r="B280">
        <v>160.80000000000001</v>
      </c>
      <c r="C280" s="2">
        <f t="shared" si="4"/>
        <v>0.68034825870646776</v>
      </c>
    </row>
    <row r="281" spans="1:3" x14ac:dyDescent="0.25">
      <c r="A281" s="1">
        <v>35612</v>
      </c>
      <c r="B281">
        <v>160.9</v>
      </c>
      <c r="C281" s="2">
        <f t="shared" si="4"/>
        <v>0.68054692355500312</v>
      </c>
    </row>
    <row r="282" spans="1:3" x14ac:dyDescent="0.25">
      <c r="A282" s="1">
        <v>35643</v>
      </c>
      <c r="B282">
        <v>160.9</v>
      </c>
      <c r="C282" s="2">
        <f t="shared" si="4"/>
        <v>0.68054692355500312</v>
      </c>
    </row>
    <row r="283" spans="1:3" x14ac:dyDescent="0.25">
      <c r="A283" s="1">
        <v>35674</v>
      </c>
      <c r="B283">
        <v>161.6</v>
      </c>
      <c r="C283" s="2">
        <f t="shared" si="4"/>
        <v>0.68193069306930698</v>
      </c>
    </row>
    <row r="284" spans="1:3" x14ac:dyDescent="0.25">
      <c r="A284" s="1">
        <v>35704</v>
      </c>
      <c r="B284">
        <v>161.4</v>
      </c>
      <c r="C284" s="2">
        <f t="shared" si="4"/>
        <v>0.68153655514250311</v>
      </c>
    </row>
    <row r="285" spans="1:3" x14ac:dyDescent="0.25">
      <c r="A285" s="1">
        <v>35735</v>
      </c>
      <c r="B285">
        <v>161.6</v>
      </c>
      <c r="C285" s="2">
        <f t="shared" si="4"/>
        <v>0.68193069306930698</v>
      </c>
    </row>
    <row r="286" spans="1:3" x14ac:dyDescent="0.25">
      <c r="A286" s="1">
        <v>35765</v>
      </c>
      <c r="B286">
        <v>161.80000000000001</v>
      </c>
      <c r="C286" s="2">
        <f t="shared" si="4"/>
        <v>0.68232385661310269</v>
      </c>
    </row>
    <row r="287" spans="1:3" x14ac:dyDescent="0.25">
      <c r="A287" s="1">
        <v>35796</v>
      </c>
      <c r="B287">
        <v>161.80000000000001</v>
      </c>
      <c r="C287" s="2">
        <f t="shared" si="4"/>
        <v>0.68232385661310269</v>
      </c>
    </row>
    <row r="288" spans="1:3" x14ac:dyDescent="0.25">
      <c r="A288" s="1">
        <v>35827</v>
      </c>
      <c r="B288">
        <v>161.80000000000001</v>
      </c>
      <c r="C288" s="2">
        <f t="shared" si="4"/>
        <v>0.68232385661310269</v>
      </c>
    </row>
    <row r="289" spans="1:3" x14ac:dyDescent="0.25">
      <c r="A289" s="1">
        <v>35855</v>
      </c>
      <c r="B289">
        <v>161.69999999999999</v>
      </c>
      <c r="C289" s="2">
        <f t="shared" si="4"/>
        <v>0.68212739641311071</v>
      </c>
    </row>
    <row r="290" spans="1:3" x14ac:dyDescent="0.25">
      <c r="A290" s="1">
        <v>35886</v>
      </c>
      <c r="B290">
        <v>161.69999999999999</v>
      </c>
      <c r="C290" s="2">
        <f t="shared" si="4"/>
        <v>0.68212739641311071</v>
      </c>
    </row>
    <row r="291" spans="1:3" x14ac:dyDescent="0.25">
      <c r="A291" s="1">
        <v>35916</v>
      </c>
      <c r="B291">
        <v>161.69999999999999</v>
      </c>
      <c r="C291" s="2">
        <f t="shared" si="4"/>
        <v>0.68212739641311071</v>
      </c>
    </row>
    <row r="292" spans="1:3" x14ac:dyDescent="0.25">
      <c r="A292" s="1">
        <v>35947</v>
      </c>
      <c r="B292">
        <v>161.9</v>
      </c>
      <c r="C292" s="2">
        <f t="shared" si="4"/>
        <v>0.68252007411982707</v>
      </c>
    </row>
    <row r="293" spans="1:3" x14ac:dyDescent="0.25">
      <c r="A293" s="1">
        <v>35977</v>
      </c>
      <c r="B293">
        <v>162.1</v>
      </c>
      <c r="C293" s="2">
        <f t="shared" si="4"/>
        <v>0.68291178285009257</v>
      </c>
    </row>
    <row r="294" spans="1:3" x14ac:dyDescent="0.25">
      <c r="A294" s="1">
        <v>36008</v>
      </c>
      <c r="B294">
        <v>162.1</v>
      </c>
      <c r="C294" s="2">
        <f t="shared" si="4"/>
        <v>0.68291178285009257</v>
      </c>
    </row>
    <row r="295" spans="1:3" x14ac:dyDescent="0.25">
      <c r="A295" s="1">
        <v>36039</v>
      </c>
      <c r="B295">
        <v>162.1</v>
      </c>
      <c r="C295" s="2">
        <f t="shared" si="4"/>
        <v>0.68291178285009257</v>
      </c>
    </row>
    <row r="296" spans="1:3" x14ac:dyDescent="0.25">
      <c r="A296" s="1">
        <v>36069</v>
      </c>
      <c r="B296">
        <v>161.9</v>
      </c>
      <c r="C296" s="2">
        <f t="shared" si="4"/>
        <v>0.68252007411982707</v>
      </c>
    </row>
    <row r="297" spans="1:3" x14ac:dyDescent="0.25">
      <c r="A297" s="1">
        <v>36100</v>
      </c>
      <c r="B297">
        <v>161.9</v>
      </c>
      <c r="C297" s="2">
        <f t="shared" si="4"/>
        <v>0.68252007411982707</v>
      </c>
    </row>
    <row r="298" spans="1:3" x14ac:dyDescent="0.25">
      <c r="A298" s="1">
        <v>36130</v>
      </c>
      <c r="B298">
        <v>161.9</v>
      </c>
      <c r="C298" s="2">
        <f t="shared" si="4"/>
        <v>0.68252007411982707</v>
      </c>
    </row>
    <row r="299" spans="1:3" x14ac:dyDescent="0.25">
      <c r="A299" s="1">
        <v>36161</v>
      </c>
      <c r="B299">
        <v>162</v>
      </c>
      <c r="C299" s="2">
        <f t="shared" si="4"/>
        <v>0.68271604938271602</v>
      </c>
    </row>
    <row r="300" spans="1:3" x14ac:dyDescent="0.25">
      <c r="A300" s="1">
        <v>36192</v>
      </c>
      <c r="B300">
        <v>161.9</v>
      </c>
      <c r="C300" s="2">
        <f t="shared" si="4"/>
        <v>0.68252007411982707</v>
      </c>
    </row>
    <row r="301" spans="1:3" x14ac:dyDescent="0.25">
      <c r="A301" s="1">
        <v>36220</v>
      </c>
      <c r="B301">
        <v>162.1</v>
      </c>
      <c r="C301" s="2">
        <f t="shared" si="4"/>
        <v>0.68291178285009257</v>
      </c>
    </row>
    <row r="302" spans="1:3" x14ac:dyDescent="0.25">
      <c r="A302" s="1">
        <v>36251</v>
      </c>
      <c r="B302">
        <v>161.9</v>
      </c>
      <c r="C302" s="2">
        <f t="shared" si="4"/>
        <v>0.68252007411982707</v>
      </c>
    </row>
    <row r="303" spans="1:3" x14ac:dyDescent="0.25">
      <c r="A303" s="1">
        <v>36281</v>
      </c>
      <c r="B303">
        <v>161.1</v>
      </c>
      <c r="C303" s="2">
        <f t="shared" si="4"/>
        <v>0.68094351334574799</v>
      </c>
    </row>
    <row r="304" spans="1:3" x14ac:dyDescent="0.25">
      <c r="A304" s="1">
        <v>36312</v>
      </c>
      <c r="B304">
        <v>162.6</v>
      </c>
      <c r="C304" s="2">
        <f t="shared" si="4"/>
        <v>0.68388683886838875</v>
      </c>
    </row>
    <row r="305" spans="1:3" x14ac:dyDescent="0.25">
      <c r="A305" s="1">
        <v>36342</v>
      </c>
      <c r="B305">
        <v>163.69999999999999</v>
      </c>
      <c r="C305" s="2">
        <f t="shared" si="4"/>
        <v>0.68601099572388513</v>
      </c>
    </row>
    <row r="306" spans="1:3" x14ac:dyDescent="0.25">
      <c r="A306" s="1">
        <v>36373</v>
      </c>
      <c r="B306">
        <v>163.69999999999999</v>
      </c>
      <c r="C306" s="2">
        <f t="shared" si="4"/>
        <v>0.68601099572388513</v>
      </c>
    </row>
    <row r="307" spans="1:3" x14ac:dyDescent="0.25">
      <c r="A307" s="1">
        <v>36404</v>
      </c>
      <c r="B307">
        <v>164.5</v>
      </c>
      <c r="C307" s="2">
        <f t="shared" si="4"/>
        <v>0.6875379939209727</v>
      </c>
    </row>
    <row r="308" spans="1:3" x14ac:dyDescent="0.25">
      <c r="A308" s="1">
        <v>36434</v>
      </c>
      <c r="B308">
        <v>165.4</v>
      </c>
      <c r="C308" s="2">
        <f t="shared" si="4"/>
        <v>0.68923821039903266</v>
      </c>
    </row>
    <row r="309" spans="1:3" x14ac:dyDescent="0.25">
      <c r="A309" s="1">
        <v>36465</v>
      </c>
      <c r="B309">
        <v>165.6</v>
      </c>
      <c r="C309" s="2">
        <f t="shared" si="4"/>
        <v>0.68961352657004826</v>
      </c>
    </row>
    <row r="310" spans="1:3" x14ac:dyDescent="0.25">
      <c r="A310" s="1">
        <v>36495</v>
      </c>
      <c r="B310">
        <v>165.6</v>
      </c>
      <c r="C310" s="2">
        <f t="shared" si="4"/>
        <v>0.68961352657004826</v>
      </c>
    </row>
    <row r="311" spans="1:3" x14ac:dyDescent="0.25">
      <c r="A311" s="1">
        <v>36526</v>
      </c>
      <c r="B311">
        <v>165.7</v>
      </c>
      <c r="C311" s="2">
        <f t="shared" si="4"/>
        <v>0.68980084490042248</v>
      </c>
    </row>
    <row r="312" spans="1:3" x14ac:dyDescent="0.25">
      <c r="A312" s="1">
        <v>36557</v>
      </c>
      <c r="B312">
        <v>167.2</v>
      </c>
      <c r="C312" s="2">
        <f t="shared" si="4"/>
        <v>0.69258373205741619</v>
      </c>
    </row>
    <row r="313" spans="1:3" x14ac:dyDescent="0.25">
      <c r="A313" s="1">
        <v>36586</v>
      </c>
      <c r="B313">
        <v>169.3</v>
      </c>
      <c r="C313" s="2">
        <f t="shared" si="4"/>
        <v>0.69639692852923807</v>
      </c>
    </row>
    <row r="314" spans="1:3" x14ac:dyDescent="0.25">
      <c r="A314" s="1">
        <v>36617</v>
      </c>
      <c r="B314">
        <v>171.5</v>
      </c>
      <c r="C314" s="2">
        <f t="shared" si="4"/>
        <v>0.70029154518950443</v>
      </c>
    </row>
    <row r="315" spans="1:3" x14ac:dyDescent="0.25">
      <c r="A315" s="1">
        <v>36647</v>
      </c>
      <c r="B315">
        <v>176.1</v>
      </c>
      <c r="C315" s="2">
        <f t="shared" si="4"/>
        <v>0.70812038614423622</v>
      </c>
    </row>
    <row r="316" spans="1:3" x14ac:dyDescent="0.25">
      <c r="A316" s="1">
        <v>36678</v>
      </c>
      <c r="B316">
        <v>176.2</v>
      </c>
      <c r="C316" s="2">
        <f t="shared" si="4"/>
        <v>0.70828603859250849</v>
      </c>
    </row>
    <row r="317" spans="1:3" x14ac:dyDescent="0.25">
      <c r="A317" s="1">
        <v>36708</v>
      </c>
      <c r="B317">
        <v>176.3</v>
      </c>
      <c r="C317" s="2">
        <f t="shared" si="4"/>
        <v>0.70845150311968241</v>
      </c>
    </row>
    <row r="318" spans="1:3" x14ac:dyDescent="0.25">
      <c r="A318" s="1">
        <v>36739</v>
      </c>
      <c r="B318">
        <v>176.8</v>
      </c>
      <c r="C318" s="2">
        <f t="shared" si="4"/>
        <v>0.70927601809954754</v>
      </c>
    </row>
    <row r="319" spans="1:3" x14ac:dyDescent="0.25">
      <c r="A319" s="1">
        <v>36770</v>
      </c>
      <c r="B319">
        <v>177.2</v>
      </c>
      <c r="C319" s="2">
        <f t="shared" si="4"/>
        <v>0.70993227990970653</v>
      </c>
    </row>
    <row r="320" spans="1:3" x14ac:dyDescent="0.25">
      <c r="A320" s="1">
        <v>36800</v>
      </c>
      <c r="B320">
        <v>178.1</v>
      </c>
      <c r="C320" s="2">
        <f t="shared" si="4"/>
        <v>0.71139809096013473</v>
      </c>
    </row>
    <row r="321" spans="1:3" x14ac:dyDescent="0.25">
      <c r="A321" s="1">
        <v>36831</v>
      </c>
      <c r="B321">
        <v>181.1</v>
      </c>
      <c r="C321" s="2">
        <f t="shared" si="4"/>
        <v>0.7161789066813915</v>
      </c>
    </row>
    <row r="322" spans="1:3" x14ac:dyDescent="0.25">
      <c r="A322" s="1">
        <v>36861</v>
      </c>
      <c r="B322">
        <v>181.7</v>
      </c>
      <c r="C322" s="2">
        <f t="shared" ref="C322:C385" si="5">1-(B$2/B322)</f>
        <v>0.717116125481563</v>
      </c>
    </row>
    <row r="323" spans="1:3" x14ac:dyDescent="0.25">
      <c r="A323" s="1">
        <v>36892</v>
      </c>
      <c r="B323">
        <v>181.7</v>
      </c>
      <c r="C323" s="2">
        <f t="shared" si="5"/>
        <v>0.717116125481563</v>
      </c>
    </row>
    <row r="324" spans="1:3" x14ac:dyDescent="0.25">
      <c r="A324" s="1">
        <v>36923</v>
      </c>
      <c r="B324">
        <v>182.6</v>
      </c>
      <c r="C324" s="2">
        <f t="shared" si="5"/>
        <v>0.71851040525739318</v>
      </c>
    </row>
    <row r="325" spans="1:3" x14ac:dyDescent="0.25">
      <c r="A325" s="1">
        <v>36951</v>
      </c>
      <c r="B325">
        <v>183.4</v>
      </c>
      <c r="C325" s="2">
        <f t="shared" si="5"/>
        <v>0.71973827699018544</v>
      </c>
    </row>
    <row r="326" spans="1:3" x14ac:dyDescent="0.25">
      <c r="A326" s="1">
        <v>36982</v>
      </c>
      <c r="B326">
        <v>184.6</v>
      </c>
      <c r="C326" s="2">
        <f t="shared" si="5"/>
        <v>0.7215601300108343</v>
      </c>
    </row>
    <row r="327" spans="1:3" x14ac:dyDescent="0.25">
      <c r="A327" s="1">
        <v>37012</v>
      </c>
      <c r="B327">
        <v>184.6</v>
      </c>
      <c r="C327" s="2">
        <f t="shared" si="5"/>
        <v>0.7215601300108343</v>
      </c>
    </row>
    <row r="328" spans="1:3" x14ac:dyDescent="0.25">
      <c r="A328" s="1">
        <v>37043</v>
      </c>
      <c r="B328">
        <v>184.8</v>
      </c>
      <c r="C328" s="2">
        <f t="shared" si="5"/>
        <v>0.72186147186147187</v>
      </c>
    </row>
    <row r="329" spans="1:3" x14ac:dyDescent="0.25">
      <c r="A329" s="1">
        <v>37073</v>
      </c>
      <c r="B329">
        <v>186.6</v>
      </c>
      <c r="C329" s="2">
        <f t="shared" si="5"/>
        <v>0.72454448017148976</v>
      </c>
    </row>
    <row r="330" spans="1:3" x14ac:dyDescent="0.25">
      <c r="A330" s="1">
        <v>37104</v>
      </c>
      <c r="B330">
        <v>187.6</v>
      </c>
      <c r="C330" s="2">
        <f t="shared" si="5"/>
        <v>0.7260127931769722</v>
      </c>
    </row>
    <row r="331" spans="1:3" x14ac:dyDescent="0.25">
      <c r="A331" s="1">
        <v>37135</v>
      </c>
      <c r="B331">
        <v>188.1</v>
      </c>
      <c r="C331" s="2">
        <f t="shared" si="5"/>
        <v>0.7267410951621478</v>
      </c>
    </row>
    <row r="332" spans="1:3" x14ac:dyDescent="0.25">
      <c r="A332" s="1">
        <v>37165</v>
      </c>
      <c r="B332">
        <v>188.2</v>
      </c>
      <c r="C332" s="2">
        <f t="shared" si="5"/>
        <v>0.72688629117959613</v>
      </c>
    </row>
    <row r="333" spans="1:3" x14ac:dyDescent="0.25">
      <c r="A333" s="1">
        <v>37196</v>
      </c>
      <c r="B333">
        <v>188.2</v>
      </c>
      <c r="C333" s="2">
        <f t="shared" si="5"/>
        <v>0.72688629117959613</v>
      </c>
    </row>
    <row r="334" spans="1:3" x14ac:dyDescent="0.25">
      <c r="A334" s="1">
        <v>37226</v>
      </c>
      <c r="B334">
        <v>188.1</v>
      </c>
      <c r="C334" s="2">
        <f t="shared" si="5"/>
        <v>0.7267410951621478</v>
      </c>
    </row>
    <row r="335" spans="1:3" x14ac:dyDescent="0.25">
      <c r="A335" s="1">
        <v>37257</v>
      </c>
      <c r="B335">
        <v>187.7</v>
      </c>
      <c r="C335" s="2">
        <f t="shared" si="5"/>
        <v>0.72615876398508261</v>
      </c>
    </row>
    <row r="336" spans="1:3" x14ac:dyDescent="0.25">
      <c r="A336" s="1">
        <v>37288</v>
      </c>
      <c r="B336">
        <v>187.9</v>
      </c>
      <c r="C336" s="2">
        <f t="shared" si="5"/>
        <v>0.72645023948908993</v>
      </c>
    </row>
    <row r="337" spans="1:3" x14ac:dyDescent="0.25">
      <c r="A337" s="1">
        <v>37316</v>
      </c>
      <c r="B337">
        <v>187.8</v>
      </c>
      <c r="C337" s="2">
        <f t="shared" si="5"/>
        <v>0.72630457933972314</v>
      </c>
    </row>
    <row r="338" spans="1:3" x14ac:dyDescent="0.25">
      <c r="A338" s="1">
        <v>37347</v>
      </c>
      <c r="B338">
        <v>187.7</v>
      </c>
      <c r="C338" s="2">
        <f t="shared" si="5"/>
        <v>0.72615876398508261</v>
      </c>
    </row>
    <row r="339" spans="1:3" x14ac:dyDescent="0.25">
      <c r="A339" s="1">
        <v>37377</v>
      </c>
      <c r="B339">
        <v>187.8</v>
      </c>
      <c r="C339" s="2">
        <f t="shared" si="5"/>
        <v>0.72630457933972314</v>
      </c>
    </row>
    <row r="340" spans="1:3" x14ac:dyDescent="0.25">
      <c r="A340" s="1">
        <v>37408</v>
      </c>
      <c r="B340">
        <v>187.9</v>
      </c>
      <c r="C340" s="2">
        <f t="shared" si="5"/>
        <v>0.72645023948908993</v>
      </c>
    </row>
    <row r="341" spans="1:3" x14ac:dyDescent="0.25">
      <c r="A341" s="1">
        <v>37438</v>
      </c>
      <c r="B341">
        <v>188</v>
      </c>
      <c r="C341" s="2">
        <f t="shared" si="5"/>
        <v>0.72659574468085109</v>
      </c>
    </row>
    <row r="342" spans="1:3" x14ac:dyDescent="0.25">
      <c r="A342" s="1">
        <v>37469</v>
      </c>
      <c r="B342">
        <v>187.9</v>
      </c>
      <c r="C342" s="2">
        <f t="shared" si="5"/>
        <v>0.72645023948908993</v>
      </c>
    </row>
    <row r="343" spans="1:3" x14ac:dyDescent="0.25">
      <c r="A343" s="1">
        <v>37500</v>
      </c>
      <c r="B343">
        <v>188.1</v>
      </c>
      <c r="C343" s="2">
        <f t="shared" si="5"/>
        <v>0.7267410951621478</v>
      </c>
    </row>
    <row r="344" spans="1:3" x14ac:dyDescent="0.25">
      <c r="A344" s="1">
        <v>37530</v>
      </c>
      <c r="B344">
        <v>188.1</v>
      </c>
      <c r="C344" s="2">
        <f t="shared" si="5"/>
        <v>0.7267410951621478</v>
      </c>
    </row>
    <row r="345" spans="1:3" x14ac:dyDescent="0.25">
      <c r="A345" s="1">
        <v>37561</v>
      </c>
      <c r="B345">
        <v>188.4</v>
      </c>
      <c r="C345" s="2">
        <f t="shared" si="5"/>
        <v>0.727176220806794</v>
      </c>
    </row>
    <row r="346" spans="1:3" x14ac:dyDescent="0.25">
      <c r="A346" s="1">
        <v>37591</v>
      </c>
      <c r="B346">
        <v>188.9</v>
      </c>
      <c r="C346" s="2">
        <f t="shared" si="5"/>
        <v>0.7278983589200636</v>
      </c>
    </row>
    <row r="347" spans="1:3" x14ac:dyDescent="0.25">
      <c r="A347" s="1">
        <v>37622</v>
      </c>
      <c r="B347">
        <v>189</v>
      </c>
      <c r="C347" s="2">
        <f t="shared" si="5"/>
        <v>0.72804232804232805</v>
      </c>
    </row>
    <row r="348" spans="1:3" x14ac:dyDescent="0.25">
      <c r="A348" s="1">
        <v>37653</v>
      </c>
      <c r="B348">
        <v>190.6</v>
      </c>
      <c r="C348" s="2">
        <f t="shared" si="5"/>
        <v>0.73032528856243439</v>
      </c>
    </row>
    <row r="349" spans="1:3" x14ac:dyDescent="0.25">
      <c r="A349" s="1">
        <v>37681</v>
      </c>
      <c r="B349">
        <v>191.1</v>
      </c>
      <c r="C349" s="2">
        <f t="shared" si="5"/>
        <v>0.73103087388801669</v>
      </c>
    </row>
    <row r="350" spans="1:3" x14ac:dyDescent="0.25">
      <c r="A350" s="1">
        <v>37712</v>
      </c>
      <c r="B350">
        <v>192</v>
      </c>
      <c r="C350" s="2">
        <f t="shared" si="5"/>
        <v>0.73229166666666667</v>
      </c>
    </row>
    <row r="351" spans="1:3" x14ac:dyDescent="0.25">
      <c r="A351" s="1">
        <v>37742</v>
      </c>
      <c r="B351">
        <v>194.3</v>
      </c>
      <c r="C351" s="2">
        <f t="shared" si="5"/>
        <v>0.73546062789500777</v>
      </c>
    </row>
    <row r="352" spans="1:3" x14ac:dyDescent="0.25">
      <c r="A352" s="1">
        <v>37773</v>
      </c>
      <c r="B352">
        <v>194.9</v>
      </c>
      <c r="C352" s="2">
        <f t="shared" si="5"/>
        <v>0.73627501282709085</v>
      </c>
    </row>
    <row r="353" spans="1:3" x14ac:dyDescent="0.25">
      <c r="A353" s="1">
        <v>37803</v>
      </c>
      <c r="B353">
        <v>194.9</v>
      </c>
      <c r="C353" s="2">
        <f t="shared" si="5"/>
        <v>0.73627501282709085</v>
      </c>
    </row>
    <row r="354" spans="1:3" x14ac:dyDescent="0.25">
      <c r="A354" s="1">
        <v>37834</v>
      </c>
      <c r="B354">
        <v>195.4</v>
      </c>
      <c r="C354" s="2">
        <f t="shared" si="5"/>
        <v>0.73694984646878203</v>
      </c>
    </row>
    <row r="355" spans="1:3" x14ac:dyDescent="0.25">
      <c r="A355" s="1">
        <v>37865</v>
      </c>
      <c r="B355">
        <v>195.5</v>
      </c>
      <c r="C355" s="2">
        <f t="shared" si="5"/>
        <v>0.73708439897698208</v>
      </c>
    </row>
    <row r="356" spans="1:3" x14ac:dyDescent="0.25">
      <c r="A356" s="1">
        <v>37895</v>
      </c>
      <c r="B356">
        <v>197</v>
      </c>
      <c r="C356" s="2">
        <f t="shared" si="5"/>
        <v>0.73908629441624374</v>
      </c>
    </row>
    <row r="357" spans="1:3" x14ac:dyDescent="0.25">
      <c r="A357" s="1">
        <v>37926</v>
      </c>
      <c r="B357">
        <v>197.2</v>
      </c>
      <c r="C357" s="2">
        <f t="shared" si="5"/>
        <v>0.73935091277890463</v>
      </c>
    </row>
    <row r="358" spans="1:3" x14ac:dyDescent="0.25">
      <c r="A358" s="1">
        <v>37956</v>
      </c>
      <c r="B358">
        <v>197.1</v>
      </c>
      <c r="C358" s="2">
        <f t="shared" si="5"/>
        <v>0.73921867072552006</v>
      </c>
    </row>
    <row r="359" spans="1:3" x14ac:dyDescent="0.25">
      <c r="A359" s="1">
        <v>37987</v>
      </c>
      <c r="B359">
        <v>198.1</v>
      </c>
      <c r="C359" s="2">
        <f t="shared" si="5"/>
        <v>0.74053508329126705</v>
      </c>
    </row>
    <row r="360" spans="1:3" x14ac:dyDescent="0.25">
      <c r="A360" s="1">
        <v>38018</v>
      </c>
      <c r="B360">
        <v>199</v>
      </c>
      <c r="C360" s="2">
        <f t="shared" si="5"/>
        <v>0.7417085427135679</v>
      </c>
    </row>
    <row r="361" spans="1:3" x14ac:dyDescent="0.25">
      <c r="A361" s="1">
        <v>38047</v>
      </c>
      <c r="B361">
        <v>199</v>
      </c>
      <c r="C361" s="2">
        <f t="shared" si="5"/>
        <v>0.7417085427135679</v>
      </c>
    </row>
    <row r="362" spans="1:3" x14ac:dyDescent="0.25">
      <c r="A362" s="1">
        <v>38078</v>
      </c>
      <c r="B362">
        <v>198.8</v>
      </c>
      <c r="C362" s="2">
        <f t="shared" si="5"/>
        <v>0.74144869215291753</v>
      </c>
    </row>
    <row r="363" spans="1:3" x14ac:dyDescent="0.25">
      <c r="A363" s="1">
        <v>38108</v>
      </c>
      <c r="B363">
        <v>199.8</v>
      </c>
      <c r="C363" s="2">
        <f t="shared" si="5"/>
        <v>0.74274274274274277</v>
      </c>
    </row>
    <row r="364" spans="1:3" x14ac:dyDescent="0.25">
      <c r="A364" s="1">
        <v>38139</v>
      </c>
      <c r="B364">
        <v>200.5</v>
      </c>
      <c r="C364" s="2">
        <f t="shared" si="5"/>
        <v>0.74364089775561104</v>
      </c>
    </row>
    <row r="365" spans="1:3" x14ac:dyDescent="0.25">
      <c r="A365" s="1">
        <v>38169</v>
      </c>
      <c r="B365">
        <v>201.1</v>
      </c>
      <c r="C365" s="2">
        <f t="shared" si="5"/>
        <v>0.74440576827449023</v>
      </c>
    </row>
    <row r="366" spans="1:3" x14ac:dyDescent="0.25">
      <c r="A366" s="1">
        <v>38200</v>
      </c>
      <c r="B366">
        <v>201.8</v>
      </c>
      <c r="C366" s="2">
        <f t="shared" si="5"/>
        <v>0.74529236868186333</v>
      </c>
    </row>
    <row r="367" spans="1:3" x14ac:dyDescent="0.25">
      <c r="A367" s="1">
        <v>38231</v>
      </c>
      <c r="B367">
        <v>201.6</v>
      </c>
      <c r="C367" s="2">
        <f t="shared" si="5"/>
        <v>0.74503968253968256</v>
      </c>
    </row>
    <row r="368" spans="1:3" x14ac:dyDescent="0.25">
      <c r="A368" s="1">
        <v>38261</v>
      </c>
      <c r="B368">
        <v>204.1</v>
      </c>
      <c r="C368" s="2">
        <f t="shared" si="5"/>
        <v>0.74816266536011766</v>
      </c>
    </row>
    <row r="369" spans="1:3" x14ac:dyDescent="0.25">
      <c r="A369" s="1">
        <v>38292</v>
      </c>
      <c r="B369">
        <v>208.4</v>
      </c>
      <c r="C369" s="2">
        <f t="shared" si="5"/>
        <v>0.75335892514395397</v>
      </c>
    </row>
    <row r="370" spans="1:3" x14ac:dyDescent="0.25">
      <c r="A370" s="1">
        <v>38322</v>
      </c>
      <c r="B370">
        <v>209.8</v>
      </c>
      <c r="C370" s="2">
        <f t="shared" si="5"/>
        <v>0.75500476644423264</v>
      </c>
    </row>
    <row r="371" spans="1:3" x14ac:dyDescent="0.25">
      <c r="A371" s="1">
        <v>38353</v>
      </c>
      <c r="B371">
        <v>212.7</v>
      </c>
      <c r="C371" s="2">
        <f t="shared" si="5"/>
        <v>0.75834508697696279</v>
      </c>
    </row>
    <row r="372" spans="1:3" x14ac:dyDescent="0.25">
      <c r="A372" s="1">
        <v>38384</v>
      </c>
      <c r="B372">
        <v>214.3</v>
      </c>
      <c r="C372" s="2">
        <f t="shared" si="5"/>
        <v>0.76014932337844143</v>
      </c>
    </row>
    <row r="373" spans="1:3" x14ac:dyDescent="0.25">
      <c r="A373" s="1">
        <v>38412</v>
      </c>
      <c r="B373">
        <v>218.7</v>
      </c>
      <c r="C373" s="2">
        <f t="shared" si="5"/>
        <v>0.76497485139460442</v>
      </c>
    </row>
    <row r="374" spans="1:3" x14ac:dyDescent="0.25">
      <c r="A374" s="1">
        <v>38443</v>
      </c>
      <c r="B374">
        <v>222.2</v>
      </c>
      <c r="C374" s="2">
        <f t="shared" si="5"/>
        <v>0.76867686768676868</v>
      </c>
    </row>
    <row r="375" spans="1:3" x14ac:dyDescent="0.25">
      <c r="A375" s="1">
        <v>38473</v>
      </c>
      <c r="B375">
        <v>229.2</v>
      </c>
      <c r="C375" s="2">
        <f t="shared" si="5"/>
        <v>0.77574171029668415</v>
      </c>
    </row>
    <row r="376" spans="1:3" x14ac:dyDescent="0.25">
      <c r="A376" s="1">
        <v>38504</v>
      </c>
      <c r="B376">
        <v>228.9</v>
      </c>
      <c r="C376" s="2">
        <f t="shared" si="5"/>
        <v>0.77544779379641771</v>
      </c>
    </row>
    <row r="377" spans="1:3" x14ac:dyDescent="0.25">
      <c r="A377" s="1">
        <v>38534</v>
      </c>
      <c r="B377">
        <v>231.7</v>
      </c>
      <c r="C377" s="2">
        <f t="shared" si="5"/>
        <v>0.77816141562365126</v>
      </c>
    </row>
    <row r="378" spans="1:3" x14ac:dyDescent="0.25">
      <c r="A378" s="1">
        <v>38565</v>
      </c>
      <c r="B378">
        <v>241</v>
      </c>
      <c r="C378" s="2">
        <f t="shared" si="5"/>
        <v>0.78672199170124479</v>
      </c>
    </row>
    <row r="379" spans="1:3" x14ac:dyDescent="0.25">
      <c r="A379" s="1">
        <v>38596</v>
      </c>
      <c r="B379">
        <v>247.9</v>
      </c>
      <c r="C379" s="2">
        <f t="shared" si="5"/>
        <v>0.79265832997176289</v>
      </c>
    </row>
    <row r="380" spans="1:3" x14ac:dyDescent="0.25">
      <c r="A380" s="1">
        <v>38626</v>
      </c>
      <c r="B380">
        <v>252.2</v>
      </c>
      <c r="C380" s="2">
        <f t="shared" si="5"/>
        <v>0.79619349722442512</v>
      </c>
    </row>
    <row r="381" spans="1:3" x14ac:dyDescent="0.25">
      <c r="A381" s="1">
        <v>38657</v>
      </c>
      <c r="B381">
        <v>263.2</v>
      </c>
      <c r="C381" s="2">
        <f t="shared" si="5"/>
        <v>0.80471124620060785</v>
      </c>
    </row>
    <row r="382" spans="1:3" x14ac:dyDescent="0.25">
      <c r="A382" s="1">
        <v>38687</v>
      </c>
      <c r="B382">
        <v>270.2</v>
      </c>
      <c r="C382" s="2">
        <f t="shared" si="5"/>
        <v>0.80977054034048856</v>
      </c>
    </row>
    <row r="383" spans="1:3" x14ac:dyDescent="0.25">
      <c r="A383" s="1">
        <v>38718</v>
      </c>
      <c r="B383">
        <v>273.2</v>
      </c>
      <c r="C383" s="2">
        <f t="shared" si="5"/>
        <v>0.81185944363103957</v>
      </c>
    </row>
    <row r="384" spans="1:3" x14ac:dyDescent="0.25">
      <c r="A384" s="1">
        <v>38749</v>
      </c>
      <c r="B384">
        <v>270.10000000000002</v>
      </c>
      <c r="C384" s="2">
        <f t="shared" si="5"/>
        <v>0.80970011106997408</v>
      </c>
    </row>
    <row r="385" spans="1:3" x14ac:dyDescent="0.25">
      <c r="A385" s="1">
        <v>38777</v>
      </c>
      <c r="B385">
        <v>275.89999999999998</v>
      </c>
      <c r="C385" s="2">
        <f t="shared" si="5"/>
        <v>0.81370061616527722</v>
      </c>
    </row>
    <row r="386" spans="1:3" x14ac:dyDescent="0.25">
      <c r="A386" s="1">
        <v>38808</v>
      </c>
      <c r="B386">
        <v>284.10000000000002</v>
      </c>
      <c r="C386" s="2">
        <f t="shared" ref="C386:C449" si="6">1-(B$2/B386)</f>
        <v>0.81907778951073573</v>
      </c>
    </row>
    <row r="387" spans="1:3" x14ac:dyDescent="0.25">
      <c r="A387" s="1">
        <v>38838</v>
      </c>
      <c r="B387">
        <v>286.89999999999998</v>
      </c>
      <c r="C387" s="2">
        <f t="shared" si="6"/>
        <v>0.82084349947716972</v>
      </c>
    </row>
    <row r="388" spans="1:3" x14ac:dyDescent="0.25">
      <c r="A388" s="1">
        <v>38869</v>
      </c>
      <c r="B388">
        <v>294.7</v>
      </c>
      <c r="C388" s="2">
        <f t="shared" si="6"/>
        <v>0.82558534102477099</v>
      </c>
    </row>
    <row r="389" spans="1:3" x14ac:dyDescent="0.25">
      <c r="A389" s="1">
        <v>38899</v>
      </c>
      <c r="B389">
        <v>300.10000000000002</v>
      </c>
      <c r="C389" s="2">
        <f t="shared" si="6"/>
        <v>0.82872375874708437</v>
      </c>
    </row>
    <row r="390" spans="1:3" x14ac:dyDescent="0.25">
      <c r="A390" s="1">
        <v>38930</v>
      </c>
      <c r="B390">
        <v>306</v>
      </c>
      <c r="C390" s="2">
        <f t="shared" si="6"/>
        <v>0.83202614379084971</v>
      </c>
    </row>
    <row r="391" spans="1:3" x14ac:dyDescent="0.25">
      <c r="A391" s="1">
        <v>38961</v>
      </c>
      <c r="B391">
        <v>307.60000000000002</v>
      </c>
      <c r="C391" s="2">
        <f t="shared" si="6"/>
        <v>0.8328998699609883</v>
      </c>
    </row>
    <row r="392" spans="1:3" x14ac:dyDescent="0.25">
      <c r="A392" s="1">
        <v>38991</v>
      </c>
      <c r="B392">
        <v>307.89999999999998</v>
      </c>
      <c r="C392" s="2">
        <f t="shared" si="6"/>
        <v>0.83306268268918482</v>
      </c>
    </row>
    <row r="393" spans="1:3" x14ac:dyDescent="0.25">
      <c r="A393" s="1">
        <v>39022</v>
      </c>
      <c r="B393">
        <v>309.8</v>
      </c>
      <c r="C393" s="2">
        <f t="shared" si="6"/>
        <v>0.83408650742414459</v>
      </c>
    </row>
    <row r="394" spans="1:3" x14ac:dyDescent="0.25">
      <c r="A394" s="1">
        <v>39052</v>
      </c>
      <c r="B394">
        <v>309.7</v>
      </c>
      <c r="C394" s="2">
        <f t="shared" si="6"/>
        <v>0.83403293509848242</v>
      </c>
    </row>
    <row r="395" spans="1:3" x14ac:dyDescent="0.25">
      <c r="A395" s="1">
        <v>39083</v>
      </c>
      <c r="B395">
        <v>315.8</v>
      </c>
      <c r="C395" s="2">
        <f t="shared" si="6"/>
        <v>0.8372387587080431</v>
      </c>
    </row>
    <row r="396" spans="1:3" x14ac:dyDescent="0.25">
      <c r="A396" s="1">
        <v>39114</v>
      </c>
      <c r="B396">
        <v>316.39999999999998</v>
      </c>
      <c r="C396" s="2">
        <f t="shared" si="6"/>
        <v>0.83754740834386854</v>
      </c>
    </row>
    <row r="397" spans="1:3" x14ac:dyDescent="0.25">
      <c r="A397" s="1">
        <v>39142</v>
      </c>
      <c r="B397">
        <v>315.60000000000002</v>
      </c>
      <c r="C397" s="2">
        <f t="shared" si="6"/>
        <v>0.8371356147021547</v>
      </c>
    </row>
    <row r="398" spans="1:3" x14ac:dyDescent="0.25">
      <c r="A398" s="1">
        <v>39173</v>
      </c>
      <c r="B398">
        <v>315</v>
      </c>
      <c r="C398" s="2">
        <f t="shared" si="6"/>
        <v>0.83682539682539681</v>
      </c>
    </row>
    <row r="399" spans="1:3" x14ac:dyDescent="0.25">
      <c r="A399" s="1">
        <v>39203</v>
      </c>
      <c r="B399">
        <v>317.8</v>
      </c>
      <c r="C399" s="2">
        <f t="shared" si="6"/>
        <v>0.8382630585273757</v>
      </c>
    </row>
    <row r="400" spans="1:3" x14ac:dyDescent="0.25">
      <c r="A400" s="1">
        <v>39234</v>
      </c>
      <c r="B400">
        <v>316.60000000000002</v>
      </c>
      <c r="C400" s="2">
        <f t="shared" si="6"/>
        <v>0.83765003158559703</v>
      </c>
    </row>
    <row r="401" spans="1:3" x14ac:dyDescent="0.25">
      <c r="A401" s="1">
        <v>39264</v>
      </c>
      <c r="B401">
        <v>312.8</v>
      </c>
      <c r="C401" s="2">
        <f t="shared" si="6"/>
        <v>0.83567774936061379</v>
      </c>
    </row>
    <row r="402" spans="1:3" x14ac:dyDescent="0.25">
      <c r="A402" s="1">
        <v>39295</v>
      </c>
      <c r="B402">
        <v>315.2</v>
      </c>
      <c r="C402" s="2">
        <f t="shared" si="6"/>
        <v>0.83692893401015223</v>
      </c>
    </row>
    <row r="403" spans="1:3" x14ac:dyDescent="0.25">
      <c r="A403" s="1">
        <v>39326</v>
      </c>
      <c r="B403">
        <v>313.5</v>
      </c>
      <c r="C403" s="2">
        <f t="shared" si="6"/>
        <v>0.8360446570972887</v>
      </c>
    </row>
    <row r="404" spans="1:3" x14ac:dyDescent="0.25">
      <c r="A404" s="1">
        <v>39356</v>
      </c>
      <c r="B404">
        <v>314</v>
      </c>
      <c r="C404" s="2">
        <f t="shared" si="6"/>
        <v>0.83630573248407647</v>
      </c>
    </row>
    <row r="405" spans="1:3" x14ac:dyDescent="0.25">
      <c r="A405" s="1">
        <v>39387</v>
      </c>
      <c r="B405">
        <v>317.8</v>
      </c>
      <c r="C405" s="2">
        <f t="shared" si="6"/>
        <v>0.8382630585273757</v>
      </c>
    </row>
    <row r="406" spans="1:3" x14ac:dyDescent="0.25">
      <c r="A406" s="1">
        <v>39417</v>
      </c>
      <c r="B406">
        <v>319.8</v>
      </c>
      <c r="C406" s="2">
        <f t="shared" si="6"/>
        <v>0.83927454659161982</v>
      </c>
    </row>
    <row r="407" spans="1:3" x14ac:dyDescent="0.25">
      <c r="A407" s="1">
        <v>39448</v>
      </c>
      <c r="B407">
        <v>326.60000000000002</v>
      </c>
      <c r="C407" s="2">
        <f t="shared" si="6"/>
        <v>0.842620943049602</v>
      </c>
    </row>
    <row r="408" spans="1:3" x14ac:dyDescent="0.25">
      <c r="A408" s="1">
        <v>39479</v>
      </c>
      <c r="B408">
        <v>329</v>
      </c>
      <c r="C408" s="2">
        <f t="shared" si="6"/>
        <v>0.84376899696048635</v>
      </c>
    </row>
    <row r="409" spans="1:3" x14ac:dyDescent="0.25">
      <c r="A409" s="1">
        <v>39508</v>
      </c>
      <c r="B409">
        <v>332.2</v>
      </c>
      <c r="C409" s="2">
        <f t="shared" si="6"/>
        <v>0.84527393136664664</v>
      </c>
    </row>
    <row r="410" spans="1:3" x14ac:dyDescent="0.25">
      <c r="A410" s="1">
        <v>39539</v>
      </c>
      <c r="B410">
        <v>342.5</v>
      </c>
      <c r="C410" s="2">
        <f t="shared" si="6"/>
        <v>0.84992700729927007</v>
      </c>
    </row>
    <row r="411" spans="1:3" x14ac:dyDescent="0.25">
      <c r="A411" s="1">
        <v>39569</v>
      </c>
      <c r="B411">
        <v>345.1</v>
      </c>
      <c r="C411" s="2">
        <f t="shared" si="6"/>
        <v>0.85105766444508846</v>
      </c>
    </row>
    <row r="412" spans="1:3" x14ac:dyDescent="0.25">
      <c r="A412" s="1">
        <v>39600</v>
      </c>
      <c r="B412">
        <v>351.3</v>
      </c>
      <c r="C412" s="2">
        <f t="shared" si="6"/>
        <v>0.85368630799886136</v>
      </c>
    </row>
    <row r="413" spans="1:3" x14ac:dyDescent="0.25">
      <c r="A413" s="1">
        <v>39630</v>
      </c>
      <c r="B413">
        <v>368.9</v>
      </c>
      <c r="C413" s="2">
        <f t="shared" si="6"/>
        <v>0.86066684738411492</v>
      </c>
    </row>
    <row r="414" spans="1:3" x14ac:dyDescent="0.25">
      <c r="A414" s="1">
        <v>39661</v>
      </c>
      <c r="B414">
        <v>394.3</v>
      </c>
      <c r="C414" s="2">
        <f t="shared" si="6"/>
        <v>0.86964240426071515</v>
      </c>
    </row>
    <row r="415" spans="1:3" x14ac:dyDescent="0.25">
      <c r="A415" s="1">
        <v>39692</v>
      </c>
      <c r="B415">
        <v>414</v>
      </c>
      <c r="C415" s="2">
        <f t="shared" si="6"/>
        <v>0.87584541062801935</v>
      </c>
    </row>
    <row r="416" spans="1:3" x14ac:dyDescent="0.25">
      <c r="A416" s="1">
        <v>39722</v>
      </c>
      <c r="B416">
        <v>420.5</v>
      </c>
      <c r="C416" s="2">
        <f t="shared" si="6"/>
        <v>0.87776456599286568</v>
      </c>
    </row>
    <row r="417" spans="1:3" x14ac:dyDescent="0.25">
      <c r="A417" s="1">
        <v>39753</v>
      </c>
      <c r="B417">
        <v>420.1</v>
      </c>
      <c r="C417" s="2">
        <f t="shared" si="6"/>
        <v>0.87764817900499881</v>
      </c>
    </row>
    <row r="418" spans="1:3" x14ac:dyDescent="0.25">
      <c r="A418" s="1">
        <v>39783</v>
      </c>
      <c r="B418">
        <v>416.4</v>
      </c>
      <c r="C418" s="2">
        <f t="shared" si="6"/>
        <v>0.87656099903938522</v>
      </c>
    </row>
    <row r="419" spans="1:3" x14ac:dyDescent="0.25">
      <c r="A419" s="1">
        <v>39814</v>
      </c>
      <c r="B419">
        <v>403</v>
      </c>
      <c r="C419" s="2">
        <f t="shared" si="6"/>
        <v>0.87245657568238211</v>
      </c>
    </row>
    <row r="420" spans="1:3" x14ac:dyDescent="0.25">
      <c r="A420" s="1">
        <v>39845</v>
      </c>
      <c r="B420">
        <v>397.3</v>
      </c>
      <c r="C420" s="2">
        <f t="shared" si="6"/>
        <v>0.87062673043040528</v>
      </c>
    </row>
    <row r="421" spans="1:3" x14ac:dyDescent="0.25">
      <c r="A421" s="1">
        <v>39873</v>
      </c>
      <c r="B421">
        <v>386.3</v>
      </c>
      <c r="C421" s="2">
        <f t="shared" si="6"/>
        <v>0.86694279057727153</v>
      </c>
    </row>
    <row r="422" spans="1:3" x14ac:dyDescent="0.25">
      <c r="A422" s="1">
        <v>39904</v>
      </c>
      <c r="B422">
        <v>375.6</v>
      </c>
      <c r="C422" s="2">
        <f t="shared" si="6"/>
        <v>0.86315228966986157</v>
      </c>
    </row>
    <row r="423" spans="1:3" x14ac:dyDescent="0.25">
      <c r="A423" s="1">
        <v>39934</v>
      </c>
      <c r="B423">
        <v>369.1</v>
      </c>
      <c r="C423" s="2">
        <f t="shared" si="6"/>
        <v>0.86074234624762935</v>
      </c>
    </row>
    <row r="424" spans="1:3" x14ac:dyDescent="0.25">
      <c r="A424" s="1">
        <v>39965</v>
      </c>
      <c r="B424">
        <v>355.1</v>
      </c>
      <c r="C424" s="2">
        <f t="shared" si="6"/>
        <v>0.85525204167840041</v>
      </c>
    </row>
    <row r="425" spans="1:3" x14ac:dyDescent="0.25">
      <c r="A425" s="1">
        <v>39995</v>
      </c>
      <c r="B425">
        <v>356.5</v>
      </c>
      <c r="C425" s="2">
        <f t="shared" si="6"/>
        <v>0.85582047685834506</v>
      </c>
    </row>
    <row r="426" spans="1:3" x14ac:dyDescent="0.25">
      <c r="A426" s="1">
        <v>40026</v>
      </c>
      <c r="B426">
        <v>360.2</v>
      </c>
      <c r="C426" s="2">
        <f t="shared" si="6"/>
        <v>0.85730149916712939</v>
      </c>
    </row>
    <row r="427" spans="1:3" x14ac:dyDescent="0.25">
      <c r="A427" s="1">
        <v>40057</v>
      </c>
      <c r="B427">
        <v>358</v>
      </c>
      <c r="C427" s="2">
        <f t="shared" si="6"/>
        <v>0.8564245810055866</v>
      </c>
    </row>
    <row r="428" spans="1:3" x14ac:dyDescent="0.25">
      <c r="A428" s="1">
        <v>40087</v>
      </c>
      <c r="B428">
        <v>364.5</v>
      </c>
      <c r="C428" s="2">
        <f t="shared" si="6"/>
        <v>0.85898491083676265</v>
      </c>
    </row>
    <row r="429" spans="1:3" x14ac:dyDescent="0.25">
      <c r="A429" s="1">
        <v>40118</v>
      </c>
      <c r="B429">
        <v>361.4</v>
      </c>
      <c r="C429" s="2">
        <f t="shared" si="6"/>
        <v>0.85777531820697284</v>
      </c>
    </row>
    <row r="430" spans="1:3" x14ac:dyDescent="0.25">
      <c r="A430" s="1">
        <v>40148</v>
      </c>
      <c r="B430">
        <v>358.4</v>
      </c>
      <c r="C430" s="2">
        <f t="shared" si="6"/>
        <v>0.8565848214285714</v>
      </c>
    </row>
    <row r="431" spans="1:3" x14ac:dyDescent="0.25">
      <c r="A431" s="1">
        <v>40179</v>
      </c>
      <c r="B431">
        <v>360.5</v>
      </c>
      <c r="C431" s="2">
        <f t="shared" si="6"/>
        <v>0.85742024965325936</v>
      </c>
    </row>
    <row r="432" spans="1:3" x14ac:dyDescent="0.25">
      <c r="A432" s="1">
        <v>40210</v>
      </c>
      <c r="B432">
        <v>362.1</v>
      </c>
      <c r="C432" s="2">
        <f t="shared" si="6"/>
        <v>0.85805026235846449</v>
      </c>
    </row>
    <row r="433" spans="1:3" x14ac:dyDescent="0.25">
      <c r="A433" s="1">
        <v>40238</v>
      </c>
      <c r="B433">
        <v>370.7</v>
      </c>
      <c r="C433" s="2">
        <f t="shared" si="6"/>
        <v>0.86134340437011059</v>
      </c>
    </row>
    <row r="434" spans="1:3" x14ac:dyDescent="0.25">
      <c r="A434" s="1">
        <v>40269</v>
      </c>
      <c r="B434">
        <v>368.2</v>
      </c>
      <c r="C434" s="2">
        <f t="shared" si="6"/>
        <v>0.86040195545898968</v>
      </c>
    </row>
    <row r="435" spans="1:3" x14ac:dyDescent="0.25">
      <c r="A435" s="1">
        <v>40299</v>
      </c>
      <c r="B435">
        <v>368.6</v>
      </c>
      <c r="C435" s="2">
        <f t="shared" si="6"/>
        <v>0.86055344546934354</v>
      </c>
    </row>
    <row r="436" spans="1:3" x14ac:dyDescent="0.25">
      <c r="A436" s="1">
        <v>40330</v>
      </c>
      <c r="B436">
        <v>374</v>
      </c>
      <c r="C436" s="2">
        <f t="shared" si="6"/>
        <v>0.86256684491978608</v>
      </c>
    </row>
    <row r="437" spans="1:3" x14ac:dyDescent="0.25">
      <c r="A437" s="1">
        <v>40360</v>
      </c>
      <c r="B437">
        <v>383</v>
      </c>
      <c r="C437" s="2">
        <f t="shared" si="6"/>
        <v>0.86579634464751964</v>
      </c>
    </row>
    <row r="438" spans="1:3" x14ac:dyDescent="0.25">
      <c r="A438" s="1">
        <v>40391</v>
      </c>
      <c r="B438">
        <v>388.8</v>
      </c>
      <c r="C438" s="2">
        <f t="shared" si="6"/>
        <v>0.86779835390946503</v>
      </c>
    </row>
    <row r="439" spans="1:3" x14ac:dyDescent="0.25">
      <c r="A439" s="1">
        <v>40422</v>
      </c>
      <c r="B439">
        <v>387.9</v>
      </c>
      <c r="C439" s="2">
        <f t="shared" si="6"/>
        <v>0.86749162155194637</v>
      </c>
    </row>
    <row r="440" spans="1:3" x14ac:dyDescent="0.25">
      <c r="A440" s="1">
        <v>40452</v>
      </c>
      <c r="B440">
        <v>389.1</v>
      </c>
      <c r="C440" s="2">
        <f t="shared" si="6"/>
        <v>0.86790028270367514</v>
      </c>
    </row>
    <row r="441" spans="1:3" x14ac:dyDescent="0.25">
      <c r="A441" s="1">
        <v>40483</v>
      </c>
      <c r="B441">
        <v>390.1</v>
      </c>
      <c r="C441" s="2">
        <f t="shared" si="6"/>
        <v>0.86823891309920531</v>
      </c>
    </row>
    <row r="442" spans="1:3" x14ac:dyDescent="0.25">
      <c r="A442" s="1">
        <v>40513</v>
      </c>
      <c r="B442">
        <v>395.9</v>
      </c>
      <c r="C442" s="2">
        <f t="shared" si="6"/>
        <v>0.8701692346552159</v>
      </c>
    </row>
    <row r="443" spans="1:3" x14ac:dyDescent="0.25">
      <c r="A443" s="1">
        <v>40544</v>
      </c>
      <c r="B443">
        <v>408.4</v>
      </c>
      <c r="C443" s="2">
        <f t="shared" si="6"/>
        <v>0.87414299706170417</v>
      </c>
    </row>
    <row r="444" spans="1:3" x14ac:dyDescent="0.25">
      <c r="A444" s="1">
        <v>40575</v>
      </c>
      <c r="B444">
        <v>410.8</v>
      </c>
      <c r="C444" s="2">
        <f t="shared" si="6"/>
        <v>0.87487828627069131</v>
      </c>
    </row>
    <row r="445" spans="1:3" x14ac:dyDescent="0.25">
      <c r="A445" s="1">
        <v>40603</v>
      </c>
      <c r="B445">
        <v>406.3</v>
      </c>
      <c r="C445" s="2">
        <f t="shared" si="6"/>
        <v>0.87349249323160227</v>
      </c>
    </row>
    <row r="446" spans="1:3" x14ac:dyDescent="0.25">
      <c r="A446" s="1">
        <v>40634</v>
      </c>
      <c r="B446">
        <v>418.1</v>
      </c>
      <c r="C446" s="2">
        <f t="shared" si="6"/>
        <v>0.87706290361157624</v>
      </c>
    </row>
    <row r="447" spans="1:3" x14ac:dyDescent="0.25">
      <c r="A447" s="1">
        <v>40664</v>
      </c>
      <c r="B447">
        <v>447.3</v>
      </c>
      <c r="C447" s="2">
        <f t="shared" si="6"/>
        <v>0.88508830762351887</v>
      </c>
    </row>
    <row r="448" spans="1:3" x14ac:dyDescent="0.25">
      <c r="A448" s="1">
        <v>40695</v>
      </c>
      <c r="B448">
        <v>451.7</v>
      </c>
      <c r="C448" s="2">
        <f t="shared" si="6"/>
        <v>0.88620765995129513</v>
      </c>
    </row>
    <row r="449" spans="1:3" x14ac:dyDescent="0.25">
      <c r="A449" s="1">
        <v>40725</v>
      </c>
      <c r="B449">
        <v>467.9</v>
      </c>
      <c r="C449" s="2">
        <f t="shared" si="6"/>
        <v>0.89014746740756567</v>
      </c>
    </row>
    <row r="450" spans="1:3" x14ac:dyDescent="0.25">
      <c r="A450" s="1">
        <v>40756</v>
      </c>
      <c r="B450">
        <v>474.1</v>
      </c>
      <c r="C450" s="2">
        <f t="shared" ref="C450:C513" si="7">1-(B$2/B450)</f>
        <v>0.89158405399704699</v>
      </c>
    </row>
    <row r="451" spans="1:3" x14ac:dyDescent="0.25">
      <c r="A451" s="1">
        <v>40787</v>
      </c>
      <c r="B451">
        <v>474.9</v>
      </c>
      <c r="C451" s="2">
        <f t="shared" si="7"/>
        <v>0.89176668772373135</v>
      </c>
    </row>
    <row r="452" spans="1:3" x14ac:dyDescent="0.25">
      <c r="A452" s="1">
        <v>40817</v>
      </c>
      <c r="B452">
        <v>476.4</v>
      </c>
      <c r="C452" s="2">
        <f t="shared" si="7"/>
        <v>0.89210747271200674</v>
      </c>
    </row>
    <row r="453" spans="1:3" x14ac:dyDescent="0.25">
      <c r="A453" s="1">
        <v>40848</v>
      </c>
      <c r="B453">
        <v>474.1</v>
      </c>
      <c r="C453" s="2">
        <f t="shared" si="7"/>
        <v>0.89158405399704699</v>
      </c>
    </row>
    <row r="454" spans="1:3" x14ac:dyDescent="0.25">
      <c r="A454" s="1">
        <v>40878</v>
      </c>
      <c r="B454">
        <v>476.3</v>
      </c>
      <c r="C454" s="2">
        <f t="shared" si="7"/>
        <v>0.89208482049128701</v>
      </c>
    </row>
    <row r="455" spans="1:3" x14ac:dyDescent="0.25">
      <c r="A455" s="1">
        <v>40909</v>
      </c>
      <c r="B455">
        <v>472.1</v>
      </c>
      <c r="C455" s="2">
        <f t="shared" si="7"/>
        <v>0.89112476170302901</v>
      </c>
    </row>
    <row r="456" spans="1:3" x14ac:dyDescent="0.25">
      <c r="A456" s="1">
        <v>40940</v>
      </c>
      <c r="B456">
        <v>469.3</v>
      </c>
      <c r="C456" s="2">
        <f t="shared" si="7"/>
        <v>0.89047517579373536</v>
      </c>
    </row>
    <row r="457" spans="1:3" x14ac:dyDescent="0.25">
      <c r="A457" s="1">
        <v>40969</v>
      </c>
      <c r="B457">
        <v>471.8</v>
      </c>
      <c r="C457" s="2">
        <f t="shared" si="7"/>
        <v>0.89105553200508691</v>
      </c>
    </row>
    <row r="458" spans="1:3" x14ac:dyDescent="0.25">
      <c r="A458" s="1">
        <v>41000</v>
      </c>
      <c r="B458">
        <v>472</v>
      </c>
      <c r="C458" s="2">
        <f t="shared" si="7"/>
        <v>0.89110169491525426</v>
      </c>
    </row>
    <row r="459" spans="1:3" x14ac:dyDescent="0.25">
      <c r="A459" s="1">
        <v>41030</v>
      </c>
      <c r="B459">
        <v>471.1</v>
      </c>
      <c r="C459" s="2">
        <f t="shared" si="7"/>
        <v>0.89089365315219704</v>
      </c>
    </row>
    <row r="460" spans="1:3" x14ac:dyDescent="0.25">
      <c r="A460" s="1">
        <v>41061</v>
      </c>
      <c r="B460">
        <v>475.8</v>
      </c>
      <c r="C460" s="2">
        <f t="shared" si="7"/>
        <v>0.89197141656158052</v>
      </c>
    </row>
    <row r="461" spans="1:3" x14ac:dyDescent="0.25">
      <c r="A461" s="1">
        <v>41091</v>
      </c>
      <c r="B461">
        <v>474.4</v>
      </c>
      <c r="C461" s="2">
        <f t="shared" si="7"/>
        <v>0.89165261382799321</v>
      </c>
    </row>
    <row r="462" spans="1:3" x14ac:dyDescent="0.25">
      <c r="A462" s="1">
        <v>41122</v>
      </c>
      <c r="B462">
        <v>469.7</v>
      </c>
      <c r="C462" s="2">
        <f t="shared" si="7"/>
        <v>0.89056844794549717</v>
      </c>
    </row>
    <row r="463" spans="1:3" x14ac:dyDescent="0.25">
      <c r="A463" s="1">
        <v>41153</v>
      </c>
      <c r="B463">
        <v>469.4</v>
      </c>
      <c r="C463" s="2">
        <f t="shared" si="7"/>
        <v>0.89049850873455472</v>
      </c>
    </row>
    <row r="464" spans="1:3" x14ac:dyDescent="0.25">
      <c r="A464" s="1">
        <v>41183</v>
      </c>
      <c r="B464">
        <v>468.9</v>
      </c>
      <c r="C464" s="2">
        <f t="shared" si="7"/>
        <v>0.890381744508424</v>
      </c>
    </row>
    <row r="465" spans="1:3" x14ac:dyDescent="0.25">
      <c r="A465" s="1">
        <v>41214</v>
      </c>
      <c r="B465">
        <v>467.8</v>
      </c>
      <c r="C465" s="2">
        <f t="shared" si="7"/>
        <v>0.89012398460880715</v>
      </c>
    </row>
    <row r="466" spans="1:3" x14ac:dyDescent="0.25">
      <c r="A466" s="1">
        <v>41244</v>
      </c>
      <c r="B466">
        <v>462.6</v>
      </c>
      <c r="C466" s="2">
        <f t="shared" si="7"/>
        <v>0.88888888888888884</v>
      </c>
    </row>
    <row r="467" spans="1:3" x14ac:dyDescent="0.25">
      <c r="A467" s="1">
        <v>41275</v>
      </c>
      <c r="B467">
        <v>456.3</v>
      </c>
      <c r="C467" s="2">
        <f t="shared" si="7"/>
        <v>0.88735481043173348</v>
      </c>
    </row>
    <row r="468" spans="1:3" x14ac:dyDescent="0.25">
      <c r="A468" s="1">
        <v>41306</v>
      </c>
      <c r="B468">
        <v>454.6</v>
      </c>
      <c r="C468" s="2">
        <f t="shared" si="7"/>
        <v>0.88693356797184342</v>
      </c>
    </row>
    <row r="469" spans="1:3" x14ac:dyDescent="0.25">
      <c r="A469" s="1">
        <v>41334</v>
      </c>
      <c r="B469">
        <v>453.6</v>
      </c>
      <c r="C469" s="2">
        <f t="shared" si="7"/>
        <v>0.88668430335097004</v>
      </c>
    </row>
    <row r="470" spans="1:3" x14ac:dyDescent="0.25">
      <c r="A470" s="1">
        <v>41365</v>
      </c>
      <c r="B470">
        <v>454.5</v>
      </c>
      <c r="C470" s="2">
        <f t="shared" si="7"/>
        <v>0.88690869086908686</v>
      </c>
    </row>
    <row r="471" spans="1:3" x14ac:dyDescent="0.25">
      <c r="A471" s="1">
        <v>41395</v>
      </c>
      <c r="B471">
        <v>454.3</v>
      </c>
      <c r="C471" s="2">
        <f t="shared" si="7"/>
        <v>0.88685890380805632</v>
      </c>
    </row>
    <row r="472" spans="1:3" x14ac:dyDescent="0.25">
      <c r="A472" s="1">
        <v>41426</v>
      </c>
      <c r="B472">
        <v>457.3</v>
      </c>
      <c r="C472" s="2">
        <f t="shared" si="7"/>
        <v>0.8876011371091187</v>
      </c>
    </row>
    <row r="473" spans="1:3" x14ac:dyDescent="0.25">
      <c r="A473" s="1">
        <v>41456</v>
      </c>
      <c r="B473">
        <v>456</v>
      </c>
      <c r="C473" s="2">
        <f t="shared" si="7"/>
        <v>0.887280701754386</v>
      </c>
    </row>
    <row r="474" spans="1:3" x14ac:dyDescent="0.25">
      <c r="A474" s="1">
        <v>41487</v>
      </c>
      <c r="B474">
        <v>447.4</v>
      </c>
      <c r="C474" s="2">
        <f t="shared" si="7"/>
        <v>0.88511399195350915</v>
      </c>
    </row>
    <row r="475" spans="1:3" x14ac:dyDescent="0.25">
      <c r="A475" s="1">
        <v>41518</v>
      </c>
      <c r="B475">
        <v>446.2</v>
      </c>
      <c r="C475" s="2">
        <f t="shared" si="7"/>
        <v>0.88480502017032725</v>
      </c>
    </row>
    <row r="476" spans="1:3" x14ac:dyDescent="0.25">
      <c r="A476" s="1">
        <v>41548</v>
      </c>
      <c r="B476">
        <v>449.1</v>
      </c>
      <c r="C476" s="2">
        <f t="shared" si="7"/>
        <v>0.88554887552883543</v>
      </c>
    </row>
    <row r="477" spans="1:3" x14ac:dyDescent="0.25">
      <c r="A477" s="1">
        <v>41579</v>
      </c>
      <c r="B477">
        <v>450.5</v>
      </c>
      <c r="C477" s="2">
        <f t="shared" si="7"/>
        <v>0.88590455049944505</v>
      </c>
    </row>
    <row r="478" spans="1:3" x14ac:dyDescent="0.25">
      <c r="A478" s="1">
        <v>41609</v>
      </c>
      <c r="B478">
        <v>452.5</v>
      </c>
      <c r="C478" s="2">
        <f t="shared" si="7"/>
        <v>0.88640883977900553</v>
      </c>
    </row>
    <row r="479" spans="1:3" x14ac:dyDescent="0.25">
      <c r="A479" s="1">
        <v>41640</v>
      </c>
      <c r="B479">
        <v>450.5</v>
      </c>
      <c r="C479" s="2">
        <f t="shared" si="7"/>
        <v>0.88590455049944505</v>
      </c>
    </row>
    <row r="480" spans="1:3" x14ac:dyDescent="0.25">
      <c r="A480" s="1">
        <v>41671</v>
      </c>
      <c r="B480">
        <v>451.6</v>
      </c>
      <c r="C480" s="2">
        <f t="shared" si="7"/>
        <v>0.88618246235606735</v>
      </c>
    </row>
    <row r="481" spans="1:3" x14ac:dyDescent="0.25">
      <c r="A481" s="1">
        <v>41699</v>
      </c>
      <c r="B481">
        <v>449.8</v>
      </c>
      <c r="C481" s="2">
        <f t="shared" si="7"/>
        <v>0.8857269897732325</v>
      </c>
    </row>
    <row r="482" spans="1:3" x14ac:dyDescent="0.25">
      <c r="A482" s="1">
        <v>41730</v>
      </c>
      <c r="B482">
        <v>453.3</v>
      </c>
      <c r="C482" s="2">
        <f t="shared" si="7"/>
        <v>0.88660930950805206</v>
      </c>
    </row>
    <row r="483" spans="1:3" x14ac:dyDescent="0.25">
      <c r="A483" s="1">
        <v>41760</v>
      </c>
      <c r="B483">
        <v>452.5</v>
      </c>
      <c r="C483" s="2">
        <f t="shared" si="7"/>
        <v>0.88640883977900553</v>
      </c>
    </row>
    <row r="484" spans="1:3" x14ac:dyDescent="0.25">
      <c r="A484" s="1">
        <v>41791</v>
      </c>
      <c r="B484">
        <v>451.3</v>
      </c>
      <c r="C484" s="2">
        <f t="shared" si="7"/>
        <v>0.88610680257035235</v>
      </c>
    </row>
    <row r="485" spans="1:3" x14ac:dyDescent="0.25">
      <c r="A485" s="1">
        <v>41821</v>
      </c>
      <c r="B485">
        <v>454.4</v>
      </c>
      <c r="C485" s="2">
        <f t="shared" si="7"/>
        <v>0.88688380281690138</v>
      </c>
    </row>
    <row r="486" spans="1:3" x14ac:dyDescent="0.25">
      <c r="A486" s="1">
        <v>41852</v>
      </c>
      <c r="B486">
        <v>454.5</v>
      </c>
      <c r="C486" s="2">
        <f t="shared" si="7"/>
        <v>0.88690869086908686</v>
      </c>
    </row>
    <row r="487" spans="1:3" x14ac:dyDescent="0.25">
      <c r="A487" s="1">
        <v>41883</v>
      </c>
      <c r="B487">
        <v>454.4</v>
      </c>
      <c r="C487" s="2">
        <f t="shared" si="7"/>
        <v>0.88688380281690138</v>
      </c>
    </row>
    <row r="488" spans="1:3" x14ac:dyDescent="0.25">
      <c r="A488" s="1">
        <v>41913</v>
      </c>
      <c r="B488">
        <v>454.1</v>
      </c>
      <c r="C488" s="2">
        <f t="shared" si="7"/>
        <v>0.88680907289143363</v>
      </c>
    </row>
    <row r="489" spans="1:3" x14ac:dyDescent="0.25">
      <c r="A489" s="1">
        <v>41944</v>
      </c>
      <c r="B489">
        <v>451.1</v>
      </c>
      <c r="C489" s="2">
        <f t="shared" si="7"/>
        <v>0.88605630680558634</v>
      </c>
    </row>
    <row r="490" spans="1:3" x14ac:dyDescent="0.25">
      <c r="A490" s="1">
        <v>41974</v>
      </c>
      <c r="B490">
        <v>451.3</v>
      </c>
      <c r="C490" s="2">
        <f t="shared" si="7"/>
        <v>0.88610680257035235</v>
      </c>
    </row>
    <row r="491" spans="1:3" x14ac:dyDescent="0.25">
      <c r="A491" s="1">
        <v>42005</v>
      </c>
      <c r="B491">
        <v>448.3</v>
      </c>
      <c r="C491" s="2">
        <f t="shared" si="7"/>
        <v>0.88534463528886909</v>
      </c>
    </row>
    <row r="492" spans="1:3" x14ac:dyDescent="0.25">
      <c r="A492" s="1">
        <v>42036</v>
      </c>
      <c r="B492">
        <v>442.9</v>
      </c>
      <c r="C492" s="2">
        <f t="shared" si="7"/>
        <v>0.8839467148340483</v>
      </c>
    </row>
    <row r="493" spans="1:3" x14ac:dyDescent="0.25">
      <c r="A493" s="1">
        <v>42064</v>
      </c>
      <c r="B493">
        <v>440.5</v>
      </c>
      <c r="C493" s="2">
        <f t="shared" si="7"/>
        <v>0.8833144154370034</v>
      </c>
    </row>
    <row r="494" spans="1:3" x14ac:dyDescent="0.25">
      <c r="A494" s="1">
        <v>42095</v>
      </c>
      <c r="B494">
        <v>441.8</v>
      </c>
      <c r="C494" s="2">
        <f t="shared" si="7"/>
        <v>0.88365776369397919</v>
      </c>
    </row>
    <row r="495" spans="1:3" x14ac:dyDescent="0.25">
      <c r="A495" s="1">
        <v>42125</v>
      </c>
      <c r="B495">
        <v>441.8</v>
      </c>
      <c r="C495" s="2">
        <f t="shared" si="7"/>
        <v>0.88365776369397919</v>
      </c>
    </row>
    <row r="496" spans="1:3" x14ac:dyDescent="0.25">
      <c r="A496" s="1">
        <v>42156</v>
      </c>
      <c r="B496">
        <v>439.1</v>
      </c>
      <c r="C496" s="2">
        <f t="shared" si="7"/>
        <v>0.88294238214529719</v>
      </c>
    </row>
    <row r="497" spans="1:3" x14ac:dyDescent="0.25">
      <c r="A497" s="1">
        <v>42186</v>
      </c>
      <c r="B497">
        <v>435.4</v>
      </c>
      <c r="C497" s="2">
        <f t="shared" si="7"/>
        <v>0.88194763435920986</v>
      </c>
    </row>
    <row r="498" spans="1:3" x14ac:dyDescent="0.25">
      <c r="A498" s="1">
        <v>42217</v>
      </c>
      <c r="B498">
        <v>439.7</v>
      </c>
      <c r="C498" s="2">
        <f t="shared" si="7"/>
        <v>0.88310211507846259</v>
      </c>
    </row>
    <row r="499" spans="1:3" x14ac:dyDescent="0.25">
      <c r="A499" s="1">
        <v>42248</v>
      </c>
      <c r="B499">
        <v>436.7</v>
      </c>
      <c r="C499" s="2">
        <f t="shared" si="7"/>
        <v>0.88229906114037093</v>
      </c>
    </row>
    <row r="500" spans="1:3" x14ac:dyDescent="0.25">
      <c r="A500" s="1">
        <v>42278</v>
      </c>
      <c r="B500">
        <v>431.3</v>
      </c>
      <c r="C500" s="2">
        <f t="shared" si="7"/>
        <v>0.88082541154648741</v>
      </c>
    </row>
    <row r="501" spans="1:3" x14ac:dyDescent="0.25">
      <c r="A501" s="1">
        <v>42309</v>
      </c>
      <c r="B501">
        <v>430.2</v>
      </c>
      <c r="C501" s="2">
        <f t="shared" si="7"/>
        <v>0.88052068805206885</v>
      </c>
    </row>
    <row r="502" spans="1:3" x14ac:dyDescent="0.25">
      <c r="A502" s="1">
        <v>42339</v>
      </c>
      <c r="B502">
        <v>427.2</v>
      </c>
      <c r="C502" s="2">
        <f t="shared" si="7"/>
        <v>0.87968164794007486</v>
      </c>
    </row>
    <row r="503" spans="1:3" x14ac:dyDescent="0.25">
      <c r="A503" s="1">
        <v>42370</v>
      </c>
      <c r="B503">
        <v>433.2</v>
      </c>
      <c r="C503" s="2">
        <f t="shared" si="7"/>
        <v>0.88134810710987999</v>
      </c>
    </row>
    <row r="504" spans="1:3" x14ac:dyDescent="0.25">
      <c r="A504" s="1">
        <v>42401</v>
      </c>
      <c r="B504">
        <v>428.2</v>
      </c>
      <c r="C504" s="2">
        <f t="shared" si="7"/>
        <v>0.87996263428304533</v>
      </c>
    </row>
    <row r="505" spans="1:3" x14ac:dyDescent="0.25">
      <c r="A505" s="1">
        <v>42430</v>
      </c>
      <c r="B505">
        <v>424</v>
      </c>
      <c r="C505" s="2">
        <f t="shared" si="7"/>
        <v>0.87877358490566038</v>
      </c>
    </row>
    <row r="506" spans="1:3" x14ac:dyDescent="0.25">
      <c r="A506" s="1">
        <v>42461</v>
      </c>
      <c r="B506">
        <v>420.2</v>
      </c>
      <c r="C506" s="2">
        <f t="shared" si="7"/>
        <v>0.87767729652546411</v>
      </c>
    </row>
    <row r="507" spans="1:3" x14ac:dyDescent="0.25">
      <c r="A507" s="1">
        <v>42491</v>
      </c>
      <c r="B507">
        <v>421.9</v>
      </c>
      <c r="C507" s="2">
        <f t="shared" si="7"/>
        <v>0.87817018250770329</v>
      </c>
    </row>
    <row r="508" spans="1:3" x14ac:dyDescent="0.25">
      <c r="A508" s="1">
        <v>42522</v>
      </c>
      <c r="B508">
        <v>422.4</v>
      </c>
      <c r="C508" s="2">
        <f t="shared" si="7"/>
        <v>0.87831439393939392</v>
      </c>
    </row>
    <row r="509" spans="1:3" x14ac:dyDescent="0.25">
      <c r="A509" s="1">
        <v>42552</v>
      </c>
      <c r="B509">
        <v>423.4</v>
      </c>
      <c r="C509" s="2">
        <f t="shared" si="7"/>
        <v>0.87860179499291446</v>
      </c>
    </row>
    <row r="510" spans="1:3" x14ac:dyDescent="0.25">
      <c r="A510" s="1">
        <v>42583</v>
      </c>
      <c r="B510">
        <v>426.6</v>
      </c>
      <c r="C510" s="2">
        <f t="shared" si="7"/>
        <v>0.8795124238162213</v>
      </c>
    </row>
    <row r="511" spans="1:3" x14ac:dyDescent="0.25">
      <c r="A511" s="1">
        <v>42614</v>
      </c>
      <c r="B511">
        <v>427</v>
      </c>
      <c r="C511" s="2">
        <f t="shared" si="7"/>
        <v>0.87962529274004686</v>
      </c>
    </row>
    <row r="512" spans="1:3" x14ac:dyDescent="0.25">
      <c r="A512" s="1">
        <v>42644</v>
      </c>
      <c r="B512">
        <v>428.2</v>
      </c>
      <c r="C512" s="2">
        <f t="shared" si="7"/>
        <v>0.87996263428304533</v>
      </c>
    </row>
    <row r="513" spans="1:3" x14ac:dyDescent="0.25">
      <c r="A513" s="1">
        <v>42675</v>
      </c>
      <c r="B513">
        <v>428.8</v>
      </c>
      <c r="C513" s="2">
        <f t="shared" si="7"/>
        <v>0.88013059701492535</v>
      </c>
    </row>
    <row r="514" spans="1:3" x14ac:dyDescent="0.25">
      <c r="A514" s="1">
        <v>42705</v>
      </c>
      <c r="B514">
        <v>427.8</v>
      </c>
      <c r="C514" s="2">
        <f t="shared" ref="C514:C577" si="8">1-(B$2/B514)</f>
        <v>0.87985039738195425</v>
      </c>
    </row>
    <row r="515" spans="1:3" x14ac:dyDescent="0.25">
      <c r="A515" s="1">
        <v>42736</v>
      </c>
      <c r="B515">
        <v>426.9</v>
      </c>
      <c r="C515" s="2">
        <f t="shared" si="8"/>
        <v>0.87959709533848673</v>
      </c>
    </row>
    <row r="516" spans="1:3" x14ac:dyDescent="0.25">
      <c r="A516" s="1">
        <v>42767</v>
      </c>
      <c r="B516">
        <v>426.7</v>
      </c>
      <c r="C516" s="2">
        <f t="shared" si="8"/>
        <v>0.87954066088586824</v>
      </c>
    </row>
    <row r="517" spans="1:3" x14ac:dyDescent="0.25">
      <c r="A517" s="1">
        <v>42795</v>
      </c>
      <c r="B517">
        <v>429</v>
      </c>
      <c r="C517" s="2">
        <f t="shared" si="8"/>
        <v>0.88018648018648016</v>
      </c>
    </row>
    <row r="518" spans="1:3" x14ac:dyDescent="0.25">
      <c r="A518" s="1">
        <v>42826</v>
      </c>
      <c r="B518">
        <v>434.1</v>
      </c>
      <c r="C518" s="2">
        <f t="shared" si="8"/>
        <v>0.8815941027413039</v>
      </c>
    </row>
    <row r="519" spans="1:3" x14ac:dyDescent="0.25">
      <c r="A519" s="1">
        <v>42856</v>
      </c>
      <c r="B519">
        <v>434.9</v>
      </c>
      <c r="C519" s="2">
        <f t="shared" si="8"/>
        <v>0.88181191078408827</v>
      </c>
    </row>
    <row r="520" spans="1:3" x14ac:dyDescent="0.25">
      <c r="A520" s="1">
        <v>42887</v>
      </c>
      <c r="B520">
        <v>435.8</v>
      </c>
      <c r="C520" s="2">
        <f t="shared" si="8"/>
        <v>0.88205598898577331</v>
      </c>
    </row>
    <row r="521" spans="1:3" x14ac:dyDescent="0.25">
      <c r="A521" s="1">
        <v>42917</v>
      </c>
      <c r="B521">
        <v>438.4</v>
      </c>
      <c r="C521" s="2">
        <f t="shared" si="8"/>
        <v>0.88275547445255476</v>
      </c>
    </row>
    <row r="522" spans="1:3" x14ac:dyDescent="0.25">
      <c r="A522" s="1">
        <v>42948</v>
      </c>
      <c r="B522">
        <v>436.8</v>
      </c>
      <c r="C522" s="2">
        <f t="shared" si="8"/>
        <v>0.8823260073260073</v>
      </c>
    </row>
    <row r="523" spans="1:3" x14ac:dyDescent="0.25">
      <c r="A523" s="1">
        <v>42979</v>
      </c>
      <c r="B523">
        <v>440</v>
      </c>
      <c r="C523" s="2">
        <f t="shared" si="8"/>
        <v>0.88318181818181818</v>
      </c>
    </row>
    <row r="524" spans="1:3" x14ac:dyDescent="0.25">
      <c r="A524" s="1">
        <v>43009</v>
      </c>
      <c r="B524">
        <v>439</v>
      </c>
      <c r="C524" s="2">
        <f t="shared" si="8"/>
        <v>0.88291571753986331</v>
      </c>
    </row>
    <row r="525" spans="1:3" x14ac:dyDescent="0.25">
      <c r="A525" s="1">
        <v>43040</v>
      </c>
      <c r="B525">
        <v>437</v>
      </c>
      <c r="C525" s="2">
        <f t="shared" si="8"/>
        <v>0.88237986270022883</v>
      </c>
    </row>
    <row r="526" spans="1:3" x14ac:dyDescent="0.25">
      <c r="A526" s="1">
        <v>43070</v>
      </c>
      <c r="B526">
        <v>446.8</v>
      </c>
      <c r="C526" s="2">
        <f t="shared" si="8"/>
        <v>0.88495971351835268</v>
      </c>
    </row>
    <row r="527" spans="1:3" x14ac:dyDescent="0.25">
      <c r="A527" s="1">
        <v>43101</v>
      </c>
      <c r="B527">
        <v>446.3</v>
      </c>
      <c r="C527" s="2">
        <f t="shared" si="8"/>
        <v>0.88483083127940843</v>
      </c>
    </row>
    <row r="528" spans="1:3" x14ac:dyDescent="0.25">
      <c r="A528" s="1">
        <v>43132</v>
      </c>
      <c r="B528">
        <v>449.2</v>
      </c>
      <c r="C528" s="2">
        <f t="shared" si="8"/>
        <v>0.88557435440783616</v>
      </c>
    </row>
    <row r="529" spans="1:3" x14ac:dyDescent="0.25">
      <c r="A529" s="1">
        <v>43160</v>
      </c>
      <c r="B529">
        <v>455</v>
      </c>
      <c r="C529" s="2">
        <f t="shared" si="8"/>
        <v>0.88703296703296708</v>
      </c>
    </row>
    <row r="530" spans="1:3" x14ac:dyDescent="0.25">
      <c r="A530" s="1">
        <v>43191</v>
      </c>
      <c r="B530">
        <v>461.3</v>
      </c>
      <c r="C530" s="2">
        <f t="shared" si="8"/>
        <v>0.88857576414480821</v>
      </c>
    </row>
    <row r="531" spans="1:3" x14ac:dyDescent="0.25">
      <c r="A531" s="1">
        <v>43221</v>
      </c>
      <c r="B531">
        <v>465.9</v>
      </c>
      <c r="C531" s="2">
        <f t="shared" si="8"/>
        <v>0.88967589611504616</v>
      </c>
    </row>
    <row r="532" spans="1:3" x14ac:dyDescent="0.25">
      <c r="A532" s="1">
        <v>43252</v>
      </c>
      <c r="B532">
        <v>470.1</v>
      </c>
      <c r="C532" s="2">
        <f t="shared" si="8"/>
        <v>0.89066156136992136</v>
      </c>
    </row>
    <row r="533" spans="1:3" x14ac:dyDescent="0.25">
      <c r="A533" s="1">
        <v>43282</v>
      </c>
      <c r="B533">
        <v>475.7</v>
      </c>
      <c r="C533" s="2">
        <f t="shared" si="8"/>
        <v>0.89194870716838348</v>
      </c>
    </row>
    <row r="534" spans="1:3" x14ac:dyDescent="0.25">
      <c r="A534" s="1">
        <v>43313</v>
      </c>
      <c r="B534">
        <v>478.7</v>
      </c>
      <c r="C534" s="2">
        <f t="shared" si="8"/>
        <v>0.89262586170879465</v>
      </c>
    </row>
    <row r="535" spans="1:3" x14ac:dyDescent="0.25">
      <c r="A535" s="1">
        <v>43344</v>
      </c>
      <c r="B535">
        <v>478.5</v>
      </c>
      <c r="C535" s="2">
        <f t="shared" si="8"/>
        <v>0.89258098223615467</v>
      </c>
    </row>
    <row r="536" spans="1:3" x14ac:dyDescent="0.25">
      <c r="A536" s="1">
        <v>43374</v>
      </c>
      <c r="B536">
        <v>479.6</v>
      </c>
      <c r="C536" s="2">
        <f t="shared" si="8"/>
        <v>0.89282735613010844</v>
      </c>
    </row>
    <row r="537" spans="1:3" x14ac:dyDescent="0.25">
      <c r="A537" s="1">
        <v>43405</v>
      </c>
      <c r="B537">
        <v>478.7</v>
      </c>
      <c r="C537" s="2">
        <f t="shared" si="8"/>
        <v>0.89262586170879465</v>
      </c>
    </row>
    <row r="538" spans="1:3" x14ac:dyDescent="0.25">
      <c r="A538" s="1">
        <v>43435</v>
      </c>
      <c r="B538">
        <v>480.2</v>
      </c>
      <c r="C538" s="2">
        <f t="shared" si="8"/>
        <v>0.89296126613910864</v>
      </c>
    </row>
    <row r="539" spans="1:3" x14ac:dyDescent="0.25">
      <c r="A539" s="1">
        <v>43466</v>
      </c>
      <c r="B539">
        <v>481.2</v>
      </c>
      <c r="C539" s="2">
        <f t="shared" si="8"/>
        <v>0.89318370739817121</v>
      </c>
    </row>
    <row r="540" spans="1:3" x14ac:dyDescent="0.25">
      <c r="A540" s="1">
        <v>43497</v>
      </c>
      <c r="B540">
        <v>480.7</v>
      </c>
      <c r="C540" s="2">
        <f t="shared" si="8"/>
        <v>0.89307260245475351</v>
      </c>
    </row>
    <row r="541" spans="1:3" x14ac:dyDescent="0.25">
      <c r="A541" s="1">
        <v>43525</v>
      </c>
      <c r="B541">
        <v>477.3</v>
      </c>
      <c r="C541" s="2">
        <f t="shared" si="8"/>
        <v>0.89231091556672948</v>
      </c>
    </row>
    <row r="542" spans="1:3" x14ac:dyDescent="0.25">
      <c r="A542" s="1">
        <v>43556</v>
      </c>
      <c r="B542">
        <v>476.3</v>
      </c>
      <c r="C542" s="2">
        <f t="shared" si="8"/>
        <v>0.89208482049128701</v>
      </c>
    </row>
    <row r="543" spans="1:3" x14ac:dyDescent="0.25">
      <c r="A543" s="1">
        <v>43586</v>
      </c>
      <c r="B543">
        <v>478.1</v>
      </c>
      <c r="C543" s="2">
        <f t="shared" si="8"/>
        <v>0.89249111064630826</v>
      </c>
    </row>
    <row r="544" spans="1:3" x14ac:dyDescent="0.25">
      <c r="A544" s="1">
        <v>43617</v>
      </c>
      <c r="B544">
        <v>487.1</v>
      </c>
      <c r="C544" s="2">
        <f t="shared" si="8"/>
        <v>0.89447752001642378</v>
      </c>
    </row>
    <row r="545" spans="1:3" x14ac:dyDescent="0.25">
      <c r="A545" s="1">
        <v>43647</v>
      </c>
      <c r="B545">
        <v>487.2</v>
      </c>
      <c r="C545" s="2">
        <f t="shared" si="8"/>
        <v>0.89449917898193765</v>
      </c>
    </row>
    <row r="546" spans="1:3" x14ac:dyDescent="0.25">
      <c r="A546" s="1">
        <v>43678</v>
      </c>
      <c r="B546">
        <v>488.2</v>
      </c>
      <c r="C546" s="2">
        <f t="shared" si="8"/>
        <v>0.89471528062269567</v>
      </c>
    </row>
    <row r="547" spans="1:3" x14ac:dyDescent="0.25">
      <c r="A547" s="1">
        <v>43709</v>
      </c>
      <c r="B547">
        <v>487.7</v>
      </c>
      <c r="C547" s="2">
        <f t="shared" si="8"/>
        <v>0.89460734057822433</v>
      </c>
    </row>
    <row r="548" spans="1:3" x14ac:dyDescent="0.25">
      <c r="A548" s="1">
        <v>43739</v>
      </c>
      <c r="B548">
        <v>489.2</v>
      </c>
      <c r="C548" s="2">
        <f t="shared" si="8"/>
        <v>0.89493049877350772</v>
      </c>
    </row>
    <row r="549" spans="1:3" x14ac:dyDescent="0.25">
      <c r="A549" s="1">
        <v>43770</v>
      </c>
      <c r="B549">
        <v>489.4</v>
      </c>
      <c r="C549" s="2">
        <f t="shared" si="8"/>
        <v>0.89497343686146302</v>
      </c>
    </row>
    <row r="550" spans="1:3" x14ac:dyDescent="0.25">
      <c r="A550" s="1">
        <v>43800</v>
      </c>
      <c r="B550">
        <v>490.1</v>
      </c>
      <c r="C550" s="2">
        <f t="shared" si="8"/>
        <v>0.89512344419506218</v>
      </c>
    </row>
    <row r="551" spans="1:3" x14ac:dyDescent="0.25">
      <c r="A551" s="1">
        <v>43831</v>
      </c>
      <c r="B551">
        <v>490.3</v>
      </c>
      <c r="C551" s="2">
        <f t="shared" si="8"/>
        <v>0.89516622476035079</v>
      </c>
    </row>
    <row r="552" spans="1:3" x14ac:dyDescent="0.25">
      <c r="A552" s="1">
        <v>43862</v>
      </c>
      <c r="B552">
        <v>490.8</v>
      </c>
      <c r="C552" s="2">
        <f t="shared" si="8"/>
        <v>0.89527302363488181</v>
      </c>
    </row>
    <row r="553" spans="1:3" x14ac:dyDescent="0.25">
      <c r="A553" s="1">
        <v>43891</v>
      </c>
      <c r="B553">
        <v>489.9</v>
      </c>
      <c r="C553" s="2">
        <f t="shared" si="8"/>
        <v>0.89508062869973459</v>
      </c>
    </row>
    <row r="554" spans="1:3" x14ac:dyDescent="0.25">
      <c r="A554" s="1">
        <v>43922</v>
      </c>
      <c r="B554">
        <v>489.6</v>
      </c>
      <c r="C554" s="2">
        <f t="shared" si="8"/>
        <v>0.89501633986928109</v>
      </c>
    </row>
    <row r="555" spans="1:3" x14ac:dyDescent="0.25">
      <c r="A555" s="1">
        <v>43952</v>
      </c>
      <c r="B555">
        <v>486.9</v>
      </c>
      <c r="C555" s="2">
        <f t="shared" si="8"/>
        <v>0.89443417539535841</v>
      </c>
    </row>
    <row r="556" spans="1:3" x14ac:dyDescent="0.25">
      <c r="A556" s="1">
        <v>43983</v>
      </c>
      <c r="B556">
        <v>486.5</v>
      </c>
      <c r="C556" s="2">
        <f t="shared" si="8"/>
        <v>0.89434737923946561</v>
      </c>
    </row>
    <row r="557" spans="1:3" x14ac:dyDescent="0.25">
      <c r="A557" s="1">
        <v>44013</v>
      </c>
      <c r="B557">
        <v>483.4</v>
      </c>
      <c r="C557" s="2">
        <f t="shared" si="8"/>
        <v>0.8936698386429458</v>
      </c>
    </row>
    <row r="558" spans="1:3" x14ac:dyDescent="0.25">
      <c r="A558" s="1">
        <v>44044</v>
      </c>
      <c r="B558">
        <v>484.2</v>
      </c>
      <c r="C558" s="2">
        <f t="shared" si="8"/>
        <v>0.89384551838083437</v>
      </c>
    </row>
    <row r="559" spans="1:3" x14ac:dyDescent="0.25">
      <c r="A559" s="1">
        <v>44075</v>
      </c>
      <c r="B559">
        <v>484.4</v>
      </c>
      <c r="C559" s="2">
        <f t="shared" si="8"/>
        <v>0.89388934764657302</v>
      </c>
    </row>
    <row r="560" spans="1:3" x14ac:dyDescent="0.25">
      <c r="A560" s="1">
        <v>44105</v>
      </c>
      <c r="B560">
        <v>484.5</v>
      </c>
      <c r="C560" s="2">
        <f t="shared" si="8"/>
        <v>0.89391124871001026</v>
      </c>
    </row>
    <row r="561" spans="1:3" x14ac:dyDescent="0.25">
      <c r="A561" s="1">
        <v>44136</v>
      </c>
      <c r="B561">
        <v>486.7</v>
      </c>
      <c r="C561" s="2">
        <f t="shared" si="8"/>
        <v>0.89439079515101705</v>
      </c>
    </row>
    <row r="562" spans="1:3" x14ac:dyDescent="0.25">
      <c r="A562" s="1">
        <v>44166</v>
      </c>
      <c r="B562">
        <v>486.3</v>
      </c>
      <c r="C562" s="2">
        <f t="shared" si="8"/>
        <v>0.89430392761669752</v>
      </c>
    </row>
    <row r="563" spans="1:3" x14ac:dyDescent="0.25">
      <c r="A563" s="1">
        <v>44197</v>
      </c>
      <c r="B563">
        <v>489.5</v>
      </c>
      <c r="C563" s="2">
        <f t="shared" si="8"/>
        <v>0.89499489274770172</v>
      </c>
    </row>
    <row r="564" spans="1:3" x14ac:dyDescent="0.25">
      <c r="A564" s="1">
        <v>44228</v>
      </c>
      <c r="B564">
        <v>491.2</v>
      </c>
      <c r="C564" s="2">
        <f t="shared" si="8"/>
        <v>0.89535830618892509</v>
      </c>
    </row>
    <row r="565" spans="1:3" x14ac:dyDescent="0.25">
      <c r="A565" s="1">
        <v>44256</v>
      </c>
      <c r="B565">
        <v>502.2</v>
      </c>
      <c r="C565" s="2">
        <f t="shared" si="8"/>
        <v>0.89765033851055354</v>
      </c>
    </row>
    <row r="566" spans="1:3" x14ac:dyDescent="0.25">
      <c r="A566" s="1">
        <v>44287</v>
      </c>
      <c r="B566">
        <v>514.5</v>
      </c>
      <c r="C566" s="2">
        <f t="shared" si="8"/>
        <v>0.90009718172983477</v>
      </c>
    </row>
    <row r="567" spans="1:3" x14ac:dyDescent="0.25">
      <c r="A567" s="1">
        <v>44317</v>
      </c>
      <c r="B567">
        <v>515.6</v>
      </c>
      <c r="C567" s="2">
        <f t="shared" si="8"/>
        <v>0.9003103180760279</v>
      </c>
    </row>
    <row r="568" spans="1:3" x14ac:dyDescent="0.25">
      <c r="A568" s="1">
        <v>44348</v>
      </c>
      <c r="B568">
        <v>518.6</v>
      </c>
      <c r="C568" s="2">
        <f t="shared" si="8"/>
        <v>0.90088700347088313</v>
      </c>
    </row>
    <row r="569" spans="1:3" x14ac:dyDescent="0.25">
      <c r="A569" s="1">
        <v>44378</v>
      </c>
      <c r="B569">
        <v>527.17999999999995</v>
      </c>
      <c r="C569" s="2">
        <f t="shared" si="8"/>
        <v>0.90250009484426574</v>
      </c>
    </row>
    <row r="570" spans="1:3" x14ac:dyDescent="0.25">
      <c r="A570" s="1">
        <v>44409</v>
      </c>
      <c r="B570">
        <v>535.18799999999999</v>
      </c>
      <c r="C570" s="2">
        <f t="shared" si="8"/>
        <v>0.90395898263787677</v>
      </c>
    </row>
    <row r="571" spans="1:3" x14ac:dyDescent="0.25">
      <c r="A571" s="1">
        <v>44440</v>
      </c>
      <c r="B571">
        <v>536.46500000000003</v>
      </c>
      <c r="C571" s="2">
        <f t="shared" si="8"/>
        <v>0.90418759844537855</v>
      </c>
    </row>
    <row r="572" spans="1:3" x14ac:dyDescent="0.25">
      <c r="A572" s="1">
        <v>44470</v>
      </c>
      <c r="B572">
        <v>555.524</v>
      </c>
      <c r="C572" s="2">
        <f t="shared" si="8"/>
        <v>0.90747474456549138</v>
      </c>
    </row>
    <row r="573" spans="1:3" x14ac:dyDescent="0.25">
      <c r="A573" s="1">
        <v>44501</v>
      </c>
      <c r="B573">
        <v>555.41300000000001</v>
      </c>
      <c r="C573" s="2">
        <f t="shared" si="8"/>
        <v>0.90745625327459023</v>
      </c>
    </row>
    <row r="574" spans="1:3" x14ac:dyDescent="0.25">
      <c r="A574" s="1">
        <v>44531</v>
      </c>
      <c r="B574">
        <v>556.33199999999999</v>
      </c>
      <c r="C574" s="2">
        <f t="shared" si="8"/>
        <v>0.90760912548622041</v>
      </c>
    </row>
    <row r="575" spans="1:3" x14ac:dyDescent="0.25">
      <c r="A575" s="1">
        <v>44562</v>
      </c>
      <c r="B575">
        <v>561.06200000000001</v>
      </c>
      <c r="C575" s="2">
        <f t="shared" si="8"/>
        <v>0.90838802128819984</v>
      </c>
    </row>
    <row r="576" spans="1:3" x14ac:dyDescent="0.25">
      <c r="A576" s="1">
        <v>44593</v>
      </c>
      <c r="B576">
        <v>563.44299999999998</v>
      </c>
      <c r="C576" s="2">
        <f t="shared" si="8"/>
        <v>0.90877515560580213</v>
      </c>
    </row>
    <row r="577" spans="1:3" x14ac:dyDescent="0.25">
      <c r="A577" s="1">
        <v>44621</v>
      </c>
      <c r="B577">
        <v>569.94399999999996</v>
      </c>
      <c r="C577" s="2">
        <f t="shared" si="8"/>
        <v>0.90981570119169608</v>
      </c>
    </row>
    <row r="578" spans="1:3" x14ac:dyDescent="0.25">
      <c r="A578" s="1">
        <v>44652</v>
      </c>
      <c r="B578">
        <v>597.36500000000001</v>
      </c>
      <c r="C578" s="2">
        <f t="shared" ref="C578:C641" si="9">1-(B$2/B578)</f>
        <v>0.91395545437044357</v>
      </c>
    </row>
    <row r="579" spans="1:3" x14ac:dyDescent="0.25">
      <c r="A579" s="1">
        <v>44682</v>
      </c>
      <c r="B579">
        <v>596.49</v>
      </c>
      <c r="C579" s="2">
        <f t="shared" si="9"/>
        <v>0.91382923435430607</v>
      </c>
    </row>
    <row r="580" spans="1:3" x14ac:dyDescent="0.25">
      <c r="A580" s="1">
        <v>44713</v>
      </c>
      <c r="B580">
        <v>633.42399999999998</v>
      </c>
      <c r="C580" s="2">
        <f t="shared" si="9"/>
        <v>0.91885372199348303</v>
      </c>
    </row>
    <row r="581" spans="1:3" x14ac:dyDescent="0.25">
      <c r="A581" s="1">
        <v>44743</v>
      </c>
      <c r="B581">
        <v>652.29600000000005</v>
      </c>
      <c r="C581" s="2">
        <f t="shared" si="9"/>
        <v>0.92120141776126174</v>
      </c>
    </row>
    <row r="582" spans="1:3" x14ac:dyDescent="0.25">
      <c r="A582" s="1">
        <v>44774</v>
      </c>
      <c r="B582">
        <v>655.67100000000005</v>
      </c>
      <c r="C582" s="2">
        <f t="shared" si="9"/>
        <v>0.92160702547466644</v>
      </c>
    </row>
    <row r="583" spans="1:3" x14ac:dyDescent="0.25">
      <c r="A583" s="1">
        <v>44805</v>
      </c>
      <c r="B583">
        <v>673.96900000000005</v>
      </c>
      <c r="C583" s="2">
        <f t="shared" si="9"/>
        <v>0.92373536468294537</v>
      </c>
    </row>
    <row r="584" spans="1:3" x14ac:dyDescent="0.25">
      <c r="A584" s="1">
        <v>44835</v>
      </c>
      <c r="B584">
        <v>684.56399999999996</v>
      </c>
      <c r="C584" s="2">
        <f t="shared" si="9"/>
        <v>0.92491571277484641</v>
      </c>
    </row>
    <row r="585" spans="1:3" x14ac:dyDescent="0.25">
      <c r="A585" s="1">
        <v>44866</v>
      </c>
      <c r="B585">
        <v>686.822</v>
      </c>
      <c r="C585" s="2">
        <f t="shared" si="9"/>
        <v>0.92516256031402611</v>
      </c>
    </row>
    <row r="586" spans="1:3" x14ac:dyDescent="0.25">
      <c r="A586" s="1">
        <v>44896</v>
      </c>
      <c r="B586">
        <v>686.55600000000004</v>
      </c>
      <c r="C586" s="2">
        <f t="shared" si="9"/>
        <v>0.92513356521536483</v>
      </c>
    </row>
    <row r="587" spans="1:3" x14ac:dyDescent="0.25">
      <c r="A587" s="1">
        <v>44927</v>
      </c>
      <c r="B587">
        <v>682.928</v>
      </c>
      <c r="C587" s="2">
        <f t="shared" si="9"/>
        <v>0.92473584330998293</v>
      </c>
    </row>
    <row r="588" spans="1:3" x14ac:dyDescent="0.25">
      <c r="A588" s="1">
        <v>44958</v>
      </c>
      <c r="B588">
        <v>678.94299999999998</v>
      </c>
      <c r="C588" s="2">
        <f t="shared" si="9"/>
        <v>0.92429408654334755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295C4-2474-412D-A421-4E0718F02CD1}">
  <sheetPr>
    <tabColor theme="2" tint="-0.249977111117893"/>
  </sheetPr>
  <dimension ref="A1:B602"/>
  <sheetViews>
    <sheetView workbookViewId="0"/>
  </sheetViews>
  <sheetFormatPr defaultRowHeight="15" x14ac:dyDescent="0.25"/>
  <cols>
    <col min="1" max="1" width="15.85546875" bestFit="1" customWidth="1"/>
    <col min="2" max="2" width="16.71093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26696</v>
      </c>
      <c r="B2">
        <v>12.5</v>
      </c>
    </row>
    <row r="3" spans="1:2" x14ac:dyDescent="0.25">
      <c r="A3" s="1">
        <v>26724</v>
      </c>
      <c r="B3">
        <v>12.7</v>
      </c>
    </row>
    <row r="4" spans="1:2" x14ac:dyDescent="0.25">
      <c r="A4" s="1">
        <v>26755</v>
      </c>
      <c r="B4">
        <v>12.8</v>
      </c>
    </row>
    <row r="5" spans="1:2" x14ac:dyDescent="0.25">
      <c r="A5" s="1">
        <v>26785</v>
      </c>
      <c r="B5">
        <v>13.3</v>
      </c>
    </row>
    <row r="6" spans="1:2" x14ac:dyDescent="0.25">
      <c r="A6" s="1">
        <v>26816</v>
      </c>
      <c r="B6">
        <v>13.8</v>
      </c>
    </row>
    <row r="7" spans="1:2" x14ac:dyDescent="0.25">
      <c r="A7" s="1">
        <v>26846</v>
      </c>
      <c r="B7">
        <v>14.4</v>
      </c>
    </row>
    <row r="8" spans="1:2" x14ac:dyDescent="0.25">
      <c r="A8" s="1">
        <v>26877</v>
      </c>
      <c r="B8">
        <v>14.5</v>
      </c>
    </row>
    <row r="9" spans="1:2" x14ac:dyDescent="0.25">
      <c r="A9" s="1">
        <v>26908</v>
      </c>
      <c r="B9">
        <v>14.7</v>
      </c>
    </row>
    <row r="10" spans="1:2" x14ac:dyDescent="0.25">
      <c r="A10" s="1">
        <v>26938</v>
      </c>
      <c r="B10">
        <v>15</v>
      </c>
    </row>
    <row r="11" spans="1:2" x14ac:dyDescent="0.25">
      <c r="A11" s="1">
        <v>26969</v>
      </c>
      <c r="B11">
        <v>15.8</v>
      </c>
    </row>
    <row r="12" spans="1:2" x14ac:dyDescent="0.25">
      <c r="A12" s="1">
        <v>26999</v>
      </c>
      <c r="B12">
        <v>17.2</v>
      </c>
    </row>
    <row r="13" spans="1:2" x14ac:dyDescent="0.25">
      <c r="A13" s="1">
        <v>27030</v>
      </c>
      <c r="B13">
        <v>19.8</v>
      </c>
    </row>
    <row r="14" spans="1:2" x14ac:dyDescent="0.25">
      <c r="A14" s="1">
        <v>27061</v>
      </c>
      <c r="B14">
        <v>23.4</v>
      </c>
    </row>
    <row r="15" spans="1:2" x14ac:dyDescent="0.25">
      <c r="A15" s="1">
        <v>27089</v>
      </c>
      <c r="B15">
        <v>24.9</v>
      </c>
    </row>
    <row r="16" spans="1:2" x14ac:dyDescent="0.25">
      <c r="A16" s="1">
        <v>27120</v>
      </c>
      <c r="B16">
        <v>26.1</v>
      </c>
    </row>
    <row r="17" spans="1:2" x14ac:dyDescent="0.25">
      <c r="A17" s="1">
        <v>27150</v>
      </c>
      <c r="B17">
        <v>27.6</v>
      </c>
    </row>
    <row r="18" spans="1:2" x14ac:dyDescent="0.25">
      <c r="A18" s="1">
        <v>27181</v>
      </c>
      <c r="B18">
        <v>28.9</v>
      </c>
    </row>
    <row r="19" spans="1:2" x14ac:dyDescent="0.25">
      <c r="A19" s="1">
        <v>27211</v>
      </c>
      <c r="B19">
        <v>30.2</v>
      </c>
    </row>
    <row r="20" spans="1:2" x14ac:dyDescent="0.25">
      <c r="A20" s="1">
        <v>27242</v>
      </c>
      <c r="B20">
        <v>30.4</v>
      </c>
    </row>
    <row r="21" spans="1:2" x14ac:dyDescent="0.25">
      <c r="A21" s="1">
        <v>27273</v>
      </c>
      <c r="B21">
        <v>31</v>
      </c>
    </row>
    <row r="22" spans="1:2" x14ac:dyDescent="0.25">
      <c r="A22" s="1">
        <v>27303</v>
      </c>
      <c r="B22">
        <v>30.4</v>
      </c>
    </row>
    <row r="23" spans="1:2" x14ac:dyDescent="0.25">
      <c r="A23" s="1">
        <v>27334</v>
      </c>
      <c r="B23">
        <v>29.7</v>
      </c>
    </row>
    <row r="24" spans="1:2" x14ac:dyDescent="0.25">
      <c r="A24" s="1">
        <v>27364</v>
      </c>
      <c r="B24">
        <v>30</v>
      </c>
    </row>
    <row r="25" spans="1:2" x14ac:dyDescent="0.25">
      <c r="A25" s="1">
        <v>27395</v>
      </c>
      <c r="B25">
        <v>29.8</v>
      </c>
    </row>
    <row r="26" spans="1:2" x14ac:dyDescent="0.25">
      <c r="A26" s="1">
        <v>27426</v>
      </c>
      <c r="B26">
        <v>29.6</v>
      </c>
    </row>
    <row r="27" spans="1:2" x14ac:dyDescent="0.25">
      <c r="A27" s="1">
        <v>27454</v>
      </c>
      <c r="B27">
        <v>29.5</v>
      </c>
    </row>
    <row r="28" spans="1:2" x14ac:dyDescent="0.25">
      <c r="A28" s="1">
        <v>27485</v>
      </c>
      <c r="B28">
        <v>29.7</v>
      </c>
    </row>
    <row r="29" spans="1:2" x14ac:dyDescent="0.25">
      <c r="A29" s="1">
        <v>27515</v>
      </c>
      <c r="B29">
        <v>29.6</v>
      </c>
    </row>
    <row r="30" spans="1:2" x14ac:dyDescent="0.25">
      <c r="A30" s="1">
        <v>27546</v>
      </c>
      <c r="B30">
        <v>30.6</v>
      </c>
    </row>
    <row r="31" spans="1:2" x14ac:dyDescent="0.25">
      <c r="A31" s="1">
        <v>27576</v>
      </c>
      <c r="B31">
        <v>31.5</v>
      </c>
    </row>
    <row r="32" spans="1:2" x14ac:dyDescent="0.25">
      <c r="A32" s="1">
        <v>27607</v>
      </c>
      <c r="B32">
        <v>31.9</v>
      </c>
    </row>
    <row r="33" spans="1:2" x14ac:dyDescent="0.25">
      <c r="A33" s="1">
        <v>27638</v>
      </c>
      <c r="B33">
        <v>32.4</v>
      </c>
    </row>
    <row r="34" spans="1:2" x14ac:dyDescent="0.25">
      <c r="A34" s="1">
        <v>27668</v>
      </c>
      <c r="B34">
        <v>32.700000000000003</v>
      </c>
    </row>
    <row r="35" spans="1:2" x14ac:dyDescent="0.25">
      <c r="A35" s="1">
        <v>27699</v>
      </c>
      <c r="B35">
        <v>33.6</v>
      </c>
    </row>
    <row r="36" spans="1:2" x14ac:dyDescent="0.25">
      <c r="A36" s="1">
        <v>27729</v>
      </c>
      <c r="B36">
        <v>34</v>
      </c>
    </row>
    <row r="37" spans="1:2" x14ac:dyDescent="0.25">
      <c r="A37" s="1">
        <v>27760</v>
      </c>
      <c r="B37">
        <v>33.9</v>
      </c>
    </row>
    <row r="38" spans="1:2" x14ac:dyDescent="0.25">
      <c r="A38" s="1">
        <v>27791</v>
      </c>
      <c r="B38">
        <v>34.200000000000003</v>
      </c>
    </row>
    <row r="39" spans="1:2" x14ac:dyDescent="0.25">
      <c r="A39" s="1">
        <v>27820</v>
      </c>
      <c r="B39">
        <v>34</v>
      </c>
    </row>
    <row r="40" spans="1:2" x14ac:dyDescent="0.25">
      <c r="A40" s="1">
        <v>27851</v>
      </c>
      <c r="B40">
        <v>33.700000000000003</v>
      </c>
    </row>
    <row r="41" spans="1:2" x14ac:dyDescent="0.25">
      <c r="A41" s="1">
        <v>27881</v>
      </c>
      <c r="B41">
        <v>33.4</v>
      </c>
    </row>
    <row r="42" spans="1:2" x14ac:dyDescent="0.25">
      <c r="A42" s="1">
        <v>27912</v>
      </c>
      <c r="B42">
        <v>33.5</v>
      </c>
    </row>
    <row r="43" spans="1:2" x14ac:dyDescent="0.25">
      <c r="A43" s="1">
        <v>27942</v>
      </c>
      <c r="B43">
        <v>33.700000000000003</v>
      </c>
    </row>
    <row r="44" spans="1:2" x14ac:dyDescent="0.25">
      <c r="A44" s="1">
        <v>27973</v>
      </c>
      <c r="B44">
        <v>34</v>
      </c>
    </row>
    <row r="45" spans="1:2" x14ac:dyDescent="0.25">
      <c r="A45" s="1">
        <v>28004</v>
      </c>
      <c r="B45">
        <v>34.5</v>
      </c>
    </row>
    <row r="46" spans="1:2" x14ac:dyDescent="0.25">
      <c r="A46" s="1">
        <v>28034</v>
      </c>
      <c r="B46">
        <v>34.6</v>
      </c>
    </row>
    <row r="47" spans="1:2" x14ac:dyDescent="0.25">
      <c r="A47" s="1">
        <v>28065</v>
      </c>
      <c r="B47">
        <v>34.9</v>
      </c>
    </row>
    <row r="48" spans="1:2" x14ac:dyDescent="0.25">
      <c r="A48" s="1">
        <v>28095</v>
      </c>
      <c r="B48">
        <v>35.299999999999997</v>
      </c>
    </row>
    <row r="49" spans="1:2" x14ac:dyDescent="0.25">
      <c r="A49" s="1">
        <v>28126</v>
      </c>
      <c r="B49">
        <v>36.1</v>
      </c>
    </row>
    <row r="50" spans="1:2" x14ac:dyDescent="0.25">
      <c r="A50" s="1">
        <v>28157</v>
      </c>
      <c r="B50">
        <v>37</v>
      </c>
    </row>
    <row r="51" spans="1:2" x14ac:dyDescent="0.25">
      <c r="A51" s="1">
        <v>28185</v>
      </c>
      <c r="B51">
        <v>37.799999999999997</v>
      </c>
    </row>
    <row r="52" spans="1:2" x14ac:dyDescent="0.25">
      <c r="A52" s="1">
        <v>28216</v>
      </c>
      <c r="B52">
        <v>38.4</v>
      </c>
    </row>
    <row r="53" spans="1:2" x14ac:dyDescent="0.25">
      <c r="A53" s="1">
        <v>28246</v>
      </c>
      <c r="B53">
        <v>38.799999999999997</v>
      </c>
    </row>
    <row r="54" spans="1:2" x14ac:dyDescent="0.25">
      <c r="A54" s="1">
        <v>28277</v>
      </c>
      <c r="B54">
        <v>38.799999999999997</v>
      </c>
    </row>
    <row r="55" spans="1:2" x14ac:dyDescent="0.25">
      <c r="A55" s="1">
        <v>28307</v>
      </c>
      <c r="B55">
        <v>39</v>
      </c>
    </row>
    <row r="56" spans="1:2" x14ac:dyDescent="0.25">
      <c r="A56" s="1">
        <v>28338</v>
      </c>
      <c r="B56">
        <v>39</v>
      </c>
    </row>
    <row r="57" spans="1:2" x14ac:dyDescent="0.25">
      <c r="A57" s="1">
        <v>28369</v>
      </c>
      <c r="B57">
        <v>39.1</v>
      </c>
    </row>
    <row r="58" spans="1:2" x14ac:dyDescent="0.25">
      <c r="A58" s="1">
        <v>28399</v>
      </c>
      <c r="B58">
        <v>39</v>
      </c>
    </row>
    <row r="59" spans="1:2" x14ac:dyDescent="0.25">
      <c r="A59" s="1">
        <v>28430</v>
      </c>
      <c r="B59">
        <v>39.299999999999997</v>
      </c>
    </row>
    <row r="60" spans="1:2" x14ac:dyDescent="0.25">
      <c r="A60" s="1">
        <v>28460</v>
      </c>
      <c r="B60">
        <v>39.4</v>
      </c>
    </row>
    <row r="61" spans="1:2" x14ac:dyDescent="0.25">
      <c r="A61" s="1">
        <v>28491</v>
      </c>
      <c r="B61">
        <v>39.700000000000003</v>
      </c>
    </row>
    <row r="62" spans="1:2" x14ac:dyDescent="0.25">
      <c r="A62" s="1">
        <v>28522</v>
      </c>
      <c r="B62">
        <v>39.799999999999997</v>
      </c>
    </row>
    <row r="63" spans="1:2" x14ac:dyDescent="0.25">
      <c r="A63" s="1">
        <v>28550</v>
      </c>
      <c r="B63">
        <v>39.5</v>
      </c>
    </row>
    <row r="64" spans="1:2" x14ac:dyDescent="0.25">
      <c r="A64" s="1">
        <v>28581</v>
      </c>
      <c r="B64">
        <v>39.4</v>
      </c>
    </row>
    <row r="65" spans="1:2" x14ac:dyDescent="0.25">
      <c r="A65" s="1">
        <v>28611</v>
      </c>
      <c r="B65">
        <v>39.4</v>
      </c>
    </row>
    <row r="66" spans="1:2" x14ac:dyDescent="0.25">
      <c r="A66" s="1">
        <v>28642</v>
      </c>
      <c r="B66">
        <v>39.299999999999997</v>
      </c>
    </row>
    <row r="67" spans="1:2" x14ac:dyDescent="0.25">
      <c r="A67" s="1">
        <v>28672</v>
      </c>
      <c r="B67">
        <v>39.299999999999997</v>
      </c>
    </row>
    <row r="68" spans="1:2" x14ac:dyDescent="0.25">
      <c r="A68" s="1">
        <v>28703</v>
      </c>
      <c r="B68">
        <v>39.4</v>
      </c>
    </row>
    <row r="69" spans="1:2" x14ac:dyDescent="0.25">
      <c r="A69" s="1">
        <v>28734</v>
      </c>
      <c r="B69">
        <v>39.5</v>
      </c>
    </row>
    <row r="70" spans="1:2" x14ac:dyDescent="0.25">
      <c r="A70" s="1">
        <v>28764</v>
      </c>
      <c r="B70">
        <v>40</v>
      </c>
    </row>
    <row r="71" spans="1:2" x14ac:dyDescent="0.25">
      <c r="A71" s="1">
        <v>28795</v>
      </c>
      <c r="B71">
        <v>40.4</v>
      </c>
    </row>
    <row r="72" spans="1:2" x14ac:dyDescent="0.25">
      <c r="A72" s="1">
        <v>28825</v>
      </c>
      <c r="B72">
        <v>41.3</v>
      </c>
    </row>
    <row r="73" spans="1:2" x14ac:dyDescent="0.25">
      <c r="A73" s="1">
        <v>28856</v>
      </c>
      <c r="B73">
        <v>42</v>
      </c>
    </row>
    <row r="74" spans="1:2" x14ac:dyDescent="0.25">
      <c r="A74" s="1">
        <v>28887</v>
      </c>
      <c r="B74">
        <v>42.6</v>
      </c>
    </row>
    <row r="75" spans="1:2" x14ac:dyDescent="0.25">
      <c r="A75" s="1">
        <v>28915</v>
      </c>
      <c r="B75">
        <v>44.4</v>
      </c>
    </row>
    <row r="76" spans="1:2" x14ac:dyDescent="0.25">
      <c r="A76" s="1">
        <v>28946</v>
      </c>
      <c r="B76">
        <v>47</v>
      </c>
    </row>
    <row r="77" spans="1:2" x14ac:dyDescent="0.25">
      <c r="A77" s="1">
        <v>28976</v>
      </c>
      <c r="B77">
        <v>49.9</v>
      </c>
    </row>
    <row r="78" spans="1:2" x14ac:dyDescent="0.25">
      <c r="A78" s="1">
        <v>29007</v>
      </c>
      <c r="B78">
        <v>53.8</v>
      </c>
    </row>
    <row r="79" spans="1:2" x14ac:dyDescent="0.25">
      <c r="A79" s="1">
        <v>29037</v>
      </c>
      <c r="B79">
        <v>59</v>
      </c>
    </row>
    <row r="80" spans="1:2" x14ac:dyDescent="0.25">
      <c r="A80" s="1">
        <v>29068</v>
      </c>
      <c r="B80">
        <v>63.4</v>
      </c>
    </row>
    <row r="81" spans="1:2" x14ac:dyDescent="0.25">
      <c r="A81" s="1">
        <v>29099</v>
      </c>
      <c r="B81">
        <v>68.099999999999994</v>
      </c>
    </row>
    <row r="82" spans="1:2" x14ac:dyDescent="0.25">
      <c r="A82" s="1">
        <v>29129</v>
      </c>
      <c r="B82">
        <v>71.2</v>
      </c>
    </row>
    <row r="83" spans="1:2" x14ac:dyDescent="0.25">
      <c r="A83" s="1">
        <v>29160</v>
      </c>
      <c r="B83">
        <v>71.599999999999994</v>
      </c>
    </row>
    <row r="84" spans="1:2" x14ac:dyDescent="0.25">
      <c r="A84" s="1">
        <v>29190</v>
      </c>
      <c r="B84">
        <v>72.2</v>
      </c>
    </row>
    <row r="85" spans="1:2" x14ac:dyDescent="0.25">
      <c r="A85" s="1">
        <v>29221</v>
      </c>
      <c r="B85">
        <v>74.599999999999994</v>
      </c>
    </row>
    <row r="86" spans="1:2" x14ac:dyDescent="0.25">
      <c r="A86" s="1">
        <v>29252</v>
      </c>
      <c r="B86">
        <v>80.099999999999994</v>
      </c>
    </row>
    <row r="87" spans="1:2" x14ac:dyDescent="0.25">
      <c r="A87" s="1">
        <v>29281</v>
      </c>
      <c r="B87">
        <v>84.5</v>
      </c>
    </row>
    <row r="88" spans="1:2" x14ac:dyDescent="0.25">
      <c r="A88" s="1">
        <v>29312</v>
      </c>
      <c r="B88">
        <v>86.5</v>
      </c>
    </row>
    <row r="89" spans="1:2" x14ac:dyDescent="0.25">
      <c r="A89" s="1">
        <v>29342</v>
      </c>
      <c r="B89">
        <v>87.3</v>
      </c>
    </row>
    <row r="90" spans="1:2" x14ac:dyDescent="0.25">
      <c r="A90" s="1">
        <v>29373</v>
      </c>
      <c r="B90">
        <v>86.5</v>
      </c>
    </row>
    <row r="91" spans="1:2" x14ac:dyDescent="0.25">
      <c r="A91" s="1">
        <v>29403</v>
      </c>
      <c r="B91">
        <v>87.9</v>
      </c>
    </row>
    <row r="92" spans="1:2" x14ac:dyDescent="0.25">
      <c r="A92" s="1">
        <v>29434</v>
      </c>
      <c r="B92">
        <v>88.7</v>
      </c>
    </row>
    <row r="93" spans="1:2" x14ac:dyDescent="0.25">
      <c r="A93" s="1">
        <v>29465</v>
      </c>
      <c r="B93">
        <v>88.5</v>
      </c>
    </row>
    <row r="94" spans="1:2" x14ac:dyDescent="0.25">
      <c r="A94" s="1">
        <v>29495</v>
      </c>
      <c r="B94">
        <v>88.1</v>
      </c>
    </row>
    <row r="95" spans="1:2" x14ac:dyDescent="0.25">
      <c r="A95" s="1">
        <v>29526</v>
      </c>
      <c r="B95">
        <v>88.1</v>
      </c>
    </row>
    <row r="96" spans="1:2" x14ac:dyDescent="0.25">
      <c r="A96" s="1">
        <v>29556</v>
      </c>
      <c r="B96">
        <v>89.2</v>
      </c>
    </row>
    <row r="97" spans="1:2" x14ac:dyDescent="0.25">
      <c r="A97" s="1">
        <v>29587</v>
      </c>
      <c r="B97">
        <v>93.3</v>
      </c>
    </row>
    <row r="98" spans="1:2" x14ac:dyDescent="0.25">
      <c r="A98" s="1">
        <v>29618</v>
      </c>
      <c r="B98">
        <v>99.2</v>
      </c>
    </row>
    <row r="99" spans="1:2" x14ac:dyDescent="0.25">
      <c r="A99" s="1">
        <v>29646</v>
      </c>
      <c r="B99">
        <v>107</v>
      </c>
    </row>
    <row r="100" spans="1:2" x14ac:dyDescent="0.25">
      <c r="A100" s="1">
        <v>29677</v>
      </c>
      <c r="B100">
        <v>109.4</v>
      </c>
    </row>
    <row r="101" spans="1:2" x14ac:dyDescent="0.25">
      <c r="A101" s="1">
        <v>29707</v>
      </c>
      <c r="B101">
        <v>108.8</v>
      </c>
    </row>
    <row r="102" spans="1:2" x14ac:dyDescent="0.25">
      <c r="A102" s="1">
        <v>29738</v>
      </c>
      <c r="B102">
        <v>108.3</v>
      </c>
    </row>
    <row r="103" spans="1:2" x14ac:dyDescent="0.25">
      <c r="A103" s="1">
        <v>29768</v>
      </c>
      <c r="B103">
        <v>107.4</v>
      </c>
    </row>
    <row r="104" spans="1:2" x14ac:dyDescent="0.25">
      <c r="A104" s="1">
        <v>29799</v>
      </c>
      <c r="B104">
        <v>106.7</v>
      </c>
    </row>
    <row r="105" spans="1:2" x14ac:dyDescent="0.25">
      <c r="A105" s="1">
        <v>29830</v>
      </c>
      <c r="B105">
        <v>105.3</v>
      </c>
    </row>
    <row r="106" spans="1:2" x14ac:dyDescent="0.25">
      <c r="A106" s="1">
        <v>29860</v>
      </c>
      <c r="B106">
        <v>105.2</v>
      </c>
    </row>
    <row r="107" spans="1:2" x14ac:dyDescent="0.25">
      <c r="A107" s="1">
        <v>29891</v>
      </c>
      <c r="B107">
        <v>104.3</v>
      </c>
    </row>
    <row r="108" spans="1:2" x14ac:dyDescent="0.25">
      <c r="A108" s="1">
        <v>29921</v>
      </c>
      <c r="B108">
        <v>104.9</v>
      </c>
    </row>
    <row r="109" spans="1:2" x14ac:dyDescent="0.25">
      <c r="A109" s="1">
        <v>29952</v>
      </c>
      <c r="B109">
        <v>105.2</v>
      </c>
    </row>
    <row r="110" spans="1:2" x14ac:dyDescent="0.25">
      <c r="A110" s="1">
        <v>29983</v>
      </c>
      <c r="B110">
        <v>105.1</v>
      </c>
    </row>
    <row r="111" spans="1:2" x14ac:dyDescent="0.25">
      <c r="A111" s="1">
        <v>30011</v>
      </c>
      <c r="B111">
        <v>103.2</v>
      </c>
    </row>
    <row r="112" spans="1:2" x14ac:dyDescent="0.25">
      <c r="A112" s="1">
        <v>30042</v>
      </c>
      <c r="B112">
        <v>97</v>
      </c>
    </row>
    <row r="113" spans="1:2" x14ac:dyDescent="0.25">
      <c r="A113" s="1">
        <v>30072</v>
      </c>
      <c r="B113">
        <v>92.9</v>
      </c>
    </row>
    <row r="114" spans="1:2" x14ac:dyDescent="0.25">
      <c r="A114" s="1">
        <v>30103</v>
      </c>
      <c r="B114">
        <v>95.4</v>
      </c>
    </row>
    <row r="115" spans="1:2" x14ac:dyDescent="0.25">
      <c r="A115" s="1">
        <v>30133</v>
      </c>
      <c r="B115">
        <v>99.8</v>
      </c>
    </row>
    <row r="116" spans="1:2" x14ac:dyDescent="0.25">
      <c r="A116" s="1">
        <v>30164</v>
      </c>
      <c r="B116">
        <v>99.9</v>
      </c>
    </row>
    <row r="117" spans="1:2" x14ac:dyDescent="0.25">
      <c r="A117" s="1">
        <v>30195</v>
      </c>
      <c r="B117">
        <v>98.4</v>
      </c>
    </row>
    <row r="118" spans="1:2" x14ac:dyDescent="0.25">
      <c r="A118" s="1">
        <v>30225</v>
      </c>
      <c r="B118">
        <v>98.3</v>
      </c>
    </row>
    <row r="119" spans="1:2" x14ac:dyDescent="0.25">
      <c r="A119" s="1">
        <v>30256</v>
      </c>
      <c r="B119">
        <v>101.3</v>
      </c>
    </row>
    <row r="120" spans="1:2" x14ac:dyDescent="0.25">
      <c r="A120" s="1">
        <v>30286</v>
      </c>
      <c r="B120">
        <v>103.4</v>
      </c>
    </row>
    <row r="121" spans="1:2" x14ac:dyDescent="0.25">
      <c r="A121" s="1">
        <v>30317</v>
      </c>
      <c r="B121">
        <v>99.3</v>
      </c>
    </row>
    <row r="122" spans="1:2" x14ac:dyDescent="0.25">
      <c r="A122" s="1">
        <v>30348</v>
      </c>
      <c r="B122">
        <v>93.6</v>
      </c>
    </row>
    <row r="123" spans="1:2" x14ac:dyDescent="0.25">
      <c r="A123" s="1">
        <v>30376</v>
      </c>
      <c r="B123">
        <v>87.9</v>
      </c>
    </row>
    <row r="124" spans="1:2" x14ac:dyDescent="0.25">
      <c r="A124" s="1">
        <v>30407</v>
      </c>
      <c r="B124">
        <v>81.5</v>
      </c>
    </row>
    <row r="125" spans="1:2" x14ac:dyDescent="0.25">
      <c r="A125" s="1">
        <v>30437</v>
      </c>
      <c r="B125">
        <v>81.900000000000006</v>
      </c>
    </row>
    <row r="126" spans="1:2" x14ac:dyDescent="0.25">
      <c r="A126" s="1">
        <v>30468</v>
      </c>
      <c r="B126">
        <v>85.5</v>
      </c>
    </row>
    <row r="127" spans="1:2" x14ac:dyDescent="0.25">
      <c r="A127" s="1">
        <v>30498</v>
      </c>
      <c r="B127">
        <v>85.7</v>
      </c>
    </row>
    <row r="128" spans="1:2" x14ac:dyDescent="0.25">
      <c r="A128" s="1">
        <v>30529</v>
      </c>
      <c r="B128">
        <v>86.4</v>
      </c>
    </row>
    <row r="129" spans="1:2" x14ac:dyDescent="0.25">
      <c r="A129" s="1">
        <v>30560</v>
      </c>
      <c r="B129">
        <v>87.2</v>
      </c>
    </row>
    <row r="130" spans="1:2" x14ac:dyDescent="0.25">
      <c r="A130" s="1">
        <v>30590</v>
      </c>
      <c r="B130">
        <v>89.5</v>
      </c>
    </row>
    <row r="131" spans="1:2" x14ac:dyDescent="0.25">
      <c r="A131" s="1">
        <v>30621</v>
      </c>
      <c r="B131">
        <v>88.8</v>
      </c>
    </row>
    <row r="132" spans="1:2" x14ac:dyDescent="0.25">
      <c r="A132" s="1">
        <v>30651</v>
      </c>
      <c r="B132">
        <v>88.1</v>
      </c>
    </row>
    <row r="133" spans="1:2" x14ac:dyDescent="0.25">
      <c r="A133" s="1">
        <v>30682</v>
      </c>
      <c r="B133">
        <v>86.7</v>
      </c>
    </row>
    <row r="134" spans="1:2" x14ac:dyDescent="0.25">
      <c r="A134" s="1">
        <v>30713</v>
      </c>
      <c r="B134">
        <v>89.2</v>
      </c>
    </row>
    <row r="135" spans="1:2" x14ac:dyDescent="0.25">
      <c r="A135" s="1">
        <v>30742</v>
      </c>
      <c r="B135">
        <v>92.3</v>
      </c>
    </row>
    <row r="136" spans="1:2" x14ac:dyDescent="0.25">
      <c r="A136" s="1">
        <v>30773</v>
      </c>
      <c r="B136">
        <v>86.8</v>
      </c>
    </row>
    <row r="137" spans="1:2" x14ac:dyDescent="0.25">
      <c r="A137" s="1">
        <v>30803</v>
      </c>
      <c r="B137">
        <v>85.8</v>
      </c>
    </row>
    <row r="138" spans="1:2" x14ac:dyDescent="0.25">
      <c r="A138" s="1">
        <v>30834</v>
      </c>
      <c r="B138">
        <v>86.9</v>
      </c>
    </row>
    <row r="139" spans="1:2" x14ac:dyDescent="0.25">
      <c r="A139" s="1">
        <v>30864</v>
      </c>
      <c r="B139">
        <v>87.7</v>
      </c>
    </row>
    <row r="140" spans="1:2" x14ac:dyDescent="0.25">
      <c r="A140" s="1">
        <v>30895</v>
      </c>
      <c r="B140">
        <v>84.8</v>
      </c>
    </row>
    <row r="141" spans="1:2" x14ac:dyDescent="0.25">
      <c r="A141" s="1">
        <v>30926</v>
      </c>
      <c r="B141">
        <v>82.8</v>
      </c>
    </row>
    <row r="142" spans="1:2" x14ac:dyDescent="0.25">
      <c r="A142" s="1">
        <v>30956</v>
      </c>
      <c r="B142">
        <v>83.6</v>
      </c>
    </row>
    <row r="143" spans="1:2" x14ac:dyDescent="0.25">
      <c r="A143" s="1">
        <v>30987</v>
      </c>
      <c r="B143">
        <v>85.2</v>
      </c>
    </row>
    <row r="144" spans="1:2" x14ac:dyDescent="0.25">
      <c r="A144" s="1">
        <v>31017</v>
      </c>
      <c r="B144">
        <v>84.2</v>
      </c>
    </row>
    <row r="145" spans="1:2" x14ac:dyDescent="0.25">
      <c r="A145" s="1">
        <v>31048</v>
      </c>
      <c r="B145">
        <v>83.2</v>
      </c>
    </row>
    <row r="146" spans="1:2" x14ac:dyDescent="0.25">
      <c r="A146" s="1">
        <v>31079</v>
      </c>
      <c r="B146">
        <v>81.099999999999994</v>
      </c>
    </row>
    <row r="147" spans="1:2" x14ac:dyDescent="0.25">
      <c r="A147" s="1">
        <v>31107</v>
      </c>
      <c r="B147">
        <v>79.900000000000006</v>
      </c>
    </row>
    <row r="148" spans="1:2" x14ac:dyDescent="0.25">
      <c r="A148" s="1">
        <v>31138</v>
      </c>
      <c r="B148">
        <v>80.099999999999994</v>
      </c>
    </row>
    <row r="149" spans="1:2" x14ac:dyDescent="0.25">
      <c r="A149" s="1">
        <v>31168</v>
      </c>
      <c r="B149">
        <v>82.9</v>
      </c>
    </row>
    <row r="150" spans="1:2" x14ac:dyDescent="0.25">
      <c r="A150" s="1">
        <v>31199</v>
      </c>
      <c r="B150">
        <v>79.900000000000006</v>
      </c>
    </row>
    <row r="151" spans="1:2" x14ac:dyDescent="0.25">
      <c r="A151" s="1">
        <v>31229</v>
      </c>
      <c r="B151">
        <v>76.099999999999994</v>
      </c>
    </row>
    <row r="152" spans="1:2" x14ac:dyDescent="0.25">
      <c r="A152" s="1">
        <v>31260</v>
      </c>
      <c r="B152">
        <v>74.3</v>
      </c>
    </row>
    <row r="153" spans="1:2" x14ac:dyDescent="0.25">
      <c r="A153" s="1">
        <v>31291</v>
      </c>
      <c r="B153">
        <v>78.7</v>
      </c>
    </row>
    <row r="154" spans="1:2" x14ac:dyDescent="0.25">
      <c r="A154" s="1">
        <v>31321</v>
      </c>
      <c r="B154">
        <v>82.6</v>
      </c>
    </row>
    <row r="155" spans="1:2" x14ac:dyDescent="0.25">
      <c r="A155" s="1">
        <v>31352</v>
      </c>
      <c r="B155">
        <v>86.7</v>
      </c>
    </row>
    <row r="156" spans="1:2" x14ac:dyDescent="0.25">
      <c r="A156" s="1">
        <v>31382</v>
      </c>
      <c r="B156">
        <v>89.1</v>
      </c>
    </row>
    <row r="157" spans="1:2" x14ac:dyDescent="0.25">
      <c r="A157" s="1">
        <v>31413</v>
      </c>
      <c r="B157">
        <v>81.900000000000006</v>
      </c>
    </row>
    <row r="158" spans="1:2" x14ac:dyDescent="0.25">
      <c r="A158" s="1">
        <v>31444</v>
      </c>
      <c r="B158">
        <v>63.7</v>
      </c>
    </row>
    <row r="159" spans="1:2" x14ac:dyDescent="0.25">
      <c r="A159" s="1">
        <v>31472</v>
      </c>
      <c r="B159">
        <v>49.5</v>
      </c>
    </row>
    <row r="160" spans="1:2" x14ac:dyDescent="0.25">
      <c r="A160" s="1">
        <v>31503</v>
      </c>
      <c r="B160">
        <v>49.5</v>
      </c>
    </row>
    <row r="161" spans="1:2" x14ac:dyDescent="0.25">
      <c r="A161" s="1">
        <v>31533</v>
      </c>
      <c r="B161">
        <v>45.6</v>
      </c>
    </row>
    <row r="162" spans="1:2" x14ac:dyDescent="0.25">
      <c r="A162" s="1">
        <v>31564</v>
      </c>
      <c r="B162">
        <v>43.7</v>
      </c>
    </row>
    <row r="163" spans="1:2" x14ac:dyDescent="0.25">
      <c r="A163" s="1">
        <v>31594</v>
      </c>
      <c r="B163">
        <v>36.1</v>
      </c>
    </row>
    <row r="164" spans="1:2" x14ac:dyDescent="0.25">
      <c r="A164" s="1">
        <v>31625</v>
      </c>
      <c r="B164">
        <v>38.1</v>
      </c>
    </row>
    <row r="165" spans="1:2" x14ac:dyDescent="0.25">
      <c r="A165" s="1">
        <v>31656</v>
      </c>
      <c r="B165">
        <v>45.2</v>
      </c>
    </row>
    <row r="166" spans="1:2" x14ac:dyDescent="0.25">
      <c r="A166" s="1">
        <v>31686</v>
      </c>
      <c r="B166">
        <v>42</v>
      </c>
    </row>
    <row r="167" spans="1:2" x14ac:dyDescent="0.25">
      <c r="A167" s="1">
        <v>31717</v>
      </c>
      <c r="B167">
        <v>42.6</v>
      </c>
    </row>
    <row r="168" spans="1:2" x14ac:dyDescent="0.25">
      <c r="A168" s="1">
        <v>31747</v>
      </c>
      <c r="B168">
        <v>44.8</v>
      </c>
    </row>
    <row r="169" spans="1:2" x14ac:dyDescent="0.25">
      <c r="A169" s="1">
        <v>31778</v>
      </c>
      <c r="B169">
        <v>50.3</v>
      </c>
    </row>
    <row r="170" spans="1:2" x14ac:dyDescent="0.25">
      <c r="A170" s="1">
        <v>31809</v>
      </c>
      <c r="B170">
        <v>52.8</v>
      </c>
    </row>
    <row r="171" spans="1:2" x14ac:dyDescent="0.25">
      <c r="A171" s="1">
        <v>31837</v>
      </c>
      <c r="B171">
        <v>49.7</v>
      </c>
    </row>
    <row r="172" spans="1:2" x14ac:dyDescent="0.25">
      <c r="A172" s="1">
        <v>31868</v>
      </c>
      <c r="B172">
        <v>51.8</v>
      </c>
    </row>
    <row r="173" spans="1:2" x14ac:dyDescent="0.25">
      <c r="A173" s="1">
        <v>31898</v>
      </c>
      <c r="B173">
        <v>53.1</v>
      </c>
    </row>
    <row r="174" spans="1:2" x14ac:dyDescent="0.25">
      <c r="A174" s="1">
        <v>31929</v>
      </c>
      <c r="B174">
        <v>54.8</v>
      </c>
    </row>
    <row r="175" spans="1:2" x14ac:dyDescent="0.25">
      <c r="A175" s="1">
        <v>31959</v>
      </c>
      <c r="B175">
        <v>56.1</v>
      </c>
    </row>
    <row r="176" spans="1:2" x14ac:dyDescent="0.25">
      <c r="A176" s="1">
        <v>31990</v>
      </c>
      <c r="B176">
        <v>59.5</v>
      </c>
    </row>
    <row r="177" spans="1:2" x14ac:dyDescent="0.25">
      <c r="A177" s="1">
        <v>32021</v>
      </c>
      <c r="B177">
        <v>57.5</v>
      </c>
    </row>
    <row r="178" spans="1:2" x14ac:dyDescent="0.25">
      <c r="A178" s="1">
        <v>32051</v>
      </c>
      <c r="B178">
        <v>59.8</v>
      </c>
    </row>
    <row r="179" spans="1:2" x14ac:dyDescent="0.25">
      <c r="A179" s="1">
        <v>32082</v>
      </c>
      <c r="B179">
        <v>61.3</v>
      </c>
    </row>
    <row r="180" spans="1:2" x14ac:dyDescent="0.25">
      <c r="A180" s="1">
        <v>32112</v>
      </c>
      <c r="B180">
        <v>58.1</v>
      </c>
    </row>
    <row r="181" spans="1:2" x14ac:dyDescent="0.25">
      <c r="A181" s="1">
        <v>32143</v>
      </c>
      <c r="B181">
        <v>54.6</v>
      </c>
    </row>
    <row r="182" spans="1:2" x14ac:dyDescent="0.25">
      <c r="A182" s="1">
        <v>32174</v>
      </c>
      <c r="B182">
        <v>51.5</v>
      </c>
    </row>
    <row r="183" spans="1:2" x14ac:dyDescent="0.25">
      <c r="A183" s="1">
        <v>32203</v>
      </c>
      <c r="B183">
        <v>50.3</v>
      </c>
    </row>
    <row r="184" spans="1:2" x14ac:dyDescent="0.25">
      <c r="A184" s="1">
        <v>32234</v>
      </c>
      <c r="B184">
        <v>53.5</v>
      </c>
    </row>
    <row r="185" spans="1:2" x14ac:dyDescent="0.25">
      <c r="A185" s="1">
        <v>32264</v>
      </c>
      <c r="B185">
        <v>54.5</v>
      </c>
    </row>
    <row r="186" spans="1:2" x14ac:dyDescent="0.25">
      <c r="A186" s="1">
        <v>32295</v>
      </c>
      <c r="B186">
        <v>51</v>
      </c>
    </row>
    <row r="187" spans="1:2" x14ac:dyDescent="0.25">
      <c r="A187" s="1">
        <v>32325</v>
      </c>
      <c r="B187">
        <v>47.2</v>
      </c>
    </row>
    <row r="188" spans="1:2" x14ac:dyDescent="0.25">
      <c r="A188" s="1">
        <v>32356</v>
      </c>
      <c r="B188">
        <v>46.9</v>
      </c>
    </row>
    <row r="189" spans="1:2" x14ac:dyDescent="0.25">
      <c r="A189" s="1">
        <v>32387</v>
      </c>
      <c r="B189">
        <v>46.8</v>
      </c>
    </row>
    <row r="190" spans="1:2" x14ac:dyDescent="0.25">
      <c r="A190" s="1">
        <v>32417</v>
      </c>
      <c r="B190">
        <v>42.6</v>
      </c>
    </row>
    <row r="191" spans="1:2" x14ac:dyDescent="0.25">
      <c r="A191" s="1">
        <v>32448</v>
      </c>
      <c r="B191">
        <v>47.1</v>
      </c>
    </row>
    <row r="192" spans="1:2" x14ac:dyDescent="0.25">
      <c r="A192" s="1">
        <v>32478</v>
      </c>
      <c r="B192">
        <v>50.4</v>
      </c>
    </row>
    <row r="193" spans="1:2" x14ac:dyDescent="0.25">
      <c r="A193" s="1">
        <v>32509</v>
      </c>
      <c r="B193">
        <v>54.2</v>
      </c>
    </row>
    <row r="194" spans="1:2" x14ac:dyDescent="0.25">
      <c r="A194" s="1">
        <v>32540</v>
      </c>
      <c r="B194">
        <v>55.1</v>
      </c>
    </row>
    <row r="195" spans="1:2" x14ac:dyDescent="0.25">
      <c r="A195" s="1">
        <v>32568</v>
      </c>
      <c r="B195">
        <v>57.7</v>
      </c>
    </row>
    <row r="196" spans="1:2" x14ac:dyDescent="0.25">
      <c r="A196" s="1">
        <v>32599</v>
      </c>
      <c r="B196">
        <v>62.9</v>
      </c>
    </row>
    <row r="197" spans="1:2" x14ac:dyDescent="0.25">
      <c r="A197" s="1">
        <v>32629</v>
      </c>
      <c r="B197">
        <v>58</v>
      </c>
    </row>
    <row r="198" spans="1:2" x14ac:dyDescent="0.25">
      <c r="A198" s="1">
        <v>32660</v>
      </c>
      <c r="B198">
        <v>54</v>
      </c>
    </row>
    <row r="199" spans="1:2" x14ac:dyDescent="0.25">
      <c r="A199" s="1">
        <v>32690</v>
      </c>
      <c r="B199">
        <v>52.9</v>
      </c>
    </row>
    <row r="200" spans="1:2" x14ac:dyDescent="0.25">
      <c r="A200" s="1">
        <v>32721</v>
      </c>
      <c r="B200">
        <v>53.6</v>
      </c>
    </row>
    <row r="201" spans="1:2" x14ac:dyDescent="0.25">
      <c r="A201" s="1">
        <v>32752</v>
      </c>
      <c r="B201">
        <v>59.5</v>
      </c>
    </row>
    <row r="202" spans="1:2" x14ac:dyDescent="0.25">
      <c r="A202" s="1">
        <v>32782</v>
      </c>
      <c r="B202">
        <v>65.400000000000006</v>
      </c>
    </row>
    <row r="203" spans="1:2" x14ac:dyDescent="0.25">
      <c r="A203" s="1">
        <v>32813</v>
      </c>
      <c r="B203">
        <v>64.8</v>
      </c>
    </row>
    <row r="204" spans="1:2" x14ac:dyDescent="0.25">
      <c r="A204" s="1">
        <v>32843</v>
      </c>
      <c r="B204">
        <v>68.5</v>
      </c>
    </row>
    <row r="205" spans="1:2" x14ac:dyDescent="0.25">
      <c r="A205" s="1">
        <v>32874</v>
      </c>
      <c r="B205">
        <v>84.6</v>
      </c>
    </row>
    <row r="206" spans="1:2" x14ac:dyDescent="0.25">
      <c r="A206" s="1">
        <v>32905</v>
      </c>
      <c r="B206">
        <v>59.8</v>
      </c>
    </row>
    <row r="207" spans="1:2" x14ac:dyDescent="0.25">
      <c r="A207" s="1">
        <v>32933</v>
      </c>
      <c r="B207">
        <v>60.7</v>
      </c>
    </row>
    <row r="208" spans="1:2" x14ac:dyDescent="0.25">
      <c r="A208" s="1">
        <v>32964</v>
      </c>
      <c r="B208">
        <v>60.8</v>
      </c>
    </row>
    <row r="209" spans="1:2" x14ac:dyDescent="0.25">
      <c r="A209" s="1">
        <v>32994</v>
      </c>
      <c r="B209">
        <v>58.6</v>
      </c>
    </row>
    <row r="210" spans="1:2" x14ac:dyDescent="0.25">
      <c r="A210" s="1">
        <v>33025</v>
      </c>
      <c r="B210">
        <v>54</v>
      </c>
    </row>
    <row r="211" spans="1:2" x14ac:dyDescent="0.25">
      <c r="A211" s="1">
        <v>33055</v>
      </c>
      <c r="B211">
        <v>52.2</v>
      </c>
    </row>
    <row r="212" spans="1:2" x14ac:dyDescent="0.25">
      <c r="A212" s="1">
        <v>33086</v>
      </c>
      <c r="B212">
        <v>72.900000000000006</v>
      </c>
    </row>
    <row r="213" spans="1:2" x14ac:dyDescent="0.25">
      <c r="A213" s="1">
        <v>33117</v>
      </c>
      <c r="B213">
        <v>88.4</v>
      </c>
    </row>
    <row r="214" spans="1:2" x14ac:dyDescent="0.25">
      <c r="A214" s="1">
        <v>33147</v>
      </c>
      <c r="B214">
        <v>105.6</v>
      </c>
    </row>
    <row r="215" spans="1:2" x14ac:dyDescent="0.25">
      <c r="A215" s="1">
        <v>33178</v>
      </c>
      <c r="B215">
        <v>100</v>
      </c>
    </row>
    <row r="216" spans="1:2" x14ac:dyDescent="0.25">
      <c r="A216" s="1">
        <v>33208</v>
      </c>
      <c r="B216">
        <v>91</v>
      </c>
    </row>
    <row r="217" spans="1:2" x14ac:dyDescent="0.25">
      <c r="A217" s="1">
        <v>33239</v>
      </c>
      <c r="B217">
        <v>82.4</v>
      </c>
    </row>
    <row r="218" spans="1:2" x14ac:dyDescent="0.25">
      <c r="A218" s="1">
        <v>33270</v>
      </c>
      <c r="B218">
        <v>75.3</v>
      </c>
    </row>
    <row r="219" spans="1:2" x14ac:dyDescent="0.25">
      <c r="A219" s="1">
        <v>33298</v>
      </c>
      <c r="B219">
        <v>62</v>
      </c>
    </row>
    <row r="220" spans="1:2" x14ac:dyDescent="0.25">
      <c r="A220" s="1">
        <v>33329</v>
      </c>
      <c r="B220">
        <v>60.1</v>
      </c>
    </row>
    <row r="221" spans="1:2" x14ac:dyDescent="0.25">
      <c r="A221" s="1">
        <v>33359</v>
      </c>
      <c r="B221">
        <v>60.6</v>
      </c>
    </row>
    <row r="222" spans="1:2" x14ac:dyDescent="0.25">
      <c r="A222" s="1">
        <v>33390</v>
      </c>
      <c r="B222">
        <v>58.4</v>
      </c>
    </row>
    <row r="223" spans="1:2" x14ac:dyDescent="0.25">
      <c r="A223" s="1">
        <v>33420</v>
      </c>
      <c r="B223">
        <v>58.5</v>
      </c>
    </row>
    <row r="224" spans="1:2" x14ac:dyDescent="0.25">
      <c r="A224" s="1">
        <v>33451</v>
      </c>
      <c r="B224">
        <v>62.4</v>
      </c>
    </row>
    <row r="225" spans="1:2" x14ac:dyDescent="0.25">
      <c r="A225" s="1">
        <v>33482</v>
      </c>
      <c r="B225">
        <v>65.8</v>
      </c>
    </row>
    <row r="226" spans="1:2" x14ac:dyDescent="0.25">
      <c r="A226" s="1">
        <v>33512</v>
      </c>
      <c r="B226">
        <v>67.400000000000006</v>
      </c>
    </row>
    <row r="227" spans="1:2" x14ac:dyDescent="0.25">
      <c r="A227" s="1">
        <v>33543</v>
      </c>
      <c r="B227">
        <v>70.7</v>
      </c>
    </row>
    <row r="228" spans="1:2" x14ac:dyDescent="0.25">
      <c r="A228" s="1">
        <v>33573</v>
      </c>
      <c r="B228">
        <v>63.3</v>
      </c>
    </row>
    <row r="229" spans="1:2" x14ac:dyDescent="0.25">
      <c r="A229" s="1">
        <v>33604</v>
      </c>
      <c r="B229">
        <v>55</v>
      </c>
    </row>
    <row r="230" spans="1:2" x14ac:dyDescent="0.25">
      <c r="A230" s="1">
        <v>33635</v>
      </c>
      <c r="B230">
        <v>57</v>
      </c>
    </row>
    <row r="231" spans="1:2" x14ac:dyDescent="0.25">
      <c r="A231" s="1">
        <v>33664</v>
      </c>
      <c r="B231">
        <v>56.2</v>
      </c>
    </row>
    <row r="232" spans="1:2" x14ac:dyDescent="0.25">
      <c r="A232" s="1">
        <v>33695</v>
      </c>
      <c r="B232">
        <v>58.6</v>
      </c>
    </row>
    <row r="233" spans="1:2" x14ac:dyDescent="0.25">
      <c r="A233" s="1">
        <v>33725</v>
      </c>
      <c r="B233">
        <v>62.1</v>
      </c>
    </row>
    <row r="234" spans="1:2" x14ac:dyDescent="0.25">
      <c r="A234" s="1">
        <v>33756</v>
      </c>
      <c r="B234">
        <v>65.599999999999994</v>
      </c>
    </row>
    <row r="235" spans="1:2" x14ac:dyDescent="0.25">
      <c r="A235" s="1">
        <v>33786</v>
      </c>
      <c r="B235">
        <v>65</v>
      </c>
    </row>
    <row r="236" spans="1:2" x14ac:dyDescent="0.25">
      <c r="A236" s="1">
        <v>33817</v>
      </c>
      <c r="B236">
        <v>63.7</v>
      </c>
    </row>
    <row r="237" spans="1:2" x14ac:dyDescent="0.25">
      <c r="A237" s="1">
        <v>33848</v>
      </c>
      <c r="B237">
        <v>65.400000000000006</v>
      </c>
    </row>
    <row r="238" spans="1:2" x14ac:dyDescent="0.25">
      <c r="A238" s="1">
        <v>33878</v>
      </c>
      <c r="B238">
        <v>68</v>
      </c>
    </row>
    <row r="239" spans="1:2" x14ac:dyDescent="0.25">
      <c r="A239" s="1">
        <v>33909</v>
      </c>
      <c r="B239">
        <v>65.2</v>
      </c>
    </row>
    <row r="240" spans="1:2" x14ac:dyDescent="0.25">
      <c r="A240" s="1">
        <v>33939</v>
      </c>
      <c r="B240">
        <v>60.9</v>
      </c>
    </row>
    <row r="241" spans="1:2" x14ac:dyDescent="0.25">
      <c r="A241" s="1">
        <v>33970</v>
      </c>
      <c r="B241">
        <v>60.6</v>
      </c>
    </row>
    <row r="242" spans="1:2" x14ac:dyDescent="0.25">
      <c r="A242" s="1">
        <v>34001</v>
      </c>
      <c r="B242">
        <v>60.3</v>
      </c>
    </row>
    <row r="243" spans="1:2" x14ac:dyDescent="0.25">
      <c r="A243" s="1">
        <v>34029</v>
      </c>
      <c r="B243">
        <v>63.1</v>
      </c>
    </row>
    <row r="244" spans="1:2" x14ac:dyDescent="0.25">
      <c r="A244" s="1">
        <v>34060</v>
      </c>
      <c r="B244">
        <v>63.2</v>
      </c>
    </row>
    <row r="245" spans="1:2" x14ac:dyDescent="0.25">
      <c r="A245" s="1">
        <v>34090</v>
      </c>
      <c r="B245">
        <v>63.4</v>
      </c>
    </row>
    <row r="246" spans="1:2" x14ac:dyDescent="0.25">
      <c r="A246" s="1">
        <v>34121</v>
      </c>
      <c r="B246">
        <v>61.6</v>
      </c>
    </row>
    <row r="247" spans="1:2" x14ac:dyDescent="0.25">
      <c r="A247" s="1">
        <v>34151</v>
      </c>
      <c r="B247">
        <v>57.7</v>
      </c>
    </row>
    <row r="248" spans="1:2" x14ac:dyDescent="0.25">
      <c r="A248" s="1">
        <v>34182</v>
      </c>
      <c r="B248">
        <v>55.2</v>
      </c>
    </row>
    <row r="249" spans="1:2" x14ac:dyDescent="0.25">
      <c r="A249" s="1">
        <v>34213</v>
      </c>
      <c r="B249">
        <v>60.8</v>
      </c>
    </row>
    <row r="250" spans="1:2" x14ac:dyDescent="0.25">
      <c r="A250" s="1">
        <v>34243</v>
      </c>
      <c r="B250">
        <v>66.5</v>
      </c>
    </row>
    <row r="251" spans="1:2" x14ac:dyDescent="0.25">
      <c r="A251" s="1">
        <v>34274</v>
      </c>
      <c r="B251">
        <v>63</v>
      </c>
    </row>
    <row r="252" spans="1:2" x14ac:dyDescent="0.25">
      <c r="A252" s="1">
        <v>34304</v>
      </c>
      <c r="B252">
        <v>51.2</v>
      </c>
    </row>
    <row r="253" spans="1:2" x14ac:dyDescent="0.25">
      <c r="A253" s="1">
        <v>34335</v>
      </c>
      <c r="B253">
        <v>51.4</v>
      </c>
    </row>
    <row r="254" spans="1:2" x14ac:dyDescent="0.25">
      <c r="A254" s="1">
        <v>34366</v>
      </c>
      <c r="B254">
        <v>56.6</v>
      </c>
    </row>
    <row r="255" spans="1:2" x14ac:dyDescent="0.25">
      <c r="A255" s="1">
        <v>34394</v>
      </c>
      <c r="B255">
        <v>56.9</v>
      </c>
    </row>
    <row r="256" spans="1:2" x14ac:dyDescent="0.25">
      <c r="A256" s="1">
        <v>34425</v>
      </c>
      <c r="B256">
        <v>54.6</v>
      </c>
    </row>
    <row r="257" spans="1:2" x14ac:dyDescent="0.25">
      <c r="A257" s="1">
        <v>34455</v>
      </c>
      <c r="B257">
        <v>54.8</v>
      </c>
    </row>
    <row r="258" spans="1:2" x14ac:dyDescent="0.25">
      <c r="A258" s="1">
        <v>34486</v>
      </c>
      <c r="B258">
        <v>54.2</v>
      </c>
    </row>
    <row r="259" spans="1:2" x14ac:dyDescent="0.25">
      <c r="A259" s="1">
        <v>34516</v>
      </c>
      <c r="B259">
        <v>56.4</v>
      </c>
    </row>
    <row r="260" spans="1:2" x14ac:dyDescent="0.25">
      <c r="A260" s="1">
        <v>34547</v>
      </c>
      <c r="B260">
        <v>57.4</v>
      </c>
    </row>
    <row r="261" spans="1:2" x14ac:dyDescent="0.25">
      <c r="A261" s="1">
        <v>34578</v>
      </c>
      <c r="B261">
        <v>57.7</v>
      </c>
    </row>
    <row r="262" spans="1:2" x14ac:dyDescent="0.25">
      <c r="A262" s="1">
        <v>34608</v>
      </c>
      <c r="B262">
        <v>58.4</v>
      </c>
    </row>
    <row r="263" spans="1:2" x14ac:dyDescent="0.25">
      <c r="A263" s="1">
        <v>34639</v>
      </c>
      <c r="B263">
        <v>59.5</v>
      </c>
    </row>
    <row r="264" spans="1:2" x14ac:dyDescent="0.25">
      <c r="A264" s="1">
        <v>34669</v>
      </c>
      <c r="B264">
        <v>54.2</v>
      </c>
    </row>
    <row r="265" spans="1:2" x14ac:dyDescent="0.25">
      <c r="A265" s="1">
        <v>34700</v>
      </c>
      <c r="B265">
        <v>54</v>
      </c>
    </row>
    <row r="266" spans="1:2" x14ac:dyDescent="0.25">
      <c r="A266" s="1">
        <v>34731</v>
      </c>
      <c r="B266">
        <v>53.1</v>
      </c>
    </row>
    <row r="267" spans="1:2" x14ac:dyDescent="0.25">
      <c r="A267" s="1">
        <v>34759</v>
      </c>
      <c r="B267">
        <v>55</v>
      </c>
    </row>
    <row r="268" spans="1:2" x14ac:dyDescent="0.25">
      <c r="A268" s="1">
        <v>34790</v>
      </c>
      <c r="B268">
        <v>58.2</v>
      </c>
    </row>
    <row r="269" spans="1:2" x14ac:dyDescent="0.25">
      <c r="A269" s="1">
        <v>34820</v>
      </c>
      <c r="B269">
        <v>59.4</v>
      </c>
    </row>
    <row r="270" spans="1:2" x14ac:dyDescent="0.25">
      <c r="A270" s="1">
        <v>34851</v>
      </c>
      <c r="B270">
        <v>56.8</v>
      </c>
    </row>
    <row r="271" spans="1:2" x14ac:dyDescent="0.25">
      <c r="A271" s="1">
        <v>34881</v>
      </c>
      <c r="B271">
        <v>53.7</v>
      </c>
    </row>
    <row r="272" spans="1:2" x14ac:dyDescent="0.25">
      <c r="A272" s="1">
        <v>34912</v>
      </c>
      <c r="B272">
        <v>56</v>
      </c>
    </row>
    <row r="273" spans="1:2" x14ac:dyDescent="0.25">
      <c r="A273" s="1">
        <v>34943</v>
      </c>
      <c r="B273">
        <v>58.5</v>
      </c>
    </row>
    <row r="274" spans="1:2" x14ac:dyDescent="0.25">
      <c r="A274" s="1">
        <v>34973</v>
      </c>
      <c r="B274">
        <v>58.8</v>
      </c>
    </row>
    <row r="275" spans="1:2" x14ac:dyDescent="0.25">
      <c r="A275" s="1">
        <v>35004</v>
      </c>
      <c r="B275">
        <v>59.7</v>
      </c>
    </row>
    <row r="276" spans="1:2" x14ac:dyDescent="0.25">
      <c r="A276" s="1">
        <v>35034</v>
      </c>
      <c r="B276">
        <v>60.2</v>
      </c>
    </row>
    <row r="277" spans="1:2" x14ac:dyDescent="0.25">
      <c r="A277" s="1">
        <v>35065</v>
      </c>
      <c r="B277">
        <v>62.2</v>
      </c>
    </row>
    <row r="278" spans="1:2" x14ac:dyDescent="0.25">
      <c r="A278" s="1">
        <v>35096</v>
      </c>
      <c r="B278">
        <v>59.4</v>
      </c>
    </row>
    <row r="279" spans="1:2" x14ac:dyDescent="0.25">
      <c r="A279" s="1">
        <v>35125</v>
      </c>
      <c r="B279">
        <v>62.6</v>
      </c>
    </row>
    <row r="280" spans="1:2" x14ac:dyDescent="0.25">
      <c r="A280" s="1">
        <v>35156</v>
      </c>
      <c r="B280">
        <v>75.400000000000006</v>
      </c>
    </row>
    <row r="281" spans="1:2" x14ac:dyDescent="0.25">
      <c r="A281" s="1">
        <v>35186</v>
      </c>
      <c r="B281">
        <v>74.5</v>
      </c>
    </row>
    <row r="282" spans="1:2" x14ac:dyDescent="0.25">
      <c r="A282" s="1">
        <v>35217</v>
      </c>
      <c r="B282">
        <v>64.900000000000006</v>
      </c>
    </row>
    <row r="283" spans="1:2" x14ac:dyDescent="0.25">
      <c r="A283" s="1">
        <v>35247</v>
      </c>
      <c r="B283">
        <v>66.099999999999994</v>
      </c>
    </row>
    <row r="284" spans="1:2" x14ac:dyDescent="0.25">
      <c r="A284" s="1">
        <v>35278</v>
      </c>
      <c r="B284">
        <v>66.599999999999994</v>
      </c>
    </row>
    <row r="285" spans="1:2" x14ac:dyDescent="0.25">
      <c r="A285" s="1">
        <v>35309</v>
      </c>
      <c r="B285">
        <v>74.7</v>
      </c>
    </row>
    <row r="286" spans="1:2" x14ac:dyDescent="0.25">
      <c r="A286" s="1">
        <v>35339</v>
      </c>
      <c r="B286">
        <v>80.2</v>
      </c>
    </row>
    <row r="287" spans="1:2" x14ac:dyDescent="0.25">
      <c r="A287" s="1">
        <v>35370</v>
      </c>
      <c r="B287">
        <v>77</v>
      </c>
    </row>
    <row r="288" spans="1:2" x14ac:dyDescent="0.25">
      <c r="A288" s="1">
        <v>35400</v>
      </c>
      <c r="B288">
        <v>76</v>
      </c>
    </row>
    <row r="289" spans="1:2" x14ac:dyDescent="0.25">
      <c r="A289" s="1">
        <v>35431</v>
      </c>
      <c r="B289">
        <v>73.2</v>
      </c>
    </row>
    <row r="290" spans="1:2" x14ac:dyDescent="0.25">
      <c r="A290" s="1">
        <v>35462</v>
      </c>
      <c r="B290">
        <v>73.099999999999994</v>
      </c>
    </row>
    <row r="291" spans="1:2" x14ac:dyDescent="0.25">
      <c r="A291" s="1">
        <v>35490</v>
      </c>
      <c r="B291">
        <v>66.5</v>
      </c>
    </row>
    <row r="292" spans="1:2" x14ac:dyDescent="0.25">
      <c r="A292" s="1">
        <v>35521</v>
      </c>
      <c r="B292">
        <v>66.099999999999994</v>
      </c>
    </row>
    <row r="293" spans="1:2" x14ac:dyDescent="0.25">
      <c r="A293" s="1">
        <v>35551</v>
      </c>
      <c r="B293">
        <v>63.6</v>
      </c>
    </row>
    <row r="294" spans="1:2" x14ac:dyDescent="0.25">
      <c r="A294" s="1">
        <v>35582</v>
      </c>
      <c r="B294">
        <v>61</v>
      </c>
    </row>
    <row r="295" spans="1:2" x14ac:dyDescent="0.25">
      <c r="A295" s="1">
        <v>35612</v>
      </c>
      <c r="B295">
        <v>57.7</v>
      </c>
    </row>
    <row r="296" spans="1:2" x14ac:dyDescent="0.25">
      <c r="A296" s="1">
        <v>35643</v>
      </c>
      <c r="B296">
        <v>62.1</v>
      </c>
    </row>
    <row r="297" spans="1:2" x14ac:dyDescent="0.25">
      <c r="A297" s="1">
        <v>35674</v>
      </c>
      <c r="B297">
        <v>61.3</v>
      </c>
    </row>
    <row r="298" spans="1:2" x14ac:dyDescent="0.25">
      <c r="A298" s="1">
        <v>35704</v>
      </c>
      <c r="B298">
        <v>64.7</v>
      </c>
    </row>
    <row r="299" spans="1:2" x14ac:dyDescent="0.25">
      <c r="A299" s="1">
        <v>35735</v>
      </c>
      <c r="B299">
        <v>65.8</v>
      </c>
    </row>
    <row r="300" spans="1:2" x14ac:dyDescent="0.25">
      <c r="A300" s="1">
        <v>35765</v>
      </c>
      <c r="B300">
        <v>58.9</v>
      </c>
    </row>
    <row r="301" spans="1:2" x14ac:dyDescent="0.25">
      <c r="A301" s="1">
        <v>35796</v>
      </c>
      <c r="B301">
        <v>53.9</v>
      </c>
    </row>
    <row r="302" spans="1:2" x14ac:dyDescent="0.25">
      <c r="A302" s="1">
        <v>35827</v>
      </c>
      <c r="B302">
        <v>51.3</v>
      </c>
    </row>
    <row r="303" spans="1:2" x14ac:dyDescent="0.25">
      <c r="A303" s="1">
        <v>35855</v>
      </c>
      <c r="B303">
        <v>47.6</v>
      </c>
    </row>
    <row r="304" spans="1:2" x14ac:dyDescent="0.25">
      <c r="A304" s="1">
        <v>35886</v>
      </c>
      <c r="B304">
        <v>50</v>
      </c>
    </row>
    <row r="305" spans="1:2" x14ac:dyDescent="0.25">
      <c r="A305" s="1">
        <v>35916</v>
      </c>
      <c r="B305">
        <v>50</v>
      </c>
    </row>
    <row r="306" spans="1:2" x14ac:dyDescent="0.25">
      <c r="A306" s="1">
        <v>35947</v>
      </c>
      <c r="B306">
        <v>45.8</v>
      </c>
    </row>
    <row r="307" spans="1:2" x14ac:dyDescent="0.25">
      <c r="A307" s="1">
        <v>35977</v>
      </c>
      <c r="B307">
        <v>44.7</v>
      </c>
    </row>
    <row r="308" spans="1:2" x14ac:dyDescent="0.25">
      <c r="A308" s="1">
        <v>36008</v>
      </c>
      <c r="B308">
        <v>44.4</v>
      </c>
    </row>
    <row r="309" spans="1:2" x14ac:dyDescent="0.25">
      <c r="A309" s="1">
        <v>36039</v>
      </c>
      <c r="B309">
        <v>48.1</v>
      </c>
    </row>
    <row r="310" spans="1:2" x14ac:dyDescent="0.25">
      <c r="A310" s="1">
        <v>36069</v>
      </c>
      <c r="B310">
        <v>47.3</v>
      </c>
    </row>
    <row r="311" spans="1:2" x14ac:dyDescent="0.25">
      <c r="A311" s="1">
        <v>36100</v>
      </c>
      <c r="B311">
        <v>46.1</v>
      </c>
    </row>
    <row r="312" spans="1:2" x14ac:dyDescent="0.25">
      <c r="A312" s="1">
        <v>36130</v>
      </c>
      <c r="B312">
        <v>39</v>
      </c>
    </row>
    <row r="313" spans="1:2" x14ac:dyDescent="0.25">
      <c r="A313" s="1">
        <v>36161</v>
      </c>
      <c r="B313">
        <v>40.200000000000003</v>
      </c>
    </row>
    <row r="314" spans="1:2" x14ac:dyDescent="0.25">
      <c r="A314" s="1">
        <v>36192</v>
      </c>
      <c r="B314">
        <v>38.1</v>
      </c>
    </row>
    <row r="315" spans="1:2" x14ac:dyDescent="0.25">
      <c r="A315" s="1">
        <v>36220</v>
      </c>
      <c r="B315">
        <v>43.2</v>
      </c>
    </row>
    <row r="316" spans="1:2" x14ac:dyDescent="0.25">
      <c r="A316" s="1">
        <v>36251</v>
      </c>
      <c r="B316">
        <v>53.1</v>
      </c>
    </row>
    <row r="317" spans="1:2" x14ac:dyDescent="0.25">
      <c r="A317" s="1">
        <v>36281</v>
      </c>
      <c r="B317">
        <v>53</v>
      </c>
    </row>
    <row r="318" spans="1:2" x14ac:dyDescent="0.25">
      <c r="A318" s="1">
        <v>36312</v>
      </c>
      <c r="B318">
        <v>53.5</v>
      </c>
    </row>
    <row r="319" spans="1:2" x14ac:dyDescent="0.25">
      <c r="A319" s="1">
        <v>36342</v>
      </c>
      <c r="B319">
        <v>59.8</v>
      </c>
    </row>
    <row r="320" spans="1:2" x14ac:dyDescent="0.25">
      <c r="A320" s="1">
        <v>36373</v>
      </c>
      <c r="B320">
        <v>65.599999999999994</v>
      </c>
    </row>
    <row r="321" spans="1:2" x14ac:dyDescent="0.25">
      <c r="A321" s="1">
        <v>36404</v>
      </c>
      <c r="B321">
        <v>68.8</v>
      </c>
    </row>
    <row r="322" spans="1:2" x14ac:dyDescent="0.25">
      <c r="A322" s="1">
        <v>36434</v>
      </c>
      <c r="B322">
        <v>67.5</v>
      </c>
    </row>
    <row r="323" spans="1:2" x14ac:dyDescent="0.25">
      <c r="A323" s="1">
        <v>36465</v>
      </c>
      <c r="B323">
        <v>71.900000000000006</v>
      </c>
    </row>
    <row r="324" spans="1:2" x14ac:dyDescent="0.25">
      <c r="A324" s="1">
        <v>36495</v>
      </c>
      <c r="B324">
        <v>72.7</v>
      </c>
    </row>
    <row r="325" spans="1:2" x14ac:dyDescent="0.25">
      <c r="A325" s="1">
        <v>36526</v>
      </c>
      <c r="B325">
        <v>76.099999999999994</v>
      </c>
    </row>
    <row r="326" spans="1:2" x14ac:dyDescent="0.25">
      <c r="A326" s="1">
        <v>36557</v>
      </c>
      <c r="B326">
        <v>86.1</v>
      </c>
    </row>
    <row r="327" spans="1:2" x14ac:dyDescent="0.25">
      <c r="A327" s="1">
        <v>36586</v>
      </c>
      <c r="B327">
        <v>90</v>
      </c>
    </row>
    <row r="328" spans="1:2" x14ac:dyDescent="0.25">
      <c r="A328" s="1">
        <v>36617</v>
      </c>
      <c r="B328">
        <v>84.1</v>
      </c>
    </row>
    <row r="329" spans="1:2" x14ac:dyDescent="0.25">
      <c r="A329" s="1">
        <v>36647</v>
      </c>
      <c r="B329">
        <v>82.8</v>
      </c>
    </row>
    <row r="330" spans="1:2" x14ac:dyDescent="0.25">
      <c r="A330" s="1">
        <v>36678</v>
      </c>
      <c r="B330">
        <v>85.7</v>
      </c>
    </row>
    <row r="331" spans="1:2" x14ac:dyDescent="0.25">
      <c r="A331" s="1">
        <v>36708</v>
      </c>
      <c r="B331">
        <v>89.5</v>
      </c>
    </row>
    <row r="332" spans="1:2" x14ac:dyDescent="0.25">
      <c r="A332" s="1">
        <v>36739</v>
      </c>
      <c r="B332">
        <v>92.1</v>
      </c>
    </row>
    <row r="333" spans="1:2" x14ac:dyDescent="0.25">
      <c r="A333" s="1">
        <v>36770</v>
      </c>
      <c r="B333">
        <v>110.8</v>
      </c>
    </row>
    <row r="334" spans="1:2" x14ac:dyDescent="0.25">
      <c r="A334" s="1">
        <v>36800</v>
      </c>
      <c r="B334">
        <v>110</v>
      </c>
    </row>
    <row r="335" spans="1:2" x14ac:dyDescent="0.25">
      <c r="A335" s="1">
        <v>36831</v>
      </c>
      <c r="B335">
        <v>110.4</v>
      </c>
    </row>
    <row r="336" spans="1:2" x14ac:dyDescent="0.25">
      <c r="A336" s="1">
        <v>36861</v>
      </c>
      <c r="B336">
        <v>101.6</v>
      </c>
    </row>
    <row r="337" spans="1:2" x14ac:dyDescent="0.25">
      <c r="A337" s="1">
        <v>36892</v>
      </c>
      <c r="B337">
        <v>96.7</v>
      </c>
    </row>
    <row r="338" spans="1:2" x14ac:dyDescent="0.25">
      <c r="A338" s="1">
        <v>36923</v>
      </c>
      <c r="B338">
        <v>92.4</v>
      </c>
    </row>
    <row r="339" spans="1:2" x14ac:dyDescent="0.25">
      <c r="A339" s="1">
        <v>36951</v>
      </c>
      <c r="B339">
        <v>83.5</v>
      </c>
    </row>
    <row r="340" spans="1:2" x14ac:dyDescent="0.25">
      <c r="A340" s="1">
        <v>36982</v>
      </c>
      <c r="B340">
        <v>86.4</v>
      </c>
    </row>
    <row r="341" spans="1:2" x14ac:dyDescent="0.25">
      <c r="A341" s="1">
        <v>37012</v>
      </c>
      <c r="B341">
        <v>93.1</v>
      </c>
    </row>
    <row r="342" spans="1:2" x14ac:dyDescent="0.25">
      <c r="A342" s="1">
        <v>37043</v>
      </c>
      <c r="B342">
        <v>90.2</v>
      </c>
    </row>
    <row r="343" spans="1:2" x14ac:dyDescent="0.25">
      <c r="A343" s="1">
        <v>37073</v>
      </c>
      <c r="B343">
        <v>81.599999999999994</v>
      </c>
    </row>
    <row r="344" spans="1:2" x14ac:dyDescent="0.25">
      <c r="A344" s="1">
        <v>37104</v>
      </c>
      <c r="B344">
        <v>82</v>
      </c>
    </row>
    <row r="345" spans="1:2" x14ac:dyDescent="0.25">
      <c r="A345" s="1">
        <v>37135</v>
      </c>
      <c r="B345">
        <v>91.6</v>
      </c>
    </row>
    <row r="346" spans="1:2" x14ac:dyDescent="0.25">
      <c r="A346" s="1">
        <v>37165</v>
      </c>
      <c r="B346">
        <v>75.900000000000006</v>
      </c>
    </row>
    <row r="347" spans="1:2" x14ac:dyDescent="0.25">
      <c r="A347" s="1">
        <v>37196</v>
      </c>
      <c r="B347">
        <v>71.3</v>
      </c>
    </row>
    <row r="348" spans="1:2" x14ac:dyDescent="0.25">
      <c r="A348" s="1">
        <v>37226</v>
      </c>
      <c r="B348">
        <v>56.2</v>
      </c>
    </row>
    <row r="349" spans="1:2" x14ac:dyDescent="0.25">
      <c r="A349" s="1">
        <v>37257</v>
      </c>
      <c r="B349">
        <v>58.9</v>
      </c>
    </row>
    <row r="350" spans="1:2" x14ac:dyDescent="0.25">
      <c r="A350" s="1">
        <v>37288</v>
      </c>
      <c r="B350">
        <v>60</v>
      </c>
    </row>
    <row r="351" spans="1:2" x14ac:dyDescent="0.25">
      <c r="A351" s="1">
        <v>37316</v>
      </c>
      <c r="B351">
        <v>69.7</v>
      </c>
    </row>
    <row r="352" spans="1:2" x14ac:dyDescent="0.25">
      <c r="A352" s="1">
        <v>37347</v>
      </c>
      <c r="B352">
        <v>76.900000000000006</v>
      </c>
    </row>
    <row r="353" spans="1:2" x14ac:dyDescent="0.25">
      <c r="A353" s="1">
        <v>37377</v>
      </c>
      <c r="B353">
        <v>74.7</v>
      </c>
    </row>
    <row r="354" spans="1:2" x14ac:dyDescent="0.25">
      <c r="A354" s="1">
        <v>37408</v>
      </c>
      <c r="B354">
        <v>73.3</v>
      </c>
    </row>
    <row r="355" spans="1:2" x14ac:dyDescent="0.25">
      <c r="A355" s="1">
        <v>37438</v>
      </c>
      <c r="B355">
        <v>77.599999999999994</v>
      </c>
    </row>
    <row r="356" spans="1:2" x14ac:dyDescent="0.25">
      <c r="A356" s="1">
        <v>37469</v>
      </c>
      <c r="B356">
        <v>80.400000000000006</v>
      </c>
    </row>
    <row r="357" spans="1:2" x14ac:dyDescent="0.25">
      <c r="A357" s="1">
        <v>37500</v>
      </c>
      <c r="B357">
        <v>92.3</v>
      </c>
    </row>
    <row r="358" spans="1:2" x14ac:dyDescent="0.25">
      <c r="A358" s="1">
        <v>37530</v>
      </c>
      <c r="B358">
        <v>98.7</v>
      </c>
    </row>
    <row r="359" spans="1:2" x14ac:dyDescent="0.25">
      <c r="A359" s="1">
        <v>37561</v>
      </c>
      <c r="B359">
        <v>85.5</v>
      </c>
    </row>
    <row r="360" spans="1:2" x14ac:dyDescent="0.25">
      <c r="A360" s="1">
        <v>37591</v>
      </c>
      <c r="B360">
        <v>86.8</v>
      </c>
    </row>
    <row r="361" spans="1:2" x14ac:dyDescent="0.25">
      <c r="A361" s="1">
        <v>37622</v>
      </c>
      <c r="B361">
        <v>97.6</v>
      </c>
    </row>
    <row r="362" spans="1:2" x14ac:dyDescent="0.25">
      <c r="A362" s="1">
        <v>37653</v>
      </c>
      <c r="B362">
        <v>123.8</v>
      </c>
    </row>
    <row r="363" spans="1:2" x14ac:dyDescent="0.25">
      <c r="A363" s="1">
        <v>37681</v>
      </c>
      <c r="B363">
        <v>129.4</v>
      </c>
    </row>
    <row r="364" spans="1:2" x14ac:dyDescent="0.25">
      <c r="A364" s="1">
        <v>37712</v>
      </c>
      <c r="B364">
        <v>102.3</v>
      </c>
    </row>
    <row r="365" spans="1:2" x14ac:dyDescent="0.25">
      <c r="A365" s="1">
        <v>37742</v>
      </c>
      <c r="B365">
        <v>87.9</v>
      </c>
    </row>
    <row r="366" spans="1:2" x14ac:dyDescent="0.25">
      <c r="A366" s="1">
        <v>37773</v>
      </c>
      <c r="B366">
        <v>89.8</v>
      </c>
    </row>
    <row r="367" spans="1:2" x14ac:dyDescent="0.25">
      <c r="A367" s="1">
        <v>37803</v>
      </c>
      <c r="B367">
        <v>92.7</v>
      </c>
    </row>
    <row r="368" spans="1:2" x14ac:dyDescent="0.25">
      <c r="A368" s="1">
        <v>37834</v>
      </c>
      <c r="B368">
        <v>96.6</v>
      </c>
    </row>
    <row r="369" spans="1:2" x14ac:dyDescent="0.25">
      <c r="A369" s="1">
        <v>37865</v>
      </c>
      <c r="B369">
        <v>91.1</v>
      </c>
    </row>
    <row r="370" spans="1:2" x14ac:dyDescent="0.25">
      <c r="A370" s="1">
        <v>37895</v>
      </c>
      <c r="B370">
        <v>101.1</v>
      </c>
    </row>
    <row r="371" spans="1:2" x14ac:dyDescent="0.25">
      <c r="A371" s="1">
        <v>37926</v>
      </c>
      <c r="B371">
        <v>95.9</v>
      </c>
    </row>
    <row r="372" spans="1:2" x14ac:dyDescent="0.25">
      <c r="A372" s="1">
        <v>37956</v>
      </c>
      <c r="B372">
        <v>98.1</v>
      </c>
    </row>
    <row r="373" spans="1:2" x14ac:dyDescent="0.25">
      <c r="A373" s="1">
        <v>37987</v>
      </c>
      <c r="B373">
        <v>109.3</v>
      </c>
    </row>
    <row r="374" spans="1:2" x14ac:dyDescent="0.25">
      <c r="A374" s="1">
        <v>38018</v>
      </c>
      <c r="B374">
        <v>103.7</v>
      </c>
    </row>
    <row r="375" spans="1:2" x14ac:dyDescent="0.25">
      <c r="A375" s="1">
        <v>38047</v>
      </c>
      <c r="B375">
        <v>109.7</v>
      </c>
    </row>
    <row r="376" spans="1:2" x14ac:dyDescent="0.25">
      <c r="A376" s="1">
        <v>38078</v>
      </c>
      <c r="B376">
        <v>119.9</v>
      </c>
    </row>
    <row r="377" spans="1:2" x14ac:dyDescent="0.25">
      <c r="A377" s="1">
        <v>38108</v>
      </c>
      <c r="B377">
        <v>121</v>
      </c>
    </row>
    <row r="378" spans="1:2" x14ac:dyDescent="0.25">
      <c r="A378" s="1">
        <v>38139</v>
      </c>
      <c r="B378">
        <v>114.2</v>
      </c>
    </row>
    <row r="379" spans="1:2" x14ac:dyDescent="0.25">
      <c r="A379" s="1">
        <v>38169</v>
      </c>
      <c r="B379">
        <v>123</v>
      </c>
    </row>
    <row r="380" spans="1:2" x14ac:dyDescent="0.25">
      <c r="A380" s="1">
        <v>38200</v>
      </c>
      <c r="B380">
        <v>135.1</v>
      </c>
    </row>
    <row r="381" spans="1:2" x14ac:dyDescent="0.25">
      <c r="A381" s="1">
        <v>38231</v>
      </c>
      <c r="B381">
        <v>140.9</v>
      </c>
    </row>
    <row r="382" spans="1:2" x14ac:dyDescent="0.25">
      <c r="A382" s="1">
        <v>38261</v>
      </c>
      <c r="B382">
        <v>166.6</v>
      </c>
    </row>
    <row r="383" spans="1:2" x14ac:dyDescent="0.25">
      <c r="A383" s="1">
        <v>38292</v>
      </c>
      <c r="B383">
        <v>159.69999999999999</v>
      </c>
    </row>
    <row r="384" spans="1:2" x14ac:dyDescent="0.25">
      <c r="A384" s="1">
        <v>38322</v>
      </c>
      <c r="B384">
        <v>135.30000000000001</v>
      </c>
    </row>
    <row r="385" spans="1:2" x14ac:dyDescent="0.25">
      <c r="A385" s="1">
        <v>38353</v>
      </c>
      <c r="B385">
        <v>141.1</v>
      </c>
    </row>
    <row r="386" spans="1:2" x14ac:dyDescent="0.25">
      <c r="A386" s="1">
        <v>38384</v>
      </c>
      <c r="B386">
        <v>149.5</v>
      </c>
    </row>
    <row r="387" spans="1:2" x14ac:dyDescent="0.25">
      <c r="A387" s="1">
        <v>38412</v>
      </c>
      <c r="B387">
        <v>173.3</v>
      </c>
    </row>
    <row r="388" spans="1:2" x14ac:dyDescent="0.25">
      <c r="A388" s="1">
        <v>38443</v>
      </c>
      <c r="B388">
        <v>175.4</v>
      </c>
    </row>
    <row r="389" spans="1:2" x14ac:dyDescent="0.25">
      <c r="A389" s="1">
        <v>38473</v>
      </c>
      <c r="B389">
        <v>170.8</v>
      </c>
    </row>
    <row r="390" spans="1:2" x14ac:dyDescent="0.25">
      <c r="A390" s="1">
        <v>38504</v>
      </c>
      <c r="B390">
        <v>187.2</v>
      </c>
    </row>
    <row r="391" spans="1:2" x14ac:dyDescent="0.25">
      <c r="A391" s="1">
        <v>38534</v>
      </c>
      <c r="B391">
        <v>189.8</v>
      </c>
    </row>
    <row r="392" spans="1:2" x14ac:dyDescent="0.25">
      <c r="A392" s="1">
        <v>38565</v>
      </c>
      <c r="B392">
        <v>200.6</v>
      </c>
    </row>
    <row r="393" spans="1:2" x14ac:dyDescent="0.25">
      <c r="A393" s="1">
        <v>38596</v>
      </c>
      <c r="B393">
        <v>212.6</v>
      </c>
    </row>
    <row r="394" spans="1:2" x14ac:dyDescent="0.25">
      <c r="A394" s="1">
        <v>38626</v>
      </c>
      <c r="B394">
        <v>264.10000000000002</v>
      </c>
    </row>
    <row r="395" spans="1:2" x14ac:dyDescent="0.25">
      <c r="A395" s="1">
        <v>38657</v>
      </c>
      <c r="B395">
        <v>206.2</v>
      </c>
    </row>
    <row r="396" spans="1:2" x14ac:dyDescent="0.25">
      <c r="A396" s="1">
        <v>38687</v>
      </c>
      <c r="B396">
        <v>198.5</v>
      </c>
    </row>
    <row r="397" spans="1:2" x14ac:dyDescent="0.25">
      <c r="A397" s="1">
        <v>38718</v>
      </c>
      <c r="B397">
        <v>197.1</v>
      </c>
    </row>
    <row r="398" spans="1:2" x14ac:dyDescent="0.25">
      <c r="A398" s="1">
        <v>38749</v>
      </c>
      <c r="B398">
        <v>196.2</v>
      </c>
    </row>
    <row r="399" spans="1:2" x14ac:dyDescent="0.25">
      <c r="A399" s="1">
        <v>38777</v>
      </c>
      <c r="B399">
        <v>206.5</v>
      </c>
    </row>
    <row r="400" spans="1:2" x14ac:dyDescent="0.25">
      <c r="A400" s="1">
        <v>38808</v>
      </c>
      <c r="B400">
        <v>230.4</v>
      </c>
    </row>
    <row r="401" spans="1:2" x14ac:dyDescent="0.25">
      <c r="A401" s="1">
        <v>38838</v>
      </c>
      <c r="B401">
        <v>239.6</v>
      </c>
    </row>
    <row r="402" spans="1:2" x14ac:dyDescent="0.25">
      <c r="A402" s="1">
        <v>38869</v>
      </c>
      <c r="B402">
        <v>246.9</v>
      </c>
    </row>
    <row r="403" spans="1:2" x14ac:dyDescent="0.25">
      <c r="A403" s="1">
        <v>38899</v>
      </c>
      <c r="B403">
        <v>237.5</v>
      </c>
    </row>
    <row r="404" spans="1:2" x14ac:dyDescent="0.25">
      <c r="A404" s="1">
        <v>38930</v>
      </c>
      <c r="B404">
        <v>250.2</v>
      </c>
    </row>
    <row r="405" spans="1:2" x14ac:dyDescent="0.25">
      <c r="A405" s="1">
        <v>38961</v>
      </c>
      <c r="B405">
        <v>201.3</v>
      </c>
    </row>
    <row r="406" spans="1:2" x14ac:dyDescent="0.25">
      <c r="A406" s="1">
        <v>38991</v>
      </c>
      <c r="B406">
        <v>197.5</v>
      </c>
    </row>
    <row r="407" spans="1:2" x14ac:dyDescent="0.25">
      <c r="A407" s="1">
        <v>39022</v>
      </c>
      <c r="B407">
        <v>197.2</v>
      </c>
    </row>
    <row r="408" spans="1:2" x14ac:dyDescent="0.25">
      <c r="A408" s="1">
        <v>39052</v>
      </c>
      <c r="B408">
        <v>203</v>
      </c>
    </row>
    <row r="409" spans="1:2" x14ac:dyDescent="0.25">
      <c r="A409" s="1">
        <v>39083</v>
      </c>
      <c r="B409">
        <v>180.9</v>
      </c>
    </row>
    <row r="410" spans="1:2" x14ac:dyDescent="0.25">
      <c r="A410" s="1">
        <v>39114</v>
      </c>
      <c r="B410">
        <v>193.5</v>
      </c>
    </row>
    <row r="411" spans="1:2" x14ac:dyDescent="0.25">
      <c r="A411" s="1">
        <v>39142</v>
      </c>
      <c r="B411">
        <v>220.2</v>
      </c>
    </row>
    <row r="412" spans="1:2" x14ac:dyDescent="0.25">
      <c r="A412" s="1">
        <v>39173</v>
      </c>
      <c r="B412">
        <v>238</v>
      </c>
    </row>
    <row r="413" spans="1:2" x14ac:dyDescent="0.25">
      <c r="A413" s="1">
        <v>39203</v>
      </c>
      <c r="B413">
        <v>226.5</v>
      </c>
    </row>
    <row r="414" spans="1:2" x14ac:dyDescent="0.25">
      <c r="A414" s="1">
        <v>39234</v>
      </c>
      <c r="B414">
        <v>227.6</v>
      </c>
    </row>
    <row r="415" spans="1:2" x14ac:dyDescent="0.25">
      <c r="A415" s="1">
        <v>39264</v>
      </c>
      <c r="B415">
        <v>243.5</v>
      </c>
    </row>
    <row r="416" spans="1:2" x14ac:dyDescent="0.25">
      <c r="A416" s="1">
        <v>39295</v>
      </c>
      <c r="B416">
        <v>231.2</v>
      </c>
    </row>
    <row r="417" spans="1:2" x14ac:dyDescent="0.25">
      <c r="A417" s="1">
        <v>39326</v>
      </c>
      <c r="B417">
        <v>246.2</v>
      </c>
    </row>
    <row r="418" spans="1:2" x14ac:dyDescent="0.25">
      <c r="A418" s="1">
        <v>39356</v>
      </c>
      <c r="B418">
        <v>249.6</v>
      </c>
    </row>
    <row r="419" spans="1:2" x14ac:dyDescent="0.25">
      <c r="A419" s="1">
        <v>39387</v>
      </c>
      <c r="B419">
        <v>296.7</v>
      </c>
    </row>
    <row r="420" spans="1:2" x14ac:dyDescent="0.25">
      <c r="A420" s="1">
        <v>39417</v>
      </c>
      <c r="B420">
        <v>271.89999999999998</v>
      </c>
    </row>
    <row r="421" spans="1:2" x14ac:dyDescent="0.25">
      <c r="A421" s="1">
        <v>39448</v>
      </c>
      <c r="B421">
        <v>278.2</v>
      </c>
    </row>
    <row r="422" spans="1:2" x14ac:dyDescent="0.25">
      <c r="A422" s="1">
        <v>39479</v>
      </c>
      <c r="B422">
        <v>287.5</v>
      </c>
    </row>
    <row r="423" spans="1:2" x14ac:dyDescent="0.25">
      <c r="A423" s="1">
        <v>39508</v>
      </c>
      <c r="B423">
        <v>353.7</v>
      </c>
    </row>
    <row r="424" spans="1:2" x14ac:dyDescent="0.25">
      <c r="A424" s="1">
        <v>39539</v>
      </c>
      <c r="B424">
        <v>365.1</v>
      </c>
    </row>
    <row r="425" spans="1:2" x14ac:dyDescent="0.25">
      <c r="A425" s="1">
        <v>39569</v>
      </c>
      <c r="B425">
        <v>398.2</v>
      </c>
    </row>
    <row r="426" spans="1:2" x14ac:dyDescent="0.25">
      <c r="A426" s="1">
        <v>39600</v>
      </c>
      <c r="B426">
        <v>421</v>
      </c>
    </row>
    <row r="427" spans="1:2" x14ac:dyDescent="0.25">
      <c r="A427" s="1">
        <v>39630</v>
      </c>
      <c r="B427">
        <v>431.9</v>
      </c>
    </row>
    <row r="428" spans="1:2" x14ac:dyDescent="0.25">
      <c r="A428" s="1">
        <v>39661</v>
      </c>
      <c r="B428">
        <v>346.7</v>
      </c>
    </row>
    <row r="429" spans="1:2" x14ac:dyDescent="0.25">
      <c r="A429" s="1">
        <v>39692</v>
      </c>
      <c r="B429">
        <v>342.3</v>
      </c>
    </row>
    <row r="430" spans="1:2" x14ac:dyDescent="0.25">
      <c r="A430" s="1">
        <v>39722</v>
      </c>
      <c r="B430">
        <v>281.8</v>
      </c>
    </row>
    <row r="431" spans="1:2" x14ac:dyDescent="0.25">
      <c r="A431" s="1">
        <v>39753</v>
      </c>
      <c r="B431">
        <v>224.1</v>
      </c>
    </row>
    <row r="432" spans="1:2" x14ac:dyDescent="0.25">
      <c r="A432" s="1">
        <v>39783</v>
      </c>
      <c r="B432">
        <v>168</v>
      </c>
    </row>
    <row r="433" spans="1:2" x14ac:dyDescent="0.25">
      <c r="A433" s="1">
        <v>39814</v>
      </c>
      <c r="B433">
        <v>161.6</v>
      </c>
    </row>
    <row r="434" spans="1:2" x14ac:dyDescent="0.25">
      <c r="A434" s="1">
        <v>39845</v>
      </c>
      <c r="B434">
        <v>147.19999999999999</v>
      </c>
    </row>
    <row r="435" spans="1:2" x14ac:dyDescent="0.25">
      <c r="A435" s="1">
        <v>39873</v>
      </c>
      <c r="B435">
        <v>139.19999999999999</v>
      </c>
    </row>
    <row r="436" spans="1:2" x14ac:dyDescent="0.25">
      <c r="A436" s="1">
        <v>39904</v>
      </c>
      <c r="B436">
        <v>167.4</v>
      </c>
    </row>
    <row r="437" spans="1:2" x14ac:dyDescent="0.25">
      <c r="A437" s="1">
        <v>39934</v>
      </c>
      <c r="B437">
        <v>166.4</v>
      </c>
    </row>
    <row r="438" spans="1:2" x14ac:dyDescent="0.25">
      <c r="A438" s="1">
        <v>39965</v>
      </c>
      <c r="B438">
        <v>191.1</v>
      </c>
    </row>
    <row r="439" spans="1:2" x14ac:dyDescent="0.25">
      <c r="A439" s="1">
        <v>39995</v>
      </c>
      <c r="B439">
        <v>172.8</v>
      </c>
    </row>
    <row r="440" spans="1:2" x14ac:dyDescent="0.25">
      <c r="A440" s="1">
        <v>40026</v>
      </c>
      <c r="B440">
        <v>204.1</v>
      </c>
    </row>
    <row r="441" spans="1:2" x14ac:dyDescent="0.25">
      <c r="A441" s="1">
        <v>40057</v>
      </c>
      <c r="B441">
        <v>193.2</v>
      </c>
    </row>
    <row r="442" spans="1:2" x14ac:dyDescent="0.25">
      <c r="A442" s="1">
        <v>40087</v>
      </c>
      <c r="B442">
        <v>202.8</v>
      </c>
    </row>
    <row r="443" spans="1:2" x14ac:dyDescent="0.25">
      <c r="A443" s="1">
        <v>40118</v>
      </c>
      <c r="B443">
        <v>215.7</v>
      </c>
    </row>
    <row r="444" spans="1:2" x14ac:dyDescent="0.25">
      <c r="A444" s="1">
        <v>40148</v>
      </c>
      <c r="B444">
        <v>205.1</v>
      </c>
    </row>
    <row r="445" spans="1:2" x14ac:dyDescent="0.25">
      <c r="A445" s="1">
        <v>40179</v>
      </c>
      <c r="B445">
        <v>229.4</v>
      </c>
    </row>
    <row r="446" spans="1:2" x14ac:dyDescent="0.25">
      <c r="A446" s="1">
        <v>40210</v>
      </c>
      <c r="B446">
        <v>206.9</v>
      </c>
    </row>
    <row r="447" spans="1:2" x14ac:dyDescent="0.25">
      <c r="A447" s="1">
        <v>40238</v>
      </c>
      <c r="B447">
        <v>225.5</v>
      </c>
    </row>
    <row r="448" spans="1:2" x14ac:dyDescent="0.25">
      <c r="A448" s="1">
        <v>40269</v>
      </c>
      <c r="B448">
        <v>240</v>
      </c>
    </row>
    <row r="449" spans="1:2" x14ac:dyDescent="0.25">
      <c r="A449" s="1">
        <v>40299</v>
      </c>
      <c r="B449">
        <v>235.8</v>
      </c>
    </row>
    <row r="450" spans="1:2" x14ac:dyDescent="0.25">
      <c r="A450" s="1">
        <v>40330</v>
      </c>
      <c r="B450">
        <v>221.8</v>
      </c>
    </row>
    <row r="451" spans="1:2" x14ac:dyDescent="0.25">
      <c r="A451" s="1">
        <v>40360</v>
      </c>
      <c r="B451">
        <v>218.5</v>
      </c>
    </row>
    <row r="452" spans="1:2" x14ac:dyDescent="0.25">
      <c r="A452" s="1">
        <v>40391</v>
      </c>
      <c r="B452">
        <v>231.1</v>
      </c>
    </row>
    <row r="453" spans="1:2" x14ac:dyDescent="0.25">
      <c r="A453" s="1">
        <v>40422</v>
      </c>
      <c r="B453">
        <v>227.7</v>
      </c>
    </row>
    <row r="454" spans="1:2" x14ac:dyDescent="0.25">
      <c r="A454" s="1">
        <v>40452</v>
      </c>
      <c r="B454">
        <v>243.7</v>
      </c>
    </row>
    <row r="455" spans="1:2" x14ac:dyDescent="0.25">
      <c r="A455" s="1">
        <v>40483</v>
      </c>
      <c r="B455">
        <v>255.3</v>
      </c>
    </row>
    <row r="456" spans="1:2" x14ac:dyDescent="0.25">
      <c r="A456" s="1">
        <v>40513</v>
      </c>
      <c r="B456">
        <v>259.2</v>
      </c>
    </row>
    <row r="457" spans="1:2" x14ac:dyDescent="0.25">
      <c r="A457" s="1">
        <v>40544</v>
      </c>
      <c r="B457">
        <v>270</v>
      </c>
    </row>
    <row r="458" spans="1:2" x14ac:dyDescent="0.25">
      <c r="A458" s="1">
        <v>40575</v>
      </c>
      <c r="B458">
        <v>289.3</v>
      </c>
    </row>
    <row r="459" spans="1:2" x14ac:dyDescent="0.25">
      <c r="A459" s="1">
        <v>40603</v>
      </c>
      <c r="B459">
        <v>321.8</v>
      </c>
    </row>
    <row r="460" spans="1:2" x14ac:dyDescent="0.25">
      <c r="A460" s="1">
        <v>40634</v>
      </c>
      <c r="B460">
        <v>339.8</v>
      </c>
    </row>
    <row r="461" spans="1:2" x14ac:dyDescent="0.25">
      <c r="A461" s="1">
        <v>40664</v>
      </c>
      <c r="B461">
        <v>328.4</v>
      </c>
    </row>
    <row r="462" spans="1:2" x14ac:dyDescent="0.25">
      <c r="A462" s="1">
        <v>40695</v>
      </c>
      <c r="B462">
        <v>333.7</v>
      </c>
    </row>
    <row r="463" spans="1:2" x14ac:dyDescent="0.25">
      <c r="A463" s="1">
        <v>40725</v>
      </c>
      <c r="B463">
        <v>327.8</v>
      </c>
    </row>
    <row r="464" spans="1:2" x14ac:dyDescent="0.25">
      <c r="A464" s="1">
        <v>40756</v>
      </c>
      <c r="B464">
        <v>307.3</v>
      </c>
    </row>
    <row r="465" spans="1:2" x14ac:dyDescent="0.25">
      <c r="A465" s="1">
        <v>40787</v>
      </c>
      <c r="B465">
        <v>317.8</v>
      </c>
    </row>
    <row r="466" spans="1:2" x14ac:dyDescent="0.25">
      <c r="A466" s="1">
        <v>40817</v>
      </c>
      <c r="B466">
        <v>310.60000000000002</v>
      </c>
    </row>
    <row r="467" spans="1:2" x14ac:dyDescent="0.25">
      <c r="A467" s="1">
        <v>40848</v>
      </c>
      <c r="B467">
        <v>337.1</v>
      </c>
    </row>
    <row r="468" spans="1:2" x14ac:dyDescent="0.25">
      <c r="A468" s="1">
        <v>40878</v>
      </c>
      <c r="B468">
        <v>311</v>
      </c>
    </row>
    <row r="469" spans="1:2" x14ac:dyDescent="0.25">
      <c r="A469" s="1">
        <v>40909</v>
      </c>
      <c r="B469">
        <v>322</v>
      </c>
    </row>
    <row r="470" spans="1:2" x14ac:dyDescent="0.25">
      <c r="A470" s="1">
        <v>40940</v>
      </c>
      <c r="B470">
        <v>329.2</v>
      </c>
    </row>
    <row r="471" spans="1:2" x14ac:dyDescent="0.25">
      <c r="A471" s="1">
        <v>40969</v>
      </c>
      <c r="B471">
        <v>344.3</v>
      </c>
    </row>
    <row r="472" spans="1:2" x14ac:dyDescent="0.25">
      <c r="A472" s="1">
        <v>41000</v>
      </c>
      <c r="B472">
        <v>339.4</v>
      </c>
    </row>
    <row r="473" spans="1:2" x14ac:dyDescent="0.25">
      <c r="A473" s="1">
        <v>41030</v>
      </c>
      <c r="B473">
        <v>325.8</v>
      </c>
    </row>
    <row r="474" spans="1:2" x14ac:dyDescent="0.25">
      <c r="A474" s="1">
        <v>41061</v>
      </c>
      <c r="B474">
        <v>295.39999999999998</v>
      </c>
    </row>
    <row r="475" spans="1:2" x14ac:dyDescent="0.25">
      <c r="A475" s="1">
        <v>41091</v>
      </c>
      <c r="B475">
        <v>298.7</v>
      </c>
    </row>
    <row r="476" spans="1:2" x14ac:dyDescent="0.25">
      <c r="A476" s="1">
        <v>41122</v>
      </c>
      <c r="B476">
        <v>324.10000000000002</v>
      </c>
    </row>
    <row r="477" spans="1:2" x14ac:dyDescent="0.25">
      <c r="A477" s="1">
        <v>41153</v>
      </c>
      <c r="B477">
        <v>342.4</v>
      </c>
    </row>
    <row r="478" spans="1:2" x14ac:dyDescent="0.25">
      <c r="A478" s="1">
        <v>41183</v>
      </c>
      <c r="B478">
        <v>351</v>
      </c>
    </row>
    <row r="479" spans="1:2" x14ac:dyDescent="0.25">
      <c r="A479" s="1">
        <v>41214</v>
      </c>
      <c r="B479">
        <v>323.8</v>
      </c>
    </row>
    <row r="480" spans="1:2" x14ac:dyDescent="0.25">
      <c r="A480" s="1">
        <v>41244</v>
      </c>
      <c r="B480">
        <v>317.39999999999998</v>
      </c>
    </row>
    <row r="481" spans="1:2" x14ac:dyDescent="0.25">
      <c r="A481" s="1">
        <v>41275</v>
      </c>
      <c r="B481">
        <v>318.89999999999998</v>
      </c>
    </row>
    <row r="482" spans="1:2" x14ac:dyDescent="0.25">
      <c r="A482" s="1">
        <v>41306</v>
      </c>
      <c r="B482">
        <v>342.4</v>
      </c>
    </row>
    <row r="483" spans="1:2" x14ac:dyDescent="0.25">
      <c r="A483" s="1">
        <v>41334</v>
      </c>
      <c r="B483">
        <v>321</v>
      </c>
    </row>
    <row r="484" spans="1:2" x14ac:dyDescent="0.25">
      <c r="A484" s="1">
        <v>41365</v>
      </c>
      <c r="B484">
        <v>318.3</v>
      </c>
    </row>
    <row r="485" spans="1:2" x14ac:dyDescent="0.25">
      <c r="A485" s="1">
        <v>41395</v>
      </c>
      <c r="B485">
        <v>307.7</v>
      </c>
    </row>
    <row r="486" spans="1:2" x14ac:dyDescent="0.25">
      <c r="A486" s="1">
        <v>41426</v>
      </c>
      <c r="B486">
        <v>304.8</v>
      </c>
    </row>
    <row r="487" spans="1:2" x14ac:dyDescent="0.25">
      <c r="A487" s="1">
        <v>41456</v>
      </c>
      <c r="B487">
        <v>311.60000000000002</v>
      </c>
    </row>
    <row r="488" spans="1:2" x14ac:dyDescent="0.25">
      <c r="A488" s="1">
        <v>41487</v>
      </c>
      <c r="B488">
        <v>319.3</v>
      </c>
    </row>
    <row r="489" spans="1:2" x14ac:dyDescent="0.25">
      <c r="A489" s="1">
        <v>41518</v>
      </c>
      <c r="B489">
        <v>328</v>
      </c>
    </row>
    <row r="490" spans="1:2" x14ac:dyDescent="0.25">
      <c r="A490" s="1">
        <v>41548</v>
      </c>
      <c r="B490">
        <v>318.39999999999998</v>
      </c>
    </row>
    <row r="491" spans="1:2" x14ac:dyDescent="0.25">
      <c r="A491" s="1">
        <v>41579</v>
      </c>
      <c r="B491">
        <v>307</v>
      </c>
    </row>
    <row r="492" spans="1:2" x14ac:dyDescent="0.25">
      <c r="A492" s="1">
        <v>41609</v>
      </c>
      <c r="B492">
        <v>314.7</v>
      </c>
    </row>
    <row r="493" spans="1:2" x14ac:dyDescent="0.25">
      <c r="A493" s="1">
        <v>41640</v>
      </c>
      <c r="B493">
        <v>308.5</v>
      </c>
    </row>
    <row r="494" spans="1:2" x14ac:dyDescent="0.25">
      <c r="A494" s="1">
        <v>41671</v>
      </c>
      <c r="B494">
        <v>322</v>
      </c>
    </row>
    <row r="495" spans="1:2" x14ac:dyDescent="0.25">
      <c r="A495" s="1">
        <v>41699</v>
      </c>
      <c r="B495">
        <v>318.10000000000002</v>
      </c>
    </row>
    <row r="496" spans="1:2" x14ac:dyDescent="0.25">
      <c r="A496" s="1">
        <v>41730</v>
      </c>
      <c r="B496">
        <v>318.7</v>
      </c>
    </row>
    <row r="497" spans="1:2" x14ac:dyDescent="0.25">
      <c r="A497" s="1">
        <v>41760</v>
      </c>
      <c r="B497">
        <v>316.5</v>
      </c>
    </row>
    <row r="498" spans="1:2" x14ac:dyDescent="0.25">
      <c r="A498" s="1">
        <v>41791</v>
      </c>
      <c r="B498">
        <v>308.8</v>
      </c>
    </row>
    <row r="499" spans="1:2" x14ac:dyDescent="0.25">
      <c r="A499" s="1">
        <v>41821</v>
      </c>
      <c r="B499">
        <v>307.8</v>
      </c>
    </row>
    <row r="500" spans="1:2" x14ac:dyDescent="0.25">
      <c r="A500" s="1">
        <v>41852</v>
      </c>
      <c r="B500">
        <v>306.89999999999998</v>
      </c>
    </row>
    <row r="501" spans="1:2" x14ac:dyDescent="0.25">
      <c r="A501" s="1">
        <v>41883</v>
      </c>
      <c r="B501">
        <v>302.3</v>
      </c>
    </row>
    <row r="502" spans="1:2" x14ac:dyDescent="0.25">
      <c r="A502" s="1">
        <v>41913</v>
      </c>
      <c r="B502">
        <v>283.39999999999998</v>
      </c>
    </row>
    <row r="503" spans="1:2" x14ac:dyDescent="0.25">
      <c r="A503" s="1">
        <v>41944</v>
      </c>
      <c r="B503">
        <v>272.3</v>
      </c>
    </row>
    <row r="504" spans="1:2" x14ac:dyDescent="0.25">
      <c r="A504" s="1">
        <v>41974</v>
      </c>
      <c r="B504">
        <v>229.9</v>
      </c>
    </row>
    <row r="505" spans="1:2" x14ac:dyDescent="0.25">
      <c r="A505" s="1">
        <v>42005</v>
      </c>
      <c r="B505">
        <v>182.6</v>
      </c>
    </row>
    <row r="506" spans="1:2" x14ac:dyDescent="0.25">
      <c r="A506" s="1">
        <v>42036</v>
      </c>
      <c r="B506">
        <v>191.5</v>
      </c>
    </row>
    <row r="507" spans="1:2" x14ac:dyDescent="0.25">
      <c r="A507" s="1">
        <v>42064</v>
      </c>
      <c r="B507">
        <v>193.1</v>
      </c>
    </row>
    <row r="508" spans="1:2" x14ac:dyDescent="0.25">
      <c r="A508" s="1">
        <v>42095</v>
      </c>
      <c r="B508">
        <v>183.8</v>
      </c>
    </row>
    <row r="509" spans="1:2" x14ac:dyDescent="0.25">
      <c r="A509" s="1">
        <v>42125</v>
      </c>
      <c r="B509">
        <v>202.6</v>
      </c>
    </row>
    <row r="510" spans="1:2" x14ac:dyDescent="0.25">
      <c r="A510" s="1">
        <v>42156</v>
      </c>
      <c r="B510">
        <v>198.7</v>
      </c>
    </row>
    <row r="511" spans="1:2" x14ac:dyDescent="0.25">
      <c r="A511" s="1">
        <v>42186</v>
      </c>
      <c r="B511">
        <v>194</v>
      </c>
    </row>
    <row r="512" spans="1:2" x14ac:dyDescent="0.25">
      <c r="A512" s="1">
        <v>42217</v>
      </c>
      <c r="B512">
        <v>189.2</v>
      </c>
    </row>
    <row r="513" spans="1:2" x14ac:dyDescent="0.25">
      <c r="A513" s="1">
        <v>42248</v>
      </c>
      <c r="B513">
        <v>169.4</v>
      </c>
    </row>
    <row r="514" spans="1:2" x14ac:dyDescent="0.25">
      <c r="A514" s="1">
        <v>42278</v>
      </c>
      <c r="B514">
        <v>173.5</v>
      </c>
    </row>
    <row r="515" spans="1:2" x14ac:dyDescent="0.25">
      <c r="A515" s="1">
        <v>42309</v>
      </c>
      <c r="B515">
        <v>167.4</v>
      </c>
    </row>
    <row r="516" spans="1:2" x14ac:dyDescent="0.25">
      <c r="A516" s="1">
        <v>42339</v>
      </c>
      <c r="B516">
        <v>130.80000000000001</v>
      </c>
    </row>
    <row r="517" spans="1:2" x14ac:dyDescent="0.25">
      <c r="A517" s="1">
        <v>42370</v>
      </c>
      <c r="B517">
        <v>119.2</v>
      </c>
    </row>
    <row r="518" spans="1:2" x14ac:dyDescent="0.25">
      <c r="A518" s="1">
        <v>42401</v>
      </c>
      <c r="B518">
        <v>113.4</v>
      </c>
    </row>
    <row r="519" spans="1:2" x14ac:dyDescent="0.25">
      <c r="A519" s="1">
        <v>42430</v>
      </c>
      <c r="B519">
        <v>119.4</v>
      </c>
    </row>
    <row r="520" spans="1:2" x14ac:dyDescent="0.25">
      <c r="A520" s="1">
        <v>42461</v>
      </c>
      <c r="B520">
        <v>123.6</v>
      </c>
    </row>
    <row r="521" spans="1:2" x14ac:dyDescent="0.25">
      <c r="A521" s="1">
        <v>42491</v>
      </c>
      <c r="B521">
        <v>144.4</v>
      </c>
    </row>
    <row r="522" spans="1:2" x14ac:dyDescent="0.25">
      <c r="A522" s="1">
        <v>42522</v>
      </c>
      <c r="B522">
        <v>155.4</v>
      </c>
    </row>
    <row r="523" spans="1:2" x14ac:dyDescent="0.25">
      <c r="A523" s="1">
        <v>42552</v>
      </c>
      <c r="B523">
        <v>157.6</v>
      </c>
    </row>
    <row r="524" spans="1:2" x14ac:dyDescent="0.25">
      <c r="A524" s="1">
        <v>42583</v>
      </c>
      <c r="B524">
        <v>149.80000000000001</v>
      </c>
    </row>
    <row r="525" spans="1:2" x14ac:dyDescent="0.25">
      <c r="A525" s="1">
        <v>42614</v>
      </c>
      <c r="B525">
        <v>163.1</v>
      </c>
    </row>
    <row r="526" spans="1:2" x14ac:dyDescent="0.25">
      <c r="A526" s="1">
        <v>42644</v>
      </c>
      <c r="B526">
        <v>159.69999999999999</v>
      </c>
    </row>
    <row r="527" spans="1:2" x14ac:dyDescent="0.25">
      <c r="A527" s="1">
        <v>42675</v>
      </c>
      <c r="B527">
        <v>157</v>
      </c>
    </row>
    <row r="528" spans="1:2" x14ac:dyDescent="0.25">
      <c r="A528" s="1">
        <v>42705</v>
      </c>
      <c r="B528">
        <v>158.80000000000001</v>
      </c>
    </row>
    <row r="529" spans="1:2" x14ac:dyDescent="0.25">
      <c r="A529" s="1">
        <v>42736</v>
      </c>
      <c r="B529">
        <v>161.1</v>
      </c>
    </row>
    <row r="530" spans="1:2" x14ac:dyDescent="0.25">
      <c r="A530" s="1">
        <v>42767</v>
      </c>
      <c r="B530">
        <v>163.5</v>
      </c>
    </row>
    <row r="531" spans="1:2" x14ac:dyDescent="0.25">
      <c r="A531" s="1">
        <v>42795</v>
      </c>
      <c r="B531">
        <v>161.30000000000001</v>
      </c>
    </row>
    <row r="532" spans="1:2" x14ac:dyDescent="0.25">
      <c r="A532" s="1">
        <v>42826</v>
      </c>
      <c r="B532">
        <v>162.9</v>
      </c>
    </row>
    <row r="533" spans="1:2" x14ac:dyDescent="0.25">
      <c r="A533" s="1">
        <v>42856</v>
      </c>
      <c r="B533">
        <v>173.6</v>
      </c>
    </row>
    <row r="534" spans="1:2" x14ac:dyDescent="0.25">
      <c r="A534" s="1">
        <v>42887</v>
      </c>
      <c r="B534">
        <v>171.5</v>
      </c>
    </row>
    <row r="535" spans="1:2" x14ac:dyDescent="0.25">
      <c r="A535" s="1">
        <v>42917</v>
      </c>
      <c r="B535">
        <v>179.6</v>
      </c>
    </row>
    <row r="536" spans="1:2" x14ac:dyDescent="0.25">
      <c r="A536" s="1">
        <v>42948</v>
      </c>
      <c r="B536">
        <v>188.9</v>
      </c>
    </row>
    <row r="537" spans="1:2" x14ac:dyDescent="0.25">
      <c r="A537" s="1">
        <v>42979</v>
      </c>
      <c r="B537">
        <v>204.2</v>
      </c>
    </row>
    <row r="538" spans="1:2" x14ac:dyDescent="0.25">
      <c r="A538" s="1">
        <v>43009</v>
      </c>
      <c r="B538">
        <v>213.5</v>
      </c>
    </row>
    <row r="539" spans="1:2" x14ac:dyDescent="0.25">
      <c r="A539" s="1">
        <v>43040</v>
      </c>
      <c r="B539">
        <v>223.7</v>
      </c>
    </row>
    <row r="540" spans="1:2" x14ac:dyDescent="0.25">
      <c r="A540" s="1">
        <v>43070</v>
      </c>
      <c r="B540">
        <v>223.8</v>
      </c>
    </row>
    <row r="541" spans="1:2" x14ac:dyDescent="0.25">
      <c r="A541" s="1">
        <v>43101</v>
      </c>
      <c r="B541">
        <v>229.4</v>
      </c>
    </row>
    <row r="542" spans="1:2" x14ac:dyDescent="0.25">
      <c r="A542" s="1">
        <v>43132</v>
      </c>
      <c r="B542">
        <v>226.5</v>
      </c>
    </row>
    <row r="543" spans="1:2" x14ac:dyDescent="0.25">
      <c r="A543" s="1">
        <v>43160</v>
      </c>
      <c r="B543">
        <v>224.8</v>
      </c>
    </row>
    <row r="544" spans="1:2" x14ac:dyDescent="0.25">
      <c r="A544" s="1">
        <v>43191</v>
      </c>
      <c r="B544">
        <v>231.8</v>
      </c>
    </row>
    <row r="545" spans="1:2" x14ac:dyDescent="0.25">
      <c r="A545" s="1">
        <v>43221</v>
      </c>
      <c r="B545">
        <v>251.1</v>
      </c>
    </row>
    <row r="546" spans="1:2" x14ac:dyDescent="0.25">
      <c r="A546" s="1">
        <v>43252</v>
      </c>
      <c r="B546">
        <v>261.39999999999998</v>
      </c>
    </row>
    <row r="547" spans="1:2" x14ac:dyDescent="0.25">
      <c r="A547" s="1">
        <v>43282</v>
      </c>
      <c r="B547">
        <v>256.89999999999998</v>
      </c>
    </row>
    <row r="548" spans="1:2" x14ac:dyDescent="0.25">
      <c r="A548" s="1">
        <v>43313</v>
      </c>
      <c r="B548">
        <v>254.3</v>
      </c>
    </row>
    <row r="549" spans="1:2" x14ac:dyDescent="0.25">
      <c r="A549" s="1">
        <v>43344</v>
      </c>
      <c r="B549">
        <v>262.5</v>
      </c>
    </row>
    <row r="550" spans="1:2" x14ac:dyDescent="0.25">
      <c r="A550" s="1">
        <v>43374</v>
      </c>
      <c r="B550">
        <v>271.7</v>
      </c>
    </row>
    <row r="551" spans="1:2" x14ac:dyDescent="0.25">
      <c r="A551" s="1">
        <v>43405</v>
      </c>
      <c r="B551">
        <v>264.8</v>
      </c>
    </row>
    <row r="552" spans="1:2" x14ac:dyDescent="0.25">
      <c r="A552" s="1">
        <v>43435</v>
      </c>
      <c r="B552">
        <v>232.7</v>
      </c>
    </row>
    <row r="553" spans="1:2" x14ac:dyDescent="0.25">
      <c r="A553" s="1">
        <v>43466</v>
      </c>
      <c r="B553">
        <v>201.1</v>
      </c>
    </row>
    <row r="554" spans="1:2" x14ac:dyDescent="0.25">
      <c r="A554" s="1">
        <v>43497</v>
      </c>
      <c r="B554">
        <v>218.3</v>
      </c>
    </row>
    <row r="555" spans="1:2" x14ac:dyDescent="0.25">
      <c r="A555" s="1">
        <v>43525</v>
      </c>
      <c r="B555">
        <v>239.3</v>
      </c>
    </row>
    <row r="556" spans="1:2" x14ac:dyDescent="0.25">
      <c r="A556" s="1">
        <v>43556</v>
      </c>
      <c r="B556">
        <v>237.7</v>
      </c>
    </row>
    <row r="557" spans="1:2" x14ac:dyDescent="0.25">
      <c r="A557" s="1">
        <v>43586</v>
      </c>
      <c r="B557">
        <v>235</v>
      </c>
    </row>
    <row r="558" spans="1:2" x14ac:dyDescent="0.25">
      <c r="A558" s="1">
        <v>43617</v>
      </c>
      <c r="B558">
        <v>204.4</v>
      </c>
    </row>
    <row r="559" spans="1:2" x14ac:dyDescent="0.25">
      <c r="A559" s="1">
        <v>43647</v>
      </c>
      <c r="B559">
        <v>220</v>
      </c>
    </row>
    <row r="560" spans="1:2" x14ac:dyDescent="0.25">
      <c r="A560" s="1">
        <v>43678</v>
      </c>
      <c r="B560">
        <v>207.2</v>
      </c>
    </row>
    <row r="561" spans="1:2" x14ac:dyDescent="0.25">
      <c r="A561" s="1">
        <v>43709</v>
      </c>
      <c r="B561">
        <v>218.4</v>
      </c>
    </row>
    <row r="562" spans="1:2" x14ac:dyDescent="0.25">
      <c r="A562" s="1">
        <v>43739</v>
      </c>
      <c r="B562">
        <v>220.5</v>
      </c>
    </row>
    <row r="563" spans="1:2" x14ac:dyDescent="0.25">
      <c r="A563" s="1">
        <v>43770</v>
      </c>
      <c r="B563">
        <v>223.1</v>
      </c>
    </row>
    <row r="564" spans="1:2" x14ac:dyDescent="0.25">
      <c r="A564" s="1">
        <v>43800</v>
      </c>
      <c r="B564">
        <v>231.1</v>
      </c>
    </row>
    <row r="565" spans="1:2" x14ac:dyDescent="0.25">
      <c r="A565" s="1">
        <v>43831</v>
      </c>
      <c r="B565">
        <v>214.5</v>
      </c>
    </row>
    <row r="566" spans="1:2" x14ac:dyDescent="0.25">
      <c r="A566" s="1">
        <v>43862</v>
      </c>
      <c r="B566">
        <v>193.3</v>
      </c>
    </row>
    <row r="567" spans="1:2" x14ac:dyDescent="0.25">
      <c r="A567" s="1">
        <v>43891</v>
      </c>
      <c r="B567">
        <v>169.7</v>
      </c>
    </row>
    <row r="568" spans="1:2" x14ac:dyDescent="0.25">
      <c r="A568" s="1">
        <v>43922</v>
      </c>
      <c r="B568">
        <v>123.6</v>
      </c>
    </row>
    <row r="569" spans="1:2" x14ac:dyDescent="0.25">
      <c r="A569" s="1">
        <v>43952</v>
      </c>
      <c r="B569">
        <v>108.3</v>
      </c>
    </row>
    <row r="570" spans="1:2" x14ac:dyDescent="0.25">
      <c r="A570" s="1">
        <v>43983</v>
      </c>
      <c r="B570">
        <v>137.80000000000001</v>
      </c>
    </row>
    <row r="571" spans="1:2" x14ac:dyDescent="0.25">
      <c r="A571" s="1">
        <v>44013</v>
      </c>
      <c r="B571">
        <v>179.2</v>
      </c>
    </row>
    <row r="572" spans="1:2" x14ac:dyDescent="0.25">
      <c r="A572" s="1">
        <v>44044</v>
      </c>
      <c r="B572">
        <v>191</v>
      </c>
    </row>
    <row r="573" spans="1:2" x14ac:dyDescent="0.25">
      <c r="A573" s="1">
        <v>44075</v>
      </c>
      <c r="B573">
        <v>177.5</v>
      </c>
    </row>
    <row r="574" spans="1:2" x14ac:dyDescent="0.25">
      <c r="A574" s="1">
        <v>44105</v>
      </c>
      <c r="B574">
        <v>187.3</v>
      </c>
    </row>
    <row r="575" spans="1:2" x14ac:dyDescent="0.25">
      <c r="A575" s="1">
        <v>44136</v>
      </c>
      <c r="B575">
        <v>201.1</v>
      </c>
    </row>
    <row r="576" spans="1:2" x14ac:dyDescent="0.25">
      <c r="A576" s="1">
        <v>44166</v>
      </c>
      <c r="B576">
        <v>224.6</v>
      </c>
    </row>
    <row r="577" spans="1:2" x14ac:dyDescent="0.25">
      <c r="A577" s="1">
        <v>44197</v>
      </c>
      <c r="B577">
        <v>232.9</v>
      </c>
    </row>
    <row r="578" spans="1:2" x14ac:dyDescent="0.25">
      <c r="A578" s="1">
        <v>44228</v>
      </c>
      <c r="B578">
        <v>264.39999999999998</v>
      </c>
    </row>
    <row r="579" spans="1:2" x14ac:dyDescent="0.25">
      <c r="A579" s="1">
        <v>44256</v>
      </c>
      <c r="B579">
        <v>304.10000000000002</v>
      </c>
    </row>
    <row r="580" spans="1:2" x14ac:dyDescent="0.25">
      <c r="A580" s="1">
        <v>44287</v>
      </c>
      <c r="B580">
        <v>282</v>
      </c>
    </row>
    <row r="581" spans="1:2" x14ac:dyDescent="0.25">
      <c r="A581" s="1">
        <v>44317</v>
      </c>
      <c r="B581">
        <v>318.8</v>
      </c>
    </row>
    <row r="582" spans="1:2" x14ac:dyDescent="0.25">
      <c r="A582" s="1">
        <v>44348</v>
      </c>
      <c r="B582">
        <v>317.8</v>
      </c>
    </row>
    <row r="583" spans="1:2" x14ac:dyDescent="0.25">
      <c r="A583" s="1">
        <v>44378</v>
      </c>
      <c r="B583">
        <v>326.96600000000001</v>
      </c>
    </row>
    <row r="584" spans="1:2" x14ac:dyDescent="0.25">
      <c r="A584" s="1">
        <v>44409</v>
      </c>
      <c r="B584">
        <v>322.279</v>
      </c>
    </row>
    <row r="585" spans="1:2" x14ac:dyDescent="0.25">
      <c r="A585" s="1">
        <v>44440</v>
      </c>
      <c r="B585">
        <v>334.17500000000001</v>
      </c>
    </row>
    <row r="586" spans="1:2" x14ac:dyDescent="0.25">
      <c r="A586" s="1">
        <v>44470</v>
      </c>
      <c r="B586">
        <v>374.10700000000003</v>
      </c>
    </row>
    <row r="587" spans="1:2" x14ac:dyDescent="0.25">
      <c r="A587" s="1">
        <v>44501</v>
      </c>
      <c r="B587">
        <v>366.73099999999999</v>
      </c>
    </row>
    <row r="588" spans="1:2" x14ac:dyDescent="0.25">
      <c r="A588" s="1">
        <v>44531</v>
      </c>
      <c r="B588">
        <v>346.23399999999998</v>
      </c>
    </row>
    <row r="589" spans="1:2" x14ac:dyDescent="0.25">
      <c r="A589" s="1">
        <v>44562</v>
      </c>
      <c r="B589">
        <v>365.44900000000001</v>
      </c>
    </row>
    <row r="590" spans="1:2" x14ac:dyDescent="0.25">
      <c r="A590" s="1">
        <v>44593</v>
      </c>
      <c r="B590">
        <v>415.35399999999998</v>
      </c>
    </row>
    <row r="591" spans="1:2" x14ac:dyDescent="0.25">
      <c r="A591" s="1">
        <v>44621</v>
      </c>
      <c r="B591">
        <v>503.05200000000002</v>
      </c>
    </row>
    <row r="592" spans="1:2" x14ac:dyDescent="0.25">
      <c r="A592" s="1">
        <v>44652</v>
      </c>
      <c r="B592">
        <v>528.25599999999997</v>
      </c>
    </row>
    <row r="593" spans="1:2" x14ac:dyDescent="0.25">
      <c r="A593" s="1">
        <v>44682</v>
      </c>
      <c r="B593">
        <v>587.93899999999996</v>
      </c>
    </row>
    <row r="594" spans="1:2" x14ac:dyDescent="0.25">
      <c r="A594" s="1">
        <v>44713</v>
      </c>
      <c r="B594">
        <v>665.72</v>
      </c>
    </row>
    <row r="595" spans="1:2" x14ac:dyDescent="0.25">
      <c r="A595" s="1">
        <v>44743</v>
      </c>
      <c r="B595">
        <v>568.60299999999995</v>
      </c>
    </row>
    <row r="596" spans="1:2" x14ac:dyDescent="0.25">
      <c r="A596" s="1">
        <v>44774</v>
      </c>
      <c r="B596">
        <v>497.42500000000001</v>
      </c>
    </row>
    <row r="597" spans="1:2" x14ac:dyDescent="0.25">
      <c r="A597" s="1">
        <v>44805</v>
      </c>
      <c r="B597">
        <v>548.65800000000002</v>
      </c>
    </row>
    <row r="598" spans="1:2" x14ac:dyDescent="0.25">
      <c r="A598" s="1">
        <v>44835</v>
      </c>
      <c r="B598">
        <v>605.64099999999996</v>
      </c>
    </row>
    <row r="599" spans="1:2" x14ac:dyDescent="0.25">
      <c r="A599" s="1">
        <v>44866</v>
      </c>
      <c r="B599">
        <v>585.30600000000004</v>
      </c>
    </row>
    <row r="600" spans="1:2" x14ac:dyDescent="0.25">
      <c r="A600" s="1">
        <v>44896</v>
      </c>
      <c r="B600">
        <v>419.19099999999997</v>
      </c>
    </row>
    <row r="601" spans="1:2" x14ac:dyDescent="0.25">
      <c r="A601" s="1">
        <v>44927</v>
      </c>
      <c r="B601">
        <v>449.16899999999998</v>
      </c>
    </row>
    <row r="602" spans="1:2" x14ac:dyDescent="0.25">
      <c r="A602" s="1">
        <v>44958</v>
      </c>
      <c r="B602">
        <v>435.24799999999999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6D2E-DA04-4FC2-BB5B-E6477C1A61CF}">
  <sheetPr codeName="Sheet7">
    <tabColor theme="2" tint="-0.249977111117893"/>
  </sheetPr>
  <dimension ref="A1:F339"/>
  <sheetViews>
    <sheetView workbookViewId="0">
      <selection activeCell="F2" sqref="F2"/>
    </sheetView>
  </sheetViews>
  <sheetFormatPr defaultRowHeight="15" x14ac:dyDescent="0.25"/>
  <cols>
    <col min="1" max="1" width="10.7109375" bestFit="1" customWidth="1"/>
    <col min="2" max="2" width="9.28515625" bestFit="1" customWidth="1"/>
    <col min="3" max="3" width="7.28515625" bestFit="1" customWidth="1"/>
    <col min="4" max="4" width="17.140625" bestFit="1" customWidth="1"/>
    <col min="5" max="5" width="12" bestFit="1" customWidth="1"/>
    <col min="6" max="6" width="11.140625" bestFit="1" customWidth="1"/>
    <col min="7" max="7" width="11.7109375" bestFit="1" customWidth="1"/>
  </cols>
  <sheetData>
    <row r="1" spans="1:6" x14ac:dyDescent="0.25">
      <c r="A1" t="s">
        <v>57</v>
      </c>
      <c r="B1" t="s">
        <v>49</v>
      </c>
      <c r="C1" t="s">
        <v>50</v>
      </c>
      <c r="D1" t="s">
        <v>4</v>
      </c>
      <c r="E1" t="s">
        <v>36</v>
      </c>
      <c r="F1" t="s">
        <v>5</v>
      </c>
    </row>
    <row r="2" spans="1:6" x14ac:dyDescent="0.25">
      <c r="A2" s="1">
        <v>44657</v>
      </c>
      <c r="B2">
        <f>MONTH(timeseries_access_key_fqeas14oitk235763mntlb1c0brnk9w3fenzqbk313q5kvxyf52kukw1pa[[#This Row],[Name]])</f>
        <v>4</v>
      </c>
      <c r="C2">
        <f>YEAR(timeseries_access_key_fqeas14oitk235763mntlb1c0brnk9w3fenzqbk313q5kvxyf52kukw1pa[[#This Row],[Name]])</f>
        <v>2022</v>
      </c>
      <c r="D2">
        <v>7.4631397531322996</v>
      </c>
      <c r="E2">
        <f>IF(timeseries_access_key_fqeas14oitk235763mntlb1c0brnk9w3fenzqbk313q5kvxyf52kukw1pa[[#This Row],[Value.LME-ZNC]]="",0,timeseries_access_key_fqeas14oitk235763mntlb1c0brnk9w3fenzqbk313q5kvxyf52kukw1pa[[#This Row],[Value.LME-ZNC]])</f>
        <v>7.4631397531322996</v>
      </c>
      <c r="F2" s="2">
        <f t="shared" ref="F2:F65" si="0">IFERROR(1-(D$2/D2),0)</f>
        <v>0</v>
      </c>
    </row>
    <row r="3" spans="1:6" x14ac:dyDescent="0.25">
      <c r="A3" s="1">
        <v>44658</v>
      </c>
      <c r="B3">
        <f>MONTH(timeseries_access_key_fqeas14oitk235763mntlb1c0brnk9w3fenzqbk313q5kvxyf52kukw1pa[[#This Row],[Name]])</f>
        <v>4</v>
      </c>
      <c r="C3">
        <f>YEAR(timeseries_access_key_fqeas14oitk235763mntlb1c0brnk9w3fenzqbk313q5kvxyf52kukw1pa[[#This Row],[Name]])</f>
        <v>2022</v>
      </c>
      <c r="D3">
        <v>7.4714165030190003</v>
      </c>
      <c r="E3">
        <f>IF(timeseries_access_key_fqeas14oitk235763mntlb1c0brnk9w3fenzqbk313q5kvxyf52kukw1pa[[#This Row],[Value.LME-ZNC]]="",0,timeseries_access_key_fqeas14oitk235763mntlb1c0brnk9w3fenzqbk313q5kvxyf52kukw1pa[[#This Row],[Value.LME-ZNC]])</f>
        <v>7.4714165030190003</v>
      </c>
      <c r="F3" s="2">
        <f t="shared" si="0"/>
        <v>1.1077885811019428E-3</v>
      </c>
    </row>
    <row r="4" spans="1:6" x14ac:dyDescent="0.25">
      <c r="A4" s="1">
        <v>44659</v>
      </c>
      <c r="B4">
        <f>MONTH(timeseries_access_key_fqeas14oitk235763mntlb1c0brnk9w3fenzqbk313q5kvxyf52kukw1pa[[#This Row],[Name]])</f>
        <v>4</v>
      </c>
      <c r="C4">
        <f>YEAR(timeseries_access_key_fqeas14oitk235763mntlb1c0brnk9w3fenzqbk313q5kvxyf52kukw1pa[[#This Row],[Name]])</f>
        <v>2022</v>
      </c>
      <c r="D4">
        <v>7.5700903489411999</v>
      </c>
      <c r="E4">
        <f>IF(timeseries_access_key_fqeas14oitk235763mntlb1c0brnk9w3fenzqbk313q5kvxyf52kukw1pa[[#This Row],[Value.LME-ZNC]]="",0,timeseries_access_key_fqeas14oitk235763mntlb1c0brnk9w3fenzqbk313q5kvxyf52kukw1pa[[#This Row],[Value.LME-ZNC]])</f>
        <v>7.5700903489411999</v>
      </c>
      <c r="F4" s="2">
        <f t="shared" si="0"/>
        <v>1.4128047470907568E-2</v>
      </c>
    </row>
    <row r="5" spans="1:6" x14ac:dyDescent="0.25">
      <c r="A5" s="1">
        <v>44660</v>
      </c>
      <c r="B5">
        <f>MONTH(timeseries_access_key_fqeas14oitk235763mntlb1c0brnk9w3fenzqbk313q5kvxyf52kukw1pa[[#This Row],[Name]])</f>
        <v>4</v>
      </c>
      <c r="C5">
        <f>YEAR(timeseries_access_key_fqeas14oitk235763mntlb1c0brnk9w3fenzqbk313q5kvxyf52kukw1pa[[#This Row],[Name]])</f>
        <v>2022</v>
      </c>
      <c r="D5">
        <v>7.5648705882352996</v>
      </c>
      <c r="E5">
        <f>IF(timeseries_access_key_fqeas14oitk235763mntlb1c0brnk9w3fenzqbk313q5kvxyf52kukw1pa[[#This Row],[Value.LME-ZNC]]="",0,timeseries_access_key_fqeas14oitk235763mntlb1c0brnk9w3fenzqbk313q5kvxyf52kukw1pa[[#This Row],[Value.LME-ZNC]])</f>
        <v>7.5648705882352996</v>
      </c>
      <c r="F5" s="2">
        <f t="shared" si="0"/>
        <v>1.3447795823660069E-2</v>
      </c>
    </row>
    <row r="6" spans="1:6" x14ac:dyDescent="0.25">
      <c r="A6" s="1">
        <v>44661</v>
      </c>
      <c r="B6">
        <f>MONTH(timeseries_access_key_fqeas14oitk235763mntlb1c0brnk9w3fenzqbk313q5kvxyf52kukw1pa[[#This Row],[Name]])</f>
        <v>4</v>
      </c>
      <c r="C6">
        <f>YEAR(timeseries_access_key_fqeas14oitk235763mntlb1c0brnk9w3fenzqbk313q5kvxyf52kukw1pa[[#This Row],[Name]])</f>
        <v>2022</v>
      </c>
      <c r="D6">
        <v>7.5648705882352996</v>
      </c>
      <c r="E6">
        <f>IF(timeseries_access_key_fqeas14oitk235763mntlb1c0brnk9w3fenzqbk313q5kvxyf52kukw1pa[[#This Row],[Value.LME-ZNC]]="",0,timeseries_access_key_fqeas14oitk235763mntlb1c0brnk9w3fenzqbk313q5kvxyf52kukw1pa[[#This Row],[Value.LME-ZNC]])</f>
        <v>7.5648705882352996</v>
      </c>
      <c r="F6" s="2">
        <f t="shared" si="0"/>
        <v>1.3447795823660069E-2</v>
      </c>
    </row>
    <row r="7" spans="1:6" x14ac:dyDescent="0.25">
      <c r="A7" s="1">
        <v>44662</v>
      </c>
      <c r="B7">
        <f>MONTH(timeseries_access_key_fqeas14oitk235763mntlb1c0brnk9w3fenzqbk313q5kvxyf52kukw1pa[[#This Row],[Name]])</f>
        <v>4</v>
      </c>
      <c r="C7">
        <f>YEAR(timeseries_access_key_fqeas14oitk235763mntlb1c0brnk9w3fenzqbk313q5kvxyf52kukw1pa[[#This Row],[Name]])</f>
        <v>2022</v>
      </c>
      <c r="D7">
        <v>7.5706955385882004</v>
      </c>
      <c r="E7">
        <f>IF(timeseries_access_key_fqeas14oitk235763mntlb1c0brnk9w3fenzqbk313q5kvxyf52kukw1pa[[#This Row],[Value.LME-ZNC]]="",0,timeseries_access_key_fqeas14oitk235763mntlb1c0brnk9w3fenzqbk313q5kvxyf52kukw1pa[[#This Row],[Value.LME-ZNC]])</f>
        <v>7.5706955385882004</v>
      </c>
      <c r="F7" s="2">
        <f t="shared" si="0"/>
        <v>1.4206856544115909E-2</v>
      </c>
    </row>
    <row r="8" spans="1:6" x14ac:dyDescent="0.25">
      <c r="A8" s="1">
        <v>44663</v>
      </c>
      <c r="B8">
        <f>MONTH(timeseries_access_key_fqeas14oitk235763mntlb1c0brnk9w3fenzqbk313q5kvxyf52kukw1pa[[#This Row],[Name]])</f>
        <v>4</v>
      </c>
      <c r="C8">
        <f>YEAR(timeseries_access_key_fqeas14oitk235763mntlb1c0brnk9w3fenzqbk313q5kvxyf52kukw1pa[[#This Row],[Name]])</f>
        <v>2022</v>
      </c>
      <c r="D8">
        <v>7.3550241580511999</v>
      </c>
      <c r="E8">
        <f>IF(timeseries_access_key_fqeas14oitk235763mntlb1c0brnk9w3fenzqbk313q5kvxyf52kukw1pa[[#This Row],[Value.LME-ZNC]]="",0,timeseries_access_key_fqeas14oitk235763mntlb1c0brnk9w3fenzqbk313q5kvxyf52kukw1pa[[#This Row],[Value.LME-ZNC]])</f>
        <v>7.3550241580511999</v>
      </c>
      <c r="F8" s="2">
        <f t="shared" si="0"/>
        <v>-1.4699556759817156E-2</v>
      </c>
    </row>
    <row r="9" spans="1:6" x14ac:dyDescent="0.25">
      <c r="A9" s="1">
        <v>44664</v>
      </c>
      <c r="B9">
        <f>MONTH(timeseries_access_key_fqeas14oitk235763mntlb1c0brnk9w3fenzqbk313q5kvxyf52kukw1pa[[#This Row],[Name]])</f>
        <v>4</v>
      </c>
      <c r="C9">
        <f>YEAR(timeseries_access_key_fqeas14oitk235763mntlb1c0brnk9w3fenzqbk313q5kvxyf52kukw1pa[[#This Row],[Name]])</f>
        <v>2022</v>
      </c>
      <c r="D9">
        <v>7.4022084600689997</v>
      </c>
      <c r="E9">
        <f>IF(timeseries_access_key_fqeas14oitk235763mntlb1c0brnk9w3fenzqbk313q5kvxyf52kukw1pa[[#This Row],[Value.LME-ZNC]]="",0,timeseries_access_key_fqeas14oitk235763mntlb1c0brnk9w3fenzqbk313q5kvxyf52kukw1pa[[#This Row],[Value.LME-ZNC]])</f>
        <v>7.4022084600689997</v>
      </c>
      <c r="F9" s="2">
        <f t="shared" si="0"/>
        <v>-8.2315019081118379E-3</v>
      </c>
    </row>
    <row r="10" spans="1:6" x14ac:dyDescent="0.25">
      <c r="A10" s="1">
        <v>44665</v>
      </c>
      <c r="B10">
        <f>MONTH(timeseries_access_key_fqeas14oitk235763mntlb1c0brnk9w3fenzqbk313q5kvxyf52kukw1pa[[#This Row],[Name]])</f>
        <v>4</v>
      </c>
      <c r="C10">
        <f>YEAR(timeseries_access_key_fqeas14oitk235763mntlb1c0brnk9w3fenzqbk313q5kvxyf52kukw1pa[[#This Row],[Name]])</f>
        <v>2022</v>
      </c>
      <c r="D10">
        <v>7.1278422338869998</v>
      </c>
      <c r="E10">
        <f>IF(timeseries_access_key_fqeas14oitk235763mntlb1c0brnk9w3fenzqbk313q5kvxyf52kukw1pa[[#This Row],[Value.LME-ZNC]]="",0,timeseries_access_key_fqeas14oitk235763mntlb1c0brnk9w3fenzqbk313q5kvxyf52kukw1pa[[#This Row],[Value.LME-ZNC]])</f>
        <v>7.1278422338869998</v>
      </c>
      <c r="F10" s="2">
        <f t="shared" si="0"/>
        <v>-4.7040536005586331E-2</v>
      </c>
    </row>
    <row r="11" spans="1:6" x14ac:dyDescent="0.25">
      <c r="A11" s="1">
        <v>44666</v>
      </c>
      <c r="B11">
        <f>MONTH(timeseries_access_key_fqeas14oitk235763mntlb1c0brnk9w3fenzqbk313q5kvxyf52kukw1pa[[#This Row],[Name]])</f>
        <v>4</v>
      </c>
      <c r="C11">
        <f>YEAR(timeseries_access_key_fqeas14oitk235763mntlb1c0brnk9w3fenzqbk313q5kvxyf52kukw1pa[[#This Row],[Name]])</f>
        <v>2022</v>
      </c>
      <c r="D11">
        <v>7.1901963515206004</v>
      </c>
      <c r="E11">
        <f>IF(timeseries_access_key_fqeas14oitk235763mntlb1c0brnk9w3fenzqbk313q5kvxyf52kukw1pa[[#This Row],[Value.LME-ZNC]]="",0,timeseries_access_key_fqeas14oitk235763mntlb1c0brnk9w3fenzqbk313q5kvxyf52kukw1pa[[#This Row],[Value.LME-ZNC]])</f>
        <v>7.1901963515206004</v>
      </c>
      <c r="F11" s="2">
        <f t="shared" si="0"/>
        <v>-3.7960493464684886E-2</v>
      </c>
    </row>
    <row r="12" spans="1:6" x14ac:dyDescent="0.25">
      <c r="A12" s="1">
        <v>44667</v>
      </c>
      <c r="B12">
        <f>MONTH(timeseries_access_key_fqeas14oitk235763mntlb1c0brnk9w3fenzqbk313q5kvxyf52kukw1pa[[#This Row],[Name]])</f>
        <v>4</v>
      </c>
      <c r="C12">
        <f>YEAR(timeseries_access_key_fqeas14oitk235763mntlb1c0brnk9w3fenzqbk313q5kvxyf52kukw1pa[[#This Row],[Name]])</f>
        <v>2022</v>
      </c>
      <c r="D12">
        <v>7.1893336314848</v>
      </c>
      <c r="E12">
        <f>IF(timeseries_access_key_fqeas14oitk235763mntlb1c0brnk9w3fenzqbk313q5kvxyf52kukw1pa[[#This Row],[Value.LME-ZNC]]="",0,timeseries_access_key_fqeas14oitk235763mntlb1c0brnk9w3fenzqbk313q5kvxyf52kukw1pa[[#This Row],[Value.LME-ZNC]])</f>
        <v>7.1893336314848</v>
      </c>
      <c r="F12" s="2">
        <f t="shared" si="0"/>
        <v>-3.8085048723903947E-2</v>
      </c>
    </row>
    <row r="13" spans="1:6" x14ac:dyDescent="0.25">
      <c r="A13" s="1">
        <v>44668</v>
      </c>
      <c r="B13">
        <f>MONTH(timeseries_access_key_fqeas14oitk235763mntlb1c0brnk9w3fenzqbk313q5kvxyf52kukw1pa[[#This Row],[Name]])</f>
        <v>4</v>
      </c>
      <c r="C13">
        <f>YEAR(timeseries_access_key_fqeas14oitk235763mntlb1c0brnk9w3fenzqbk313q5kvxyf52kukw1pa[[#This Row],[Name]])</f>
        <v>2022</v>
      </c>
      <c r="D13">
        <v>7.1893336314848</v>
      </c>
      <c r="E13">
        <f>IF(timeseries_access_key_fqeas14oitk235763mntlb1c0brnk9w3fenzqbk313q5kvxyf52kukw1pa[[#This Row],[Value.LME-ZNC]]="",0,timeseries_access_key_fqeas14oitk235763mntlb1c0brnk9w3fenzqbk313q5kvxyf52kukw1pa[[#This Row],[Value.LME-ZNC]])</f>
        <v>7.1893336314848</v>
      </c>
      <c r="F13" s="2">
        <f t="shared" si="0"/>
        <v>-3.8085048723903947E-2</v>
      </c>
    </row>
    <row r="14" spans="1:6" x14ac:dyDescent="0.25">
      <c r="A14" s="1">
        <v>44669</v>
      </c>
      <c r="B14">
        <f>MONTH(timeseries_access_key_fqeas14oitk235763mntlb1c0brnk9w3fenzqbk313q5kvxyf52kukw1pa[[#This Row],[Name]])</f>
        <v>4</v>
      </c>
      <c r="C14">
        <f>YEAR(timeseries_access_key_fqeas14oitk235763mntlb1c0brnk9w3fenzqbk313q5kvxyf52kukw1pa[[#This Row],[Name]])</f>
        <v>2022</v>
      </c>
      <c r="D14">
        <v>7.1931439783095001</v>
      </c>
      <c r="E14">
        <f>IF(timeseries_access_key_fqeas14oitk235763mntlb1c0brnk9w3fenzqbk313q5kvxyf52kukw1pa[[#This Row],[Value.LME-ZNC]]="",0,timeseries_access_key_fqeas14oitk235763mntlb1c0brnk9w3fenzqbk313q5kvxyf52kukw1pa[[#This Row],[Value.LME-ZNC]])</f>
        <v>7.1931439783095001</v>
      </c>
      <c r="F14" s="2">
        <f t="shared" si="0"/>
        <v>-3.7535155091703354E-2</v>
      </c>
    </row>
    <row r="15" spans="1:6" x14ac:dyDescent="0.25">
      <c r="A15" s="1">
        <v>44670</v>
      </c>
      <c r="B15">
        <f>MONTH(timeseries_access_key_fqeas14oitk235763mntlb1c0brnk9w3fenzqbk313q5kvxyf52kukw1pa[[#This Row],[Name]])</f>
        <v>4</v>
      </c>
      <c r="C15">
        <f>YEAR(timeseries_access_key_fqeas14oitk235763mntlb1c0brnk9w3fenzqbk313q5kvxyf52kukw1pa[[#This Row],[Name]])</f>
        <v>2022</v>
      </c>
      <c r="D15">
        <v>7.1934315516547001</v>
      </c>
      <c r="E15">
        <f>IF(timeseries_access_key_fqeas14oitk235763mntlb1c0brnk9w3fenzqbk313q5kvxyf52kukw1pa[[#This Row],[Value.LME-ZNC]]="",0,timeseries_access_key_fqeas14oitk235763mntlb1c0brnk9w3fenzqbk313q5kvxyf52kukw1pa[[#This Row],[Value.LME-ZNC]])</f>
        <v>7.1934315516547001</v>
      </c>
      <c r="F15" s="2">
        <f t="shared" si="0"/>
        <v>-3.7493677327833819E-2</v>
      </c>
    </row>
    <row r="16" spans="1:6" x14ac:dyDescent="0.25">
      <c r="A16" s="1">
        <v>44671</v>
      </c>
      <c r="B16">
        <f>MONTH(timeseries_access_key_fqeas14oitk235763mntlb1c0brnk9w3fenzqbk313q5kvxyf52kukw1pa[[#This Row],[Name]])</f>
        <v>4</v>
      </c>
      <c r="C16">
        <f>YEAR(timeseries_access_key_fqeas14oitk235763mntlb1c0brnk9w3fenzqbk313q5kvxyf52kukw1pa[[#This Row],[Name]])</f>
        <v>2022</v>
      </c>
      <c r="D16">
        <v>7.1028916231787997</v>
      </c>
      <c r="E16">
        <f>IF(timeseries_access_key_fqeas14oitk235763mntlb1c0brnk9w3fenzqbk313q5kvxyf52kukw1pa[[#This Row],[Value.LME-ZNC]]="",0,timeseries_access_key_fqeas14oitk235763mntlb1c0brnk9w3fenzqbk313q5kvxyf52kukw1pa[[#This Row],[Value.LME-ZNC]])</f>
        <v>7.1028916231787997</v>
      </c>
      <c r="F16" s="2">
        <f t="shared" si="0"/>
        <v>-5.07185170583071E-2</v>
      </c>
    </row>
    <row r="17" spans="1:6" x14ac:dyDescent="0.25">
      <c r="A17" s="1">
        <v>44672</v>
      </c>
      <c r="B17">
        <f>MONTH(timeseries_access_key_fqeas14oitk235763mntlb1c0brnk9w3fenzqbk313q5kvxyf52kukw1pa[[#This Row],[Name]])</f>
        <v>4</v>
      </c>
      <c r="C17">
        <f>YEAR(timeseries_access_key_fqeas14oitk235763mntlb1c0brnk9w3fenzqbk313q5kvxyf52kukw1pa[[#This Row],[Name]])</f>
        <v>2022</v>
      </c>
      <c r="D17">
        <v>7.1351029097560996</v>
      </c>
      <c r="E17">
        <f>IF(timeseries_access_key_fqeas14oitk235763mntlb1c0brnk9w3fenzqbk313q5kvxyf52kukw1pa[[#This Row],[Value.LME-ZNC]]="",0,timeseries_access_key_fqeas14oitk235763mntlb1c0brnk9w3fenzqbk313q5kvxyf52kukw1pa[[#This Row],[Value.LME-ZNC]])</f>
        <v>7.1351029097560996</v>
      </c>
      <c r="F17" s="2">
        <f t="shared" si="0"/>
        <v>-4.5975068268134356E-2</v>
      </c>
    </row>
    <row r="18" spans="1:6" x14ac:dyDescent="0.25">
      <c r="A18" s="1">
        <v>44673</v>
      </c>
      <c r="B18">
        <f>MONTH(timeseries_access_key_fqeas14oitk235763mntlb1c0brnk9w3fenzqbk313q5kvxyf52kukw1pa[[#This Row],[Name]])</f>
        <v>4</v>
      </c>
      <c r="C18">
        <f>YEAR(timeseries_access_key_fqeas14oitk235763mntlb1c0brnk9w3fenzqbk313q5kvxyf52kukw1pa[[#This Row],[Name]])</f>
        <v>2022</v>
      </c>
      <c r="D18">
        <v>7.1748032588628998</v>
      </c>
      <c r="E18">
        <f>IF(timeseries_access_key_fqeas14oitk235763mntlb1c0brnk9w3fenzqbk313q5kvxyf52kukw1pa[[#This Row],[Value.LME-ZNC]]="",0,timeseries_access_key_fqeas14oitk235763mntlb1c0brnk9w3fenzqbk313q5kvxyf52kukw1pa[[#This Row],[Value.LME-ZNC]])</f>
        <v>7.1748032588628998</v>
      </c>
      <c r="F18" s="2">
        <f t="shared" si="0"/>
        <v>-4.018737293084973E-2</v>
      </c>
    </row>
    <row r="19" spans="1:6" x14ac:dyDescent="0.25">
      <c r="A19" s="1">
        <v>44675</v>
      </c>
      <c r="B19">
        <f>MONTH(timeseries_access_key_fqeas14oitk235763mntlb1c0brnk9w3fenzqbk313q5kvxyf52kukw1pa[[#This Row],[Name]])</f>
        <v>4</v>
      </c>
      <c r="C19">
        <f>YEAR(timeseries_access_key_fqeas14oitk235763mntlb1c0brnk9w3fenzqbk313q5kvxyf52kukw1pa[[#This Row],[Name]])</f>
        <v>2022</v>
      </c>
      <c r="D19">
        <v>7.1208637873754004</v>
      </c>
      <c r="E19">
        <f>IF(timeseries_access_key_fqeas14oitk235763mntlb1c0brnk9w3fenzqbk313q5kvxyf52kukw1pa[[#This Row],[Value.LME-ZNC]]="",0,timeseries_access_key_fqeas14oitk235763mntlb1c0brnk9w3fenzqbk313q5kvxyf52kukw1pa[[#This Row],[Value.LME-ZNC]])</f>
        <v>7.1208637873754004</v>
      </c>
      <c r="F19" s="2">
        <f t="shared" si="0"/>
        <v>-4.8066635730867446E-2</v>
      </c>
    </row>
    <row r="20" spans="1:6" x14ac:dyDescent="0.25">
      <c r="A20" s="1">
        <v>44676</v>
      </c>
      <c r="B20">
        <f>MONTH(timeseries_access_key_fqeas14oitk235763mntlb1c0brnk9w3fenzqbk313q5kvxyf52kukw1pa[[#This Row],[Name]])</f>
        <v>4</v>
      </c>
      <c r="C20">
        <f>YEAR(timeseries_access_key_fqeas14oitk235763mntlb1c0brnk9w3fenzqbk313q5kvxyf52kukw1pa[[#This Row],[Name]])</f>
        <v>2022</v>
      </c>
      <c r="D20">
        <v>7.1239257588039999</v>
      </c>
      <c r="E20">
        <f>IF(timeseries_access_key_fqeas14oitk235763mntlb1c0brnk9w3fenzqbk313q5kvxyf52kukw1pa[[#This Row],[Value.LME-ZNC]]="",0,timeseries_access_key_fqeas14oitk235763mntlb1c0brnk9w3fenzqbk313q5kvxyf52kukw1pa[[#This Row],[Value.LME-ZNC]])</f>
        <v>7.1239257588039999</v>
      </c>
      <c r="F20" s="2">
        <f t="shared" si="0"/>
        <v>-4.7616160781727368E-2</v>
      </c>
    </row>
    <row r="21" spans="1:6" x14ac:dyDescent="0.25">
      <c r="A21" s="1">
        <v>44677</v>
      </c>
      <c r="B21">
        <f>MONTH(timeseries_access_key_fqeas14oitk235763mntlb1c0brnk9w3fenzqbk313q5kvxyf52kukw1pa[[#This Row],[Name]])</f>
        <v>4</v>
      </c>
      <c r="C21">
        <f>YEAR(timeseries_access_key_fqeas14oitk235763mntlb1c0brnk9w3fenzqbk313q5kvxyf52kukw1pa[[#This Row],[Name]])</f>
        <v>2022</v>
      </c>
      <c r="D21">
        <v>7.5161793017876004</v>
      </c>
      <c r="E21">
        <f>IF(timeseries_access_key_fqeas14oitk235763mntlb1c0brnk9w3fenzqbk313q5kvxyf52kukw1pa[[#This Row],[Value.LME-ZNC]]="",0,timeseries_access_key_fqeas14oitk235763mntlb1c0brnk9w3fenzqbk313q5kvxyf52kukw1pa[[#This Row],[Value.LME-ZNC]])</f>
        <v>7.5161793017876004</v>
      </c>
      <c r="F21" s="2">
        <f t="shared" si="0"/>
        <v>7.0567167873025749E-3</v>
      </c>
    </row>
    <row r="22" spans="1:6" x14ac:dyDescent="0.25">
      <c r="A22" s="1">
        <v>44678</v>
      </c>
      <c r="B22">
        <f>MONTH(timeseries_access_key_fqeas14oitk235763mntlb1c0brnk9w3fenzqbk313q5kvxyf52kukw1pa[[#This Row],[Name]])</f>
        <v>4</v>
      </c>
      <c r="C22">
        <f>YEAR(timeseries_access_key_fqeas14oitk235763mntlb1c0brnk9w3fenzqbk313q5kvxyf52kukw1pa[[#This Row],[Name]])</f>
        <v>2022</v>
      </c>
      <c r="D22">
        <v>7.4562800704518999</v>
      </c>
      <c r="E22">
        <f>IF(timeseries_access_key_fqeas14oitk235763mntlb1c0brnk9w3fenzqbk313q5kvxyf52kukw1pa[[#This Row],[Value.LME-ZNC]]="",0,timeseries_access_key_fqeas14oitk235763mntlb1c0brnk9w3fenzqbk313q5kvxyf52kukw1pa[[#This Row],[Value.LME-ZNC]])</f>
        <v>7.4562800704518999</v>
      </c>
      <c r="F22" s="2">
        <f t="shared" si="0"/>
        <v>-9.1998726115227747E-4</v>
      </c>
    </row>
    <row r="23" spans="1:6" x14ac:dyDescent="0.25">
      <c r="A23" s="1">
        <v>44679</v>
      </c>
      <c r="B23">
        <f>MONTH(timeseries_access_key_fqeas14oitk235763mntlb1c0brnk9w3fenzqbk313q5kvxyf52kukw1pa[[#This Row],[Name]])</f>
        <v>4</v>
      </c>
      <c r="C23">
        <f>YEAR(timeseries_access_key_fqeas14oitk235763mntlb1c0brnk9w3fenzqbk313q5kvxyf52kukw1pa[[#This Row],[Name]])</f>
        <v>2022</v>
      </c>
      <c r="D23">
        <v>7.4441951841648004</v>
      </c>
      <c r="E23">
        <f>IF(timeseries_access_key_fqeas14oitk235763mntlb1c0brnk9w3fenzqbk313q5kvxyf52kukw1pa[[#This Row],[Value.LME-ZNC]]="",0,timeseries_access_key_fqeas14oitk235763mntlb1c0brnk9w3fenzqbk313q5kvxyf52kukw1pa[[#This Row],[Value.LME-ZNC]])</f>
        <v>7.4441951841648004</v>
      </c>
      <c r="F23" s="2">
        <f t="shared" si="0"/>
        <v>-2.5448780558303685E-3</v>
      </c>
    </row>
    <row r="24" spans="1:6" x14ac:dyDescent="0.25">
      <c r="A24" s="1">
        <v>44680</v>
      </c>
      <c r="B24">
        <f>MONTH(timeseries_access_key_fqeas14oitk235763mntlb1c0brnk9w3fenzqbk313q5kvxyf52kukw1pa[[#This Row],[Name]])</f>
        <v>4</v>
      </c>
      <c r="C24">
        <f>YEAR(timeseries_access_key_fqeas14oitk235763mntlb1c0brnk9w3fenzqbk313q5kvxyf52kukw1pa[[#This Row],[Name]])</f>
        <v>2022</v>
      </c>
      <c r="D24">
        <v>7.6030078716464002</v>
      </c>
      <c r="E24">
        <f>IF(timeseries_access_key_fqeas14oitk235763mntlb1c0brnk9w3fenzqbk313q5kvxyf52kukw1pa[[#This Row],[Value.LME-ZNC]]="",0,timeseries_access_key_fqeas14oitk235763mntlb1c0brnk9w3fenzqbk313q5kvxyf52kukw1pa[[#This Row],[Value.LME-ZNC]])</f>
        <v>7.6030078716464002</v>
      </c>
      <c r="F24" s="2">
        <f t="shared" si="0"/>
        <v>1.8396419006181164E-2</v>
      </c>
    </row>
    <row r="25" spans="1:6" x14ac:dyDescent="0.25">
      <c r="A25" s="1">
        <v>44681</v>
      </c>
      <c r="B25">
        <f>MONTH(timeseries_access_key_fqeas14oitk235763mntlb1c0brnk9w3fenzqbk313q5kvxyf52kukw1pa[[#This Row],[Name]])</f>
        <v>4</v>
      </c>
      <c r="C25">
        <f>YEAR(timeseries_access_key_fqeas14oitk235763mntlb1c0brnk9w3fenzqbk313q5kvxyf52kukw1pa[[#This Row],[Name]])</f>
        <v>2022</v>
      </c>
      <c r="D25">
        <v>7.6331196581196998</v>
      </c>
      <c r="E25">
        <f>IF(timeseries_access_key_fqeas14oitk235763mntlb1c0brnk9w3fenzqbk313q5kvxyf52kukw1pa[[#This Row],[Value.LME-ZNC]]="",0,timeseries_access_key_fqeas14oitk235763mntlb1c0brnk9w3fenzqbk313q5kvxyf52kukw1pa[[#This Row],[Value.LME-ZNC]])</f>
        <v>7.6331196581196998</v>
      </c>
      <c r="F25" s="2">
        <f t="shared" si="0"/>
        <v>2.2268733178653188E-2</v>
      </c>
    </row>
    <row r="26" spans="1:6" x14ac:dyDescent="0.25">
      <c r="A26" s="1">
        <v>44682</v>
      </c>
      <c r="B26">
        <f>MONTH(timeseries_access_key_fqeas14oitk235763mntlb1c0brnk9w3fenzqbk313q5kvxyf52kukw1pa[[#This Row],[Name]])</f>
        <v>5</v>
      </c>
      <c r="C26">
        <f>YEAR(timeseries_access_key_fqeas14oitk235763mntlb1c0brnk9w3fenzqbk313q5kvxyf52kukw1pa[[#This Row],[Name]])</f>
        <v>2022</v>
      </c>
      <c r="D26">
        <v>7.6331196581196998</v>
      </c>
      <c r="E26">
        <f>IF(timeseries_access_key_fqeas14oitk235763mntlb1c0brnk9w3fenzqbk313q5kvxyf52kukw1pa[[#This Row],[Value.LME-ZNC]]="",0,timeseries_access_key_fqeas14oitk235763mntlb1c0brnk9w3fenzqbk313q5kvxyf52kukw1pa[[#This Row],[Value.LME-ZNC]])</f>
        <v>7.6331196581196998</v>
      </c>
      <c r="F26" s="2">
        <f t="shared" si="0"/>
        <v>2.2268733178653188E-2</v>
      </c>
    </row>
    <row r="27" spans="1:6" x14ac:dyDescent="0.25">
      <c r="A27" s="1">
        <v>44683</v>
      </c>
      <c r="B27">
        <f>MONTH(timeseries_access_key_fqeas14oitk235763mntlb1c0brnk9w3fenzqbk313q5kvxyf52kukw1pa[[#This Row],[Name]])</f>
        <v>5</v>
      </c>
      <c r="C27">
        <f>YEAR(timeseries_access_key_fqeas14oitk235763mntlb1c0brnk9w3fenzqbk313q5kvxyf52kukw1pa[[#This Row],[Name]])</f>
        <v>2022</v>
      </c>
      <c r="D27">
        <v>7.6351806004274003</v>
      </c>
      <c r="E27">
        <f>IF(timeseries_access_key_fqeas14oitk235763mntlb1c0brnk9w3fenzqbk313q5kvxyf52kukw1pa[[#This Row],[Value.LME-ZNC]]="",0,timeseries_access_key_fqeas14oitk235763mntlb1c0brnk9w3fenzqbk313q5kvxyf52kukw1pa[[#This Row],[Value.LME-ZNC]])</f>
        <v>7.6351806004274003</v>
      </c>
      <c r="F27" s="2">
        <f t="shared" si="0"/>
        <v>2.2532649363326107E-2</v>
      </c>
    </row>
    <row r="28" spans="1:6" x14ac:dyDescent="0.25">
      <c r="A28" s="1">
        <v>44684</v>
      </c>
      <c r="B28">
        <f>MONTH(timeseries_access_key_fqeas14oitk235763mntlb1c0brnk9w3fenzqbk313q5kvxyf52kukw1pa[[#This Row],[Name]])</f>
        <v>5</v>
      </c>
      <c r="C28">
        <f>YEAR(timeseries_access_key_fqeas14oitk235763mntlb1c0brnk9w3fenzqbk313q5kvxyf52kukw1pa[[#This Row],[Name]])</f>
        <v>2022</v>
      </c>
      <c r="D28">
        <v>7.6346462820512997</v>
      </c>
      <c r="E28">
        <f>IF(timeseries_access_key_fqeas14oitk235763mntlb1c0brnk9w3fenzqbk313q5kvxyf52kukw1pa[[#This Row],[Value.LME-ZNC]]="",0,timeseries_access_key_fqeas14oitk235763mntlb1c0brnk9w3fenzqbk313q5kvxyf52kukw1pa[[#This Row],[Value.LME-ZNC]])</f>
        <v>7.6346462820512997</v>
      </c>
      <c r="F28" s="2">
        <f t="shared" si="0"/>
        <v>2.2464240330584029E-2</v>
      </c>
    </row>
    <row r="29" spans="1:6" x14ac:dyDescent="0.25">
      <c r="A29" s="1">
        <v>44685</v>
      </c>
      <c r="B29">
        <f>MONTH(timeseries_access_key_fqeas14oitk235763mntlb1c0brnk9w3fenzqbk313q5kvxyf52kukw1pa[[#This Row],[Name]])</f>
        <v>5</v>
      </c>
      <c r="C29">
        <f>YEAR(timeseries_access_key_fqeas14oitk235763mntlb1c0brnk9w3fenzqbk313q5kvxyf52kukw1pa[[#This Row],[Name]])</f>
        <v>2022</v>
      </c>
      <c r="D29">
        <v>7.9542977829419002</v>
      </c>
      <c r="E29">
        <f>IF(timeseries_access_key_fqeas14oitk235763mntlb1c0brnk9w3fenzqbk313q5kvxyf52kukw1pa[[#This Row],[Value.LME-ZNC]]="",0,timeseries_access_key_fqeas14oitk235763mntlb1c0brnk9w3fenzqbk313q5kvxyf52kukw1pa[[#This Row],[Value.LME-ZNC]])</f>
        <v>7.9542977829419002</v>
      </c>
      <c r="F29" s="2">
        <f t="shared" si="0"/>
        <v>6.1747503451894392E-2</v>
      </c>
    </row>
    <row r="30" spans="1:6" x14ac:dyDescent="0.25">
      <c r="A30" s="1">
        <v>44686</v>
      </c>
      <c r="B30">
        <f>MONTH(timeseries_access_key_fqeas14oitk235763mntlb1c0brnk9w3fenzqbk313q5kvxyf52kukw1pa[[#This Row],[Name]])</f>
        <v>5</v>
      </c>
      <c r="C30">
        <f>YEAR(timeseries_access_key_fqeas14oitk235763mntlb1c0brnk9w3fenzqbk313q5kvxyf52kukw1pa[[#This Row],[Name]])</f>
        <v>2022</v>
      </c>
      <c r="D30">
        <v>8.1357122798989003</v>
      </c>
      <c r="E30">
        <f>IF(timeseries_access_key_fqeas14oitk235763mntlb1c0brnk9w3fenzqbk313q5kvxyf52kukw1pa[[#This Row],[Value.LME-ZNC]]="",0,timeseries_access_key_fqeas14oitk235763mntlb1c0brnk9w3fenzqbk313q5kvxyf52kukw1pa[[#This Row],[Value.LME-ZNC]])</f>
        <v>8.1357122798989003</v>
      </c>
      <c r="F30" s="2">
        <f t="shared" si="0"/>
        <v>8.2669163267774626E-2</v>
      </c>
    </row>
    <row r="31" spans="1:6" x14ac:dyDescent="0.25">
      <c r="A31" s="1">
        <v>44687</v>
      </c>
      <c r="B31">
        <f>MONTH(timeseries_access_key_fqeas14oitk235763mntlb1c0brnk9w3fenzqbk313q5kvxyf52kukw1pa[[#This Row],[Name]])</f>
        <v>5</v>
      </c>
      <c r="C31">
        <f>YEAR(timeseries_access_key_fqeas14oitk235763mntlb1c0brnk9w3fenzqbk313q5kvxyf52kukw1pa[[#This Row],[Name]])</f>
        <v>2022</v>
      </c>
      <c r="D31">
        <v>8.0586095905334005</v>
      </c>
      <c r="E31">
        <f>IF(timeseries_access_key_fqeas14oitk235763mntlb1c0brnk9w3fenzqbk313q5kvxyf52kukw1pa[[#This Row],[Value.LME-ZNC]]="",0,timeseries_access_key_fqeas14oitk235763mntlb1c0brnk9w3fenzqbk313q5kvxyf52kukw1pa[[#This Row],[Value.LME-ZNC]])</f>
        <v>8.0586095905334005</v>
      </c>
      <c r="F31" s="2">
        <f t="shared" si="0"/>
        <v>7.3892379412524245E-2</v>
      </c>
    </row>
    <row r="32" spans="1:6" x14ac:dyDescent="0.25">
      <c r="A32" s="1">
        <v>44688</v>
      </c>
      <c r="B32">
        <f>MONTH(timeseries_access_key_fqeas14oitk235763mntlb1c0brnk9w3fenzqbk313q5kvxyf52kukw1pa[[#This Row],[Name]])</f>
        <v>5</v>
      </c>
      <c r="C32">
        <f>YEAR(timeseries_access_key_fqeas14oitk235763mntlb1c0brnk9w3fenzqbk313q5kvxyf52kukw1pa[[#This Row],[Name]])</f>
        <v>2022</v>
      </c>
      <c r="D32">
        <v>8.0517655897821001</v>
      </c>
      <c r="E32">
        <f>IF(timeseries_access_key_fqeas14oitk235763mntlb1c0brnk9w3fenzqbk313q5kvxyf52kukw1pa[[#This Row],[Value.LME-ZNC]]="",0,timeseries_access_key_fqeas14oitk235763mntlb1c0brnk9w3fenzqbk313q5kvxyf52kukw1pa[[#This Row],[Value.LME-ZNC]])</f>
        <v>8.0517655897821001</v>
      </c>
      <c r="F32" s="2">
        <f t="shared" si="0"/>
        <v>7.3105187935026628E-2</v>
      </c>
    </row>
    <row r="33" spans="1:6" x14ac:dyDescent="0.25">
      <c r="A33" s="1">
        <v>44689</v>
      </c>
      <c r="B33">
        <f>MONTH(timeseries_access_key_fqeas14oitk235763mntlb1c0brnk9w3fenzqbk313q5kvxyf52kukw1pa[[#This Row],[Name]])</f>
        <v>5</v>
      </c>
      <c r="C33">
        <f>YEAR(timeseries_access_key_fqeas14oitk235763mntlb1c0brnk9w3fenzqbk313q5kvxyf52kukw1pa[[#This Row],[Name]])</f>
        <v>2022</v>
      </c>
      <c r="D33">
        <v>8.0517655897821001</v>
      </c>
      <c r="E33">
        <f>IF(timeseries_access_key_fqeas14oitk235763mntlb1c0brnk9w3fenzqbk313q5kvxyf52kukw1pa[[#This Row],[Value.LME-ZNC]]="",0,timeseries_access_key_fqeas14oitk235763mntlb1c0brnk9w3fenzqbk313q5kvxyf52kukw1pa[[#This Row],[Value.LME-ZNC]])</f>
        <v>8.0517655897821001</v>
      </c>
      <c r="F33" s="2">
        <f t="shared" si="0"/>
        <v>7.3105187935026628E-2</v>
      </c>
    </row>
    <row r="34" spans="1:6" x14ac:dyDescent="0.25">
      <c r="A34" s="1">
        <v>44690</v>
      </c>
      <c r="B34">
        <f>MONTH(timeseries_access_key_fqeas14oitk235763mntlb1c0brnk9w3fenzqbk313q5kvxyf52kukw1pa[[#This Row],[Name]])</f>
        <v>5</v>
      </c>
      <c r="C34">
        <f>YEAR(timeseries_access_key_fqeas14oitk235763mntlb1c0brnk9w3fenzqbk313q5kvxyf52kukw1pa[[#This Row],[Name]])</f>
        <v>2022</v>
      </c>
      <c r="D34">
        <v>8.0584485552216005</v>
      </c>
      <c r="E34">
        <f>IF(timeseries_access_key_fqeas14oitk235763mntlb1c0brnk9w3fenzqbk313q5kvxyf52kukw1pa[[#This Row],[Value.LME-ZNC]]="",0,timeseries_access_key_fqeas14oitk235763mntlb1c0brnk9w3fenzqbk313q5kvxyf52kukw1pa[[#This Row],[Value.LME-ZNC]])</f>
        <v>8.0584485552216005</v>
      </c>
      <c r="F34" s="2">
        <f t="shared" si="0"/>
        <v>7.3873872620749181E-2</v>
      </c>
    </row>
    <row r="35" spans="1:6" x14ac:dyDescent="0.25">
      <c r="A35" s="1">
        <v>44691</v>
      </c>
      <c r="B35">
        <f>MONTH(timeseries_access_key_fqeas14oitk235763mntlb1c0brnk9w3fenzqbk313q5kvxyf52kukw1pa[[#This Row],[Name]])</f>
        <v>5</v>
      </c>
      <c r="C35">
        <f>YEAR(timeseries_access_key_fqeas14oitk235763mntlb1c0brnk9w3fenzqbk313q5kvxyf52kukw1pa[[#This Row],[Name]])</f>
        <v>2022</v>
      </c>
      <c r="D35">
        <v>8.8039260196990003</v>
      </c>
      <c r="E35">
        <f>IF(timeseries_access_key_fqeas14oitk235763mntlb1c0brnk9w3fenzqbk313q5kvxyf52kukw1pa[[#This Row],[Value.LME-ZNC]]="",0,timeseries_access_key_fqeas14oitk235763mntlb1c0brnk9w3fenzqbk313q5kvxyf52kukw1pa[[#This Row],[Value.LME-ZNC]])</f>
        <v>8.8039260196990003</v>
      </c>
      <c r="F35" s="2">
        <f t="shared" si="0"/>
        <v>0.15229413145529147</v>
      </c>
    </row>
    <row r="36" spans="1:6" x14ac:dyDescent="0.25">
      <c r="A36" s="1">
        <v>44692</v>
      </c>
      <c r="B36">
        <f>MONTH(timeseries_access_key_fqeas14oitk235763mntlb1c0brnk9w3fenzqbk313q5kvxyf52kukw1pa[[#This Row],[Name]])</f>
        <v>5</v>
      </c>
      <c r="C36">
        <f>YEAR(timeseries_access_key_fqeas14oitk235763mntlb1c0brnk9w3fenzqbk313q5kvxyf52kukw1pa[[#This Row],[Name]])</f>
        <v>2022</v>
      </c>
      <c r="D36">
        <v>8.8337623492586008</v>
      </c>
      <c r="E36">
        <f>IF(timeseries_access_key_fqeas14oitk235763mntlb1c0brnk9w3fenzqbk313q5kvxyf52kukw1pa[[#This Row],[Value.LME-ZNC]]="",0,timeseries_access_key_fqeas14oitk235763mntlb1c0brnk9w3fenzqbk313q5kvxyf52kukw1pa[[#This Row],[Value.LME-ZNC]])</f>
        <v>8.8337623492586008</v>
      </c>
      <c r="F36" s="2">
        <f t="shared" si="0"/>
        <v>0.15515728654861705</v>
      </c>
    </row>
    <row r="37" spans="1:6" x14ac:dyDescent="0.25">
      <c r="A37" s="1">
        <v>44693</v>
      </c>
      <c r="B37">
        <f>MONTH(timeseries_access_key_fqeas14oitk235763mntlb1c0brnk9w3fenzqbk313q5kvxyf52kukw1pa[[#This Row],[Name]])</f>
        <v>5</v>
      </c>
      <c r="C37">
        <f>YEAR(timeseries_access_key_fqeas14oitk235763mntlb1c0brnk9w3fenzqbk313q5kvxyf52kukw1pa[[#This Row],[Name]])</f>
        <v>2022</v>
      </c>
      <c r="D37">
        <v>8.7875944696721007</v>
      </c>
      <c r="E37">
        <f>IF(timeseries_access_key_fqeas14oitk235763mntlb1c0brnk9w3fenzqbk313q5kvxyf52kukw1pa[[#This Row],[Value.LME-ZNC]]="",0,timeseries_access_key_fqeas14oitk235763mntlb1c0brnk9w3fenzqbk313q5kvxyf52kukw1pa[[#This Row],[Value.LME-ZNC]])</f>
        <v>8.7875944696721007</v>
      </c>
      <c r="F37" s="2">
        <f t="shared" si="0"/>
        <v>0.15071868884150064</v>
      </c>
    </row>
    <row r="38" spans="1:6" x14ac:dyDescent="0.25">
      <c r="A38" s="1">
        <v>44694</v>
      </c>
      <c r="B38">
        <f>MONTH(timeseries_access_key_fqeas14oitk235763mntlb1c0brnk9w3fenzqbk313q5kvxyf52kukw1pa[[#This Row],[Name]])</f>
        <v>5</v>
      </c>
      <c r="C38">
        <f>YEAR(timeseries_access_key_fqeas14oitk235763mntlb1c0brnk9w3fenzqbk313q5kvxyf52kukw1pa[[#This Row],[Name]])</f>
        <v>2022</v>
      </c>
      <c r="D38">
        <v>9.0881793744704993</v>
      </c>
      <c r="E38">
        <f>IF(timeseries_access_key_fqeas14oitk235763mntlb1c0brnk9w3fenzqbk313q5kvxyf52kukw1pa[[#This Row],[Value.LME-ZNC]]="",0,timeseries_access_key_fqeas14oitk235763mntlb1c0brnk9w3fenzqbk313q5kvxyf52kukw1pa[[#This Row],[Value.LME-ZNC]])</f>
        <v>9.0881793744704993</v>
      </c>
      <c r="F38" s="2">
        <f t="shared" si="0"/>
        <v>0.1788080488269278</v>
      </c>
    </row>
    <row r="39" spans="1:6" x14ac:dyDescent="0.25">
      <c r="A39" s="1">
        <v>44695</v>
      </c>
      <c r="B39">
        <f>MONTH(timeseries_access_key_fqeas14oitk235763mntlb1c0brnk9w3fenzqbk313q5kvxyf52kukw1pa[[#This Row],[Name]])</f>
        <v>5</v>
      </c>
      <c r="C39">
        <f>YEAR(timeseries_access_key_fqeas14oitk235763mntlb1c0brnk9w3fenzqbk313q5kvxyf52kukw1pa[[#This Row],[Name]])</f>
        <v>2022</v>
      </c>
      <c r="D39">
        <v>9.1859142857143006</v>
      </c>
      <c r="E39">
        <f>IF(timeseries_access_key_fqeas14oitk235763mntlb1c0brnk9w3fenzqbk313q5kvxyf52kukw1pa[[#This Row],[Value.LME-ZNC]]="",0,timeseries_access_key_fqeas14oitk235763mntlb1c0brnk9w3fenzqbk313q5kvxyf52kukw1pa[[#This Row],[Value.LME-ZNC]])</f>
        <v>9.1859142857143006</v>
      </c>
      <c r="F39" s="2">
        <f t="shared" si="0"/>
        <v>0.18754524361948555</v>
      </c>
    </row>
    <row r="40" spans="1:6" x14ac:dyDescent="0.25">
      <c r="A40" s="1">
        <v>44696</v>
      </c>
      <c r="B40">
        <f>MONTH(timeseries_access_key_fqeas14oitk235763mntlb1c0brnk9w3fenzqbk313q5kvxyf52kukw1pa[[#This Row],[Name]])</f>
        <v>5</v>
      </c>
      <c r="C40">
        <f>YEAR(timeseries_access_key_fqeas14oitk235763mntlb1c0brnk9w3fenzqbk313q5kvxyf52kukw1pa[[#This Row],[Name]])</f>
        <v>2022</v>
      </c>
      <c r="D40">
        <v>9.1859142857143006</v>
      </c>
      <c r="E40">
        <f>IF(timeseries_access_key_fqeas14oitk235763mntlb1c0brnk9w3fenzqbk313q5kvxyf52kukw1pa[[#This Row],[Value.LME-ZNC]]="",0,timeseries_access_key_fqeas14oitk235763mntlb1c0brnk9w3fenzqbk313q5kvxyf52kukw1pa[[#This Row],[Value.LME-ZNC]])</f>
        <v>9.1859142857143006</v>
      </c>
      <c r="F40" s="2">
        <f t="shared" si="0"/>
        <v>0.18754524361948555</v>
      </c>
    </row>
    <row r="41" spans="1:6" x14ac:dyDescent="0.25">
      <c r="A41" s="1">
        <v>44698</v>
      </c>
      <c r="B41">
        <f>MONTH(timeseries_access_key_fqeas14oitk235763mntlb1c0brnk9w3fenzqbk313q5kvxyf52kukw1pa[[#This Row],[Name]])</f>
        <v>5</v>
      </c>
      <c r="C41">
        <f>YEAR(timeseries_access_key_fqeas14oitk235763mntlb1c0brnk9w3fenzqbk313q5kvxyf52kukw1pa[[#This Row],[Name]])</f>
        <v>2022</v>
      </c>
      <c r="D41">
        <v>8.9741140435329001</v>
      </c>
      <c r="E41">
        <f>IF(timeseries_access_key_fqeas14oitk235763mntlb1c0brnk9w3fenzqbk313q5kvxyf52kukw1pa[[#This Row],[Value.LME-ZNC]]="",0,timeseries_access_key_fqeas14oitk235763mntlb1c0brnk9w3fenzqbk313q5kvxyf52kukw1pa[[#This Row],[Value.LME-ZNC]])</f>
        <v>8.9741140435329001</v>
      </c>
      <c r="F41" s="2">
        <f t="shared" si="0"/>
        <v>0.16837030185608881</v>
      </c>
    </row>
    <row r="42" spans="1:6" x14ac:dyDescent="0.25">
      <c r="A42" s="1">
        <v>44699</v>
      </c>
      <c r="B42">
        <f>MONTH(timeseries_access_key_fqeas14oitk235763mntlb1c0brnk9w3fenzqbk313q5kvxyf52kukw1pa[[#This Row],[Name]])</f>
        <v>5</v>
      </c>
      <c r="C42">
        <f>YEAR(timeseries_access_key_fqeas14oitk235763mntlb1c0brnk9w3fenzqbk313q5kvxyf52kukw1pa[[#This Row],[Name]])</f>
        <v>2022</v>
      </c>
      <c r="D42">
        <v>8.7230682790887002</v>
      </c>
      <c r="E42">
        <f>IF(timeseries_access_key_fqeas14oitk235763mntlb1c0brnk9w3fenzqbk313q5kvxyf52kukw1pa[[#This Row],[Value.LME-ZNC]]="",0,timeseries_access_key_fqeas14oitk235763mntlb1c0brnk9w3fenzqbk313q5kvxyf52kukw1pa[[#This Row],[Value.LME-ZNC]])</f>
        <v>8.7230682790887002</v>
      </c>
      <c r="F42" s="2">
        <f t="shared" si="0"/>
        <v>0.144436393897862</v>
      </c>
    </row>
    <row r="43" spans="1:6" x14ac:dyDescent="0.25">
      <c r="A43" s="1">
        <v>44700</v>
      </c>
      <c r="B43">
        <f>MONTH(timeseries_access_key_fqeas14oitk235763mntlb1c0brnk9w3fenzqbk313q5kvxyf52kukw1pa[[#This Row],[Name]])</f>
        <v>5</v>
      </c>
      <c r="C43">
        <f>YEAR(timeseries_access_key_fqeas14oitk235763mntlb1c0brnk9w3fenzqbk313q5kvxyf52kukw1pa[[#This Row],[Name]])</f>
        <v>2022</v>
      </c>
      <c r="D43">
        <v>8.8202158963390005</v>
      </c>
      <c r="E43">
        <f>IF(timeseries_access_key_fqeas14oitk235763mntlb1c0brnk9w3fenzqbk313q5kvxyf52kukw1pa[[#This Row],[Value.LME-ZNC]]="",0,timeseries_access_key_fqeas14oitk235763mntlb1c0brnk9w3fenzqbk313q5kvxyf52kukw1pa[[#This Row],[Value.LME-ZNC]])</f>
        <v>8.8202158963390005</v>
      </c>
      <c r="F43" s="2">
        <f t="shared" si="0"/>
        <v>0.15385974211470055</v>
      </c>
    </row>
    <row r="44" spans="1:6" x14ac:dyDescent="0.25">
      <c r="A44" s="1">
        <v>44701</v>
      </c>
      <c r="B44">
        <f>MONTH(timeseries_access_key_fqeas14oitk235763mntlb1c0brnk9w3fenzqbk313q5kvxyf52kukw1pa[[#This Row],[Name]])</f>
        <v>5</v>
      </c>
      <c r="C44">
        <f>YEAR(timeseries_access_key_fqeas14oitk235763mntlb1c0brnk9w3fenzqbk313q5kvxyf52kukw1pa[[#This Row],[Name]])</f>
        <v>2022</v>
      </c>
      <c r="D44">
        <v>8.8184147539411004</v>
      </c>
      <c r="E44">
        <f>IF(timeseries_access_key_fqeas14oitk235763mntlb1c0brnk9w3fenzqbk313q5kvxyf52kukw1pa[[#This Row],[Value.LME-ZNC]]="",0,timeseries_access_key_fqeas14oitk235763mntlb1c0brnk9w3fenzqbk313q5kvxyf52kukw1pa[[#This Row],[Value.LME-ZNC]])</f>
        <v>8.8184147539411004</v>
      </c>
      <c r="F44" s="2">
        <f t="shared" si="0"/>
        <v>0.15368691977241211</v>
      </c>
    </row>
    <row r="45" spans="1:6" x14ac:dyDescent="0.25">
      <c r="A45" s="1">
        <v>44702</v>
      </c>
      <c r="B45">
        <f>MONTH(timeseries_access_key_fqeas14oitk235763mntlb1c0brnk9w3fenzqbk313q5kvxyf52kukw1pa[[#This Row],[Name]])</f>
        <v>5</v>
      </c>
      <c r="C45">
        <f>YEAR(timeseries_access_key_fqeas14oitk235763mntlb1c0brnk9w3fenzqbk313q5kvxyf52kukw1pa[[#This Row],[Name]])</f>
        <v>2022</v>
      </c>
      <c r="D45">
        <v>8.8144482522275993</v>
      </c>
      <c r="E45">
        <f>IF(timeseries_access_key_fqeas14oitk235763mntlb1c0brnk9w3fenzqbk313q5kvxyf52kukw1pa[[#This Row],[Value.LME-ZNC]]="",0,timeseries_access_key_fqeas14oitk235763mntlb1c0brnk9w3fenzqbk313q5kvxyf52kukw1pa[[#This Row],[Value.LME-ZNC]])</f>
        <v>8.8144482522275993</v>
      </c>
      <c r="F45" s="2">
        <f t="shared" si="0"/>
        <v>0.15330607888630976</v>
      </c>
    </row>
    <row r="46" spans="1:6" x14ac:dyDescent="0.25">
      <c r="A46" s="1">
        <v>44703</v>
      </c>
      <c r="B46">
        <f>MONTH(timeseries_access_key_fqeas14oitk235763mntlb1c0brnk9w3fenzqbk313q5kvxyf52kukw1pa[[#This Row],[Name]])</f>
        <v>5</v>
      </c>
      <c r="C46">
        <f>YEAR(timeseries_access_key_fqeas14oitk235763mntlb1c0brnk9w3fenzqbk313q5kvxyf52kukw1pa[[#This Row],[Name]])</f>
        <v>2022</v>
      </c>
      <c r="D46">
        <v>8.8144482522275993</v>
      </c>
      <c r="E46">
        <f>IF(timeseries_access_key_fqeas14oitk235763mntlb1c0brnk9w3fenzqbk313q5kvxyf52kukw1pa[[#This Row],[Value.LME-ZNC]]="",0,timeseries_access_key_fqeas14oitk235763mntlb1c0brnk9w3fenzqbk313q5kvxyf52kukw1pa[[#This Row],[Value.LME-ZNC]])</f>
        <v>8.8144482522275993</v>
      </c>
      <c r="F46" s="2">
        <f t="shared" si="0"/>
        <v>0.15330607888630976</v>
      </c>
    </row>
    <row r="47" spans="1:6" x14ac:dyDescent="0.25">
      <c r="A47" s="1">
        <v>44704</v>
      </c>
      <c r="B47">
        <f>MONTH(timeseries_access_key_fqeas14oitk235763mntlb1c0brnk9w3fenzqbk313q5kvxyf52kukw1pa[[#This Row],[Name]])</f>
        <v>5</v>
      </c>
      <c r="C47">
        <f>YEAR(timeseries_access_key_fqeas14oitk235763mntlb1c0brnk9w3fenzqbk313q5kvxyf52kukw1pa[[#This Row],[Name]])</f>
        <v>2022</v>
      </c>
      <c r="D47">
        <v>8.8192961987663008</v>
      </c>
      <c r="E47">
        <f>IF(timeseries_access_key_fqeas14oitk235763mntlb1c0brnk9w3fenzqbk313q5kvxyf52kukw1pa[[#This Row],[Value.LME-ZNC]]="",0,timeseries_access_key_fqeas14oitk235763mntlb1c0brnk9w3fenzqbk313q5kvxyf52kukw1pa[[#This Row],[Value.LME-ZNC]])</f>
        <v>8.8192961987663008</v>
      </c>
      <c r="F47" s="2">
        <f t="shared" si="0"/>
        <v>0.15377150455880018</v>
      </c>
    </row>
    <row r="48" spans="1:6" x14ac:dyDescent="0.25">
      <c r="A48" s="1">
        <v>44705</v>
      </c>
      <c r="B48">
        <f>MONTH(timeseries_access_key_fqeas14oitk235763mntlb1c0brnk9w3fenzqbk313q5kvxyf52kukw1pa[[#This Row],[Name]])</f>
        <v>5</v>
      </c>
      <c r="C48">
        <f>YEAR(timeseries_access_key_fqeas14oitk235763mntlb1c0brnk9w3fenzqbk313q5kvxyf52kukw1pa[[#This Row],[Name]])</f>
        <v>2022</v>
      </c>
      <c r="D48">
        <v>8.5201483057982994</v>
      </c>
      <c r="E48">
        <f>IF(timeseries_access_key_fqeas14oitk235763mntlb1c0brnk9w3fenzqbk313q5kvxyf52kukw1pa[[#This Row],[Value.LME-ZNC]]="",0,timeseries_access_key_fqeas14oitk235763mntlb1c0brnk9w3fenzqbk313q5kvxyf52kukw1pa[[#This Row],[Value.LME-ZNC]])</f>
        <v>8.5201483057982994</v>
      </c>
      <c r="F48" s="2">
        <f t="shared" si="0"/>
        <v>0.12405987721442169</v>
      </c>
    </row>
    <row r="49" spans="1:6" x14ac:dyDescent="0.25">
      <c r="A49" s="1">
        <v>44706</v>
      </c>
      <c r="B49">
        <f>MONTH(timeseries_access_key_fqeas14oitk235763mntlb1c0brnk9w3fenzqbk313q5kvxyf52kukw1pa[[#This Row],[Name]])</f>
        <v>5</v>
      </c>
      <c r="C49">
        <f>YEAR(timeseries_access_key_fqeas14oitk235763mntlb1c0brnk9w3fenzqbk313q5kvxyf52kukw1pa[[#This Row],[Name]])</f>
        <v>2022</v>
      </c>
      <c r="D49">
        <v>8.5351620851684995</v>
      </c>
      <c r="E49">
        <f>IF(timeseries_access_key_fqeas14oitk235763mntlb1c0brnk9w3fenzqbk313q5kvxyf52kukw1pa[[#This Row],[Value.LME-ZNC]]="",0,timeseries_access_key_fqeas14oitk235763mntlb1c0brnk9w3fenzqbk313q5kvxyf52kukw1pa[[#This Row],[Value.LME-ZNC]])</f>
        <v>8.5351620851684995</v>
      </c>
      <c r="F49" s="2">
        <f t="shared" si="0"/>
        <v>0.12560069994441547</v>
      </c>
    </row>
    <row r="50" spans="1:6" x14ac:dyDescent="0.25">
      <c r="A50" s="1">
        <v>44707</v>
      </c>
      <c r="B50">
        <f>MONTH(timeseries_access_key_fqeas14oitk235763mntlb1c0brnk9w3fenzqbk313q5kvxyf52kukw1pa[[#This Row],[Name]])</f>
        <v>5</v>
      </c>
      <c r="C50">
        <f>YEAR(timeseries_access_key_fqeas14oitk235763mntlb1c0brnk9w3fenzqbk313q5kvxyf52kukw1pa[[#This Row],[Name]])</f>
        <v>2022</v>
      </c>
      <c r="D50">
        <v>8.5817505791999995</v>
      </c>
      <c r="E50">
        <f>IF(timeseries_access_key_fqeas14oitk235763mntlb1c0brnk9w3fenzqbk313q5kvxyf52kukw1pa[[#This Row],[Value.LME-ZNC]]="",0,timeseries_access_key_fqeas14oitk235763mntlb1c0brnk9w3fenzqbk313q5kvxyf52kukw1pa[[#This Row],[Value.LME-ZNC]])</f>
        <v>8.5817505791999995</v>
      </c>
      <c r="F50" s="2">
        <f t="shared" si="0"/>
        <v>0.13034762729866922</v>
      </c>
    </row>
    <row r="51" spans="1:6" x14ac:dyDescent="0.25">
      <c r="A51" s="1">
        <v>44708</v>
      </c>
      <c r="B51">
        <f>MONTH(timeseries_access_key_fqeas14oitk235763mntlb1c0brnk9w3fenzqbk313q5kvxyf52kukw1pa[[#This Row],[Name]])</f>
        <v>5</v>
      </c>
      <c r="C51">
        <f>YEAR(timeseries_access_key_fqeas14oitk235763mntlb1c0brnk9w3fenzqbk313q5kvxyf52kukw1pa[[#This Row],[Name]])</f>
        <v>2022</v>
      </c>
      <c r="D51">
        <v>8.5786641120000002</v>
      </c>
      <c r="E51">
        <f>IF(timeseries_access_key_fqeas14oitk235763mntlb1c0brnk9w3fenzqbk313q5kvxyf52kukw1pa[[#This Row],[Value.LME-ZNC]]="",0,timeseries_access_key_fqeas14oitk235763mntlb1c0brnk9w3fenzqbk313q5kvxyf52kukw1pa[[#This Row],[Value.LME-ZNC]])</f>
        <v>8.5786641120000002</v>
      </c>
      <c r="F51" s="2">
        <f t="shared" si="0"/>
        <v>0.13003474017676986</v>
      </c>
    </row>
    <row r="52" spans="1:6" x14ac:dyDescent="0.25">
      <c r="A52" s="1">
        <v>44709</v>
      </c>
      <c r="B52">
        <f>MONTH(timeseries_access_key_fqeas14oitk235763mntlb1c0brnk9w3fenzqbk313q5kvxyf52kukw1pa[[#This Row],[Name]])</f>
        <v>5</v>
      </c>
      <c r="C52">
        <f>YEAR(timeseries_access_key_fqeas14oitk235763mntlb1c0brnk9w3fenzqbk313q5kvxyf52kukw1pa[[#This Row],[Name]])</f>
        <v>2022</v>
      </c>
      <c r="D52">
        <v>8.4274442988204008</v>
      </c>
      <c r="E52">
        <f>IF(timeseries_access_key_fqeas14oitk235763mntlb1c0brnk9w3fenzqbk313q5kvxyf52kukw1pa[[#This Row],[Value.LME-ZNC]]="",0,timeseries_access_key_fqeas14oitk235763mntlb1c0brnk9w3fenzqbk313q5kvxyf52kukw1pa[[#This Row],[Value.LME-ZNC]])</f>
        <v>8.4274442988204008</v>
      </c>
      <c r="F52" s="2">
        <f t="shared" si="0"/>
        <v>0.11442431554523314</v>
      </c>
    </row>
    <row r="53" spans="1:6" x14ac:dyDescent="0.25">
      <c r="A53" s="1">
        <v>44710</v>
      </c>
      <c r="B53">
        <f>MONTH(timeseries_access_key_fqeas14oitk235763mntlb1c0brnk9w3fenzqbk313q5kvxyf52kukw1pa[[#This Row],[Name]])</f>
        <v>5</v>
      </c>
      <c r="C53">
        <f>YEAR(timeseries_access_key_fqeas14oitk235763mntlb1c0brnk9w3fenzqbk313q5kvxyf52kukw1pa[[#This Row],[Name]])</f>
        <v>2022</v>
      </c>
      <c r="D53">
        <v>8.4274442988204008</v>
      </c>
      <c r="E53">
        <f>IF(timeseries_access_key_fqeas14oitk235763mntlb1c0brnk9w3fenzqbk313q5kvxyf52kukw1pa[[#This Row],[Value.LME-ZNC]]="",0,timeseries_access_key_fqeas14oitk235763mntlb1c0brnk9w3fenzqbk313q5kvxyf52kukw1pa[[#This Row],[Value.LME-ZNC]])</f>
        <v>8.4274442988204008</v>
      </c>
      <c r="F53" s="2">
        <f t="shared" si="0"/>
        <v>0.11442431554523314</v>
      </c>
    </row>
    <row r="54" spans="1:6" x14ac:dyDescent="0.25">
      <c r="A54" s="1">
        <v>44711</v>
      </c>
      <c r="B54">
        <f>MONTH(timeseries_access_key_fqeas14oitk235763mntlb1c0brnk9w3fenzqbk313q5kvxyf52kukw1pa[[#This Row],[Name]])</f>
        <v>5</v>
      </c>
      <c r="C54">
        <f>YEAR(timeseries_access_key_fqeas14oitk235763mntlb1c0brnk9w3fenzqbk313q5kvxyf52kukw1pa[[#This Row],[Name]])</f>
        <v>2022</v>
      </c>
      <c r="D54">
        <v>8.4330906865006998</v>
      </c>
      <c r="E54">
        <f>IF(timeseries_access_key_fqeas14oitk235763mntlb1c0brnk9w3fenzqbk313q5kvxyf52kukw1pa[[#This Row],[Value.LME-ZNC]]="",0,timeseries_access_key_fqeas14oitk235763mntlb1c0brnk9w3fenzqbk313q5kvxyf52kukw1pa[[#This Row],[Value.LME-ZNC]])</f>
        <v>8.4330906865006998</v>
      </c>
      <c r="F54" s="2">
        <f t="shared" si="0"/>
        <v>0.11501725398507245</v>
      </c>
    </row>
    <row r="55" spans="1:6" x14ac:dyDescent="0.25">
      <c r="A55" s="1">
        <v>44712</v>
      </c>
      <c r="B55">
        <f>MONTH(timeseries_access_key_fqeas14oitk235763mntlb1c0brnk9w3fenzqbk313q5kvxyf52kukw1pa[[#This Row],[Name]])</f>
        <v>5</v>
      </c>
      <c r="C55">
        <f>YEAR(timeseries_access_key_fqeas14oitk235763mntlb1c0brnk9w3fenzqbk313q5kvxyf52kukw1pa[[#This Row],[Name]])</f>
        <v>2022</v>
      </c>
      <c r="D55">
        <v>8.0861921529174996</v>
      </c>
      <c r="E55">
        <f>IF(timeseries_access_key_fqeas14oitk235763mntlb1c0brnk9w3fenzqbk313q5kvxyf52kukw1pa[[#This Row],[Value.LME-ZNC]]="",0,timeseries_access_key_fqeas14oitk235763mntlb1c0brnk9w3fenzqbk313q5kvxyf52kukw1pa[[#This Row],[Value.LME-ZNC]])</f>
        <v>8.0861921529174996</v>
      </c>
      <c r="F55" s="2">
        <f t="shared" si="0"/>
        <v>7.7051396751733447E-2</v>
      </c>
    </row>
    <row r="56" spans="1:6" x14ac:dyDescent="0.25">
      <c r="A56" s="1">
        <v>44713</v>
      </c>
      <c r="B56">
        <f>MONTH(timeseries_access_key_fqeas14oitk235763mntlb1c0brnk9w3fenzqbk313q5kvxyf52kukw1pa[[#This Row],[Name]])</f>
        <v>6</v>
      </c>
      <c r="C56">
        <f>YEAR(timeseries_access_key_fqeas14oitk235763mntlb1c0brnk9w3fenzqbk313q5kvxyf52kukw1pa[[#This Row],[Name]])</f>
        <v>2022</v>
      </c>
      <c r="D56">
        <v>8.0821266968325993</v>
      </c>
      <c r="E56">
        <f>IF(timeseries_access_key_fqeas14oitk235763mntlb1c0brnk9w3fenzqbk313q5kvxyf52kukw1pa[[#This Row],[Value.LME-ZNC]]="",0,timeseries_access_key_fqeas14oitk235763mntlb1c0brnk9w3fenzqbk313q5kvxyf52kukw1pa[[#This Row],[Value.LME-ZNC]])</f>
        <v>8.0821266968325993</v>
      </c>
      <c r="F56" s="2">
        <f t="shared" si="0"/>
        <v>7.6587136890947538E-2</v>
      </c>
    </row>
    <row r="57" spans="1:6" x14ac:dyDescent="0.25">
      <c r="A57" s="1">
        <v>44714</v>
      </c>
      <c r="B57">
        <f>MONTH(timeseries_access_key_fqeas14oitk235763mntlb1c0brnk9w3fenzqbk313q5kvxyf52kukw1pa[[#This Row],[Name]])</f>
        <v>6</v>
      </c>
      <c r="C57">
        <f>YEAR(timeseries_access_key_fqeas14oitk235763mntlb1c0brnk9w3fenzqbk313q5kvxyf52kukw1pa[[#This Row],[Name]])</f>
        <v>2022</v>
      </c>
      <c r="D57">
        <v>8.2522330595483009</v>
      </c>
      <c r="E57">
        <f>IF(timeseries_access_key_fqeas14oitk235763mntlb1c0brnk9w3fenzqbk313q5kvxyf52kukw1pa[[#This Row],[Value.LME-ZNC]]="",0,timeseries_access_key_fqeas14oitk235763mntlb1c0brnk9w3fenzqbk313q5kvxyf52kukw1pa[[#This Row],[Value.LME-ZNC]])</f>
        <v>8.2522330595483009</v>
      </c>
      <c r="F57" s="2">
        <f t="shared" si="0"/>
        <v>9.5621791183293836E-2</v>
      </c>
    </row>
    <row r="58" spans="1:6" x14ac:dyDescent="0.25">
      <c r="A58" s="1">
        <v>44715</v>
      </c>
      <c r="B58">
        <f>MONTH(timeseries_access_key_fqeas14oitk235763mntlb1c0brnk9w3fenzqbk313q5kvxyf52kukw1pa[[#This Row],[Name]])</f>
        <v>6</v>
      </c>
      <c r="C58">
        <f>YEAR(timeseries_access_key_fqeas14oitk235763mntlb1c0brnk9w3fenzqbk313q5kvxyf52kukw1pa[[#This Row],[Name]])</f>
        <v>2022</v>
      </c>
      <c r="D58">
        <v>8.2522330595483009</v>
      </c>
      <c r="E58">
        <f>IF(timeseries_access_key_fqeas14oitk235763mntlb1c0brnk9w3fenzqbk313q5kvxyf52kukw1pa[[#This Row],[Value.LME-ZNC]]="",0,timeseries_access_key_fqeas14oitk235763mntlb1c0brnk9w3fenzqbk313q5kvxyf52kukw1pa[[#This Row],[Value.LME-ZNC]])</f>
        <v>8.2522330595483009</v>
      </c>
      <c r="F58" s="2">
        <f t="shared" si="0"/>
        <v>9.5621791183293836E-2</v>
      </c>
    </row>
    <row r="59" spans="1:6" x14ac:dyDescent="0.25">
      <c r="A59" s="1">
        <v>44716</v>
      </c>
      <c r="B59">
        <f>MONTH(timeseries_access_key_fqeas14oitk235763mntlb1c0brnk9w3fenzqbk313q5kvxyf52kukw1pa[[#This Row],[Name]])</f>
        <v>6</v>
      </c>
      <c r="C59">
        <f>YEAR(timeseries_access_key_fqeas14oitk235763mntlb1c0brnk9w3fenzqbk313q5kvxyf52kukw1pa[[#This Row],[Name]])</f>
        <v>2022</v>
      </c>
      <c r="D59">
        <v>8.2522330595483009</v>
      </c>
      <c r="E59">
        <f>IF(timeseries_access_key_fqeas14oitk235763mntlb1c0brnk9w3fenzqbk313q5kvxyf52kukw1pa[[#This Row],[Value.LME-ZNC]]="",0,timeseries_access_key_fqeas14oitk235763mntlb1c0brnk9w3fenzqbk313q5kvxyf52kukw1pa[[#This Row],[Value.LME-ZNC]])</f>
        <v>8.2522330595483009</v>
      </c>
      <c r="F59" s="2">
        <f t="shared" si="0"/>
        <v>9.5621791183293836E-2</v>
      </c>
    </row>
    <row r="60" spans="1:6" x14ac:dyDescent="0.25">
      <c r="A60" s="1">
        <v>44717</v>
      </c>
      <c r="B60">
        <f>MONTH(timeseries_access_key_fqeas14oitk235763mntlb1c0brnk9w3fenzqbk313q5kvxyf52kukw1pa[[#This Row],[Name]])</f>
        <v>6</v>
      </c>
      <c r="C60">
        <f>YEAR(timeseries_access_key_fqeas14oitk235763mntlb1c0brnk9w3fenzqbk313q5kvxyf52kukw1pa[[#This Row],[Name]])</f>
        <v>2022</v>
      </c>
      <c r="D60">
        <v>8.2522330595483009</v>
      </c>
      <c r="E60">
        <f>IF(timeseries_access_key_fqeas14oitk235763mntlb1c0brnk9w3fenzqbk313q5kvxyf52kukw1pa[[#This Row],[Value.LME-ZNC]]="",0,timeseries_access_key_fqeas14oitk235763mntlb1c0brnk9w3fenzqbk313q5kvxyf52kukw1pa[[#This Row],[Value.LME-ZNC]])</f>
        <v>8.2522330595483009</v>
      </c>
      <c r="F60" s="2">
        <f t="shared" si="0"/>
        <v>9.5621791183293836E-2</v>
      </c>
    </row>
    <row r="61" spans="1:6" x14ac:dyDescent="0.25">
      <c r="A61" s="1">
        <v>44718</v>
      </c>
      <c r="B61">
        <f>MONTH(timeseries_access_key_fqeas14oitk235763mntlb1c0brnk9w3fenzqbk313q5kvxyf52kukw1pa[[#This Row],[Name]])</f>
        <v>6</v>
      </c>
      <c r="C61">
        <f>YEAR(timeseries_access_key_fqeas14oitk235763mntlb1c0brnk9w3fenzqbk313q5kvxyf52kukw1pa[[#This Row],[Name]])</f>
        <v>2022</v>
      </c>
      <c r="D61">
        <v>8.2522330595483009</v>
      </c>
      <c r="E61">
        <f>IF(timeseries_access_key_fqeas14oitk235763mntlb1c0brnk9w3fenzqbk313q5kvxyf52kukw1pa[[#This Row],[Value.LME-ZNC]]="",0,timeseries_access_key_fqeas14oitk235763mntlb1c0brnk9w3fenzqbk313q5kvxyf52kukw1pa[[#This Row],[Value.LME-ZNC]])</f>
        <v>8.2522330595483009</v>
      </c>
      <c r="F61" s="2">
        <f t="shared" si="0"/>
        <v>9.5621791183293836E-2</v>
      </c>
    </row>
    <row r="62" spans="1:6" x14ac:dyDescent="0.25">
      <c r="A62" s="1">
        <v>44719</v>
      </c>
      <c r="B62">
        <f>MONTH(timeseries_access_key_fqeas14oitk235763mntlb1c0brnk9w3fenzqbk313q5kvxyf52kukw1pa[[#This Row],[Name]])</f>
        <v>6</v>
      </c>
      <c r="C62">
        <f>YEAR(timeseries_access_key_fqeas14oitk235763mntlb1c0brnk9w3fenzqbk313q5kvxyf52kukw1pa[[#This Row],[Name]])</f>
        <v>2022</v>
      </c>
      <c r="D62">
        <v>8.2522330595483009</v>
      </c>
      <c r="E62">
        <f>IF(timeseries_access_key_fqeas14oitk235763mntlb1c0brnk9w3fenzqbk313q5kvxyf52kukw1pa[[#This Row],[Value.LME-ZNC]]="",0,timeseries_access_key_fqeas14oitk235763mntlb1c0brnk9w3fenzqbk313q5kvxyf52kukw1pa[[#This Row],[Value.LME-ZNC]])</f>
        <v>8.2522330595483009</v>
      </c>
      <c r="F62" s="2">
        <f t="shared" si="0"/>
        <v>9.5621791183293836E-2</v>
      </c>
    </row>
    <row r="63" spans="1:6" x14ac:dyDescent="0.25">
      <c r="A63" s="1">
        <v>44720</v>
      </c>
      <c r="B63">
        <f>MONTH(timeseries_access_key_fqeas14oitk235763mntlb1c0brnk9w3fenzqbk313q5kvxyf52kukw1pa[[#This Row],[Name]])</f>
        <v>6</v>
      </c>
      <c r="C63">
        <f>YEAR(timeseries_access_key_fqeas14oitk235763mntlb1c0brnk9w3fenzqbk313q5kvxyf52kukw1pa[[#This Row],[Name]])</f>
        <v>2022</v>
      </c>
      <c r="D63">
        <v>8.5838205847016003</v>
      </c>
      <c r="E63">
        <f>IF(timeseries_access_key_fqeas14oitk235763mntlb1c0brnk9w3fenzqbk313q5kvxyf52kukw1pa[[#This Row],[Value.LME-ZNC]]="",0,timeseries_access_key_fqeas14oitk235763mntlb1c0brnk9w3fenzqbk313q5kvxyf52kukw1pa[[#This Row],[Value.LME-ZNC]])</f>
        <v>8.5838205847016003</v>
      </c>
      <c r="F63" s="2">
        <f t="shared" si="0"/>
        <v>0.13055734570764665</v>
      </c>
    </row>
    <row r="64" spans="1:6" x14ac:dyDescent="0.25">
      <c r="A64" s="1">
        <v>44721</v>
      </c>
      <c r="B64">
        <f>MONTH(timeseries_access_key_fqeas14oitk235763mntlb1c0brnk9w3fenzqbk313q5kvxyf52kukw1pa[[#This Row],[Name]])</f>
        <v>6</v>
      </c>
      <c r="C64">
        <f>YEAR(timeseries_access_key_fqeas14oitk235763mntlb1c0brnk9w3fenzqbk313q5kvxyf52kukw1pa[[#This Row],[Name]])</f>
        <v>2022</v>
      </c>
      <c r="D64">
        <v>8.4120094191522998</v>
      </c>
      <c r="E64">
        <f>IF(timeseries_access_key_fqeas14oitk235763mntlb1c0brnk9w3fenzqbk313q5kvxyf52kukw1pa[[#This Row],[Value.LME-ZNC]]="",0,timeseries_access_key_fqeas14oitk235763mntlb1c0brnk9w3fenzqbk313q5kvxyf52kukw1pa[[#This Row],[Value.LME-ZNC]])</f>
        <v>8.4120094191522998</v>
      </c>
      <c r="F64" s="2">
        <f t="shared" si="0"/>
        <v>0.11279940603247929</v>
      </c>
    </row>
    <row r="65" spans="1:6" x14ac:dyDescent="0.25">
      <c r="A65" s="1">
        <v>44722</v>
      </c>
      <c r="B65">
        <f>MONTH(timeseries_access_key_fqeas14oitk235763mntlb1c0brnk9w3fenzqbk313q5kvxyf52kukw1pa[[#This Row],[Name]])</f>
        <v>6</v>
      </c>
      <c r="C65">
        <f>YEAR(timeseries_access_key_fqeas14oitk235763mntlb1c0brnk9w3fenzqbk313q5kvxyf52kukw1pa[[#This Row],[Name]])</f>
        <v>2022</v>
      </c>
      <c r="D65">
        <v>8.4785601265823001</v>
      </c>
      <c r="E65">
        <f>IF(timeseries_access_key_fqeas14oitk235763mntlb1c0brnk9w3fenzqbk313q5kvxyf52kukw1pa[[#This Row],[Value.LME-ZNC]]="",0,timeseries_access_key_fqeas14oitk235763mntlb1c0brnk9w3fenzqbk313q5kvxyf52kukw1pa[[#This Row],[Value.LME-ZNC]])</f>
        <v>8.4785601265823001</v>
      </c>
      <c r="F65" s="2">
        <f t="shared" si="0"/>
        <v>0.11976330394431201</v>
      </c>
    </row>
    <row r="66" spans="1:6" x14ac:dyDescent="0.25">
      <c r="A66" s="1">
        <v>44723</v>
      </c>
      <c r="B66">
        <f>MONTH(timeseries_access_key_fqeas14oitk235763mntlb1c0brnk9w3fenzqbk313q5kvxyf52kukw1pa[[#This Row],[Name]])</f>
        <v>6</v>
      </c>
      <c r="C66">
        <f>YEAR(timeseries_access_key_fqeas14oitk235763mntlb1c0brnk9w3fenzqbk313q5kvxyf52kukw1pa[[#This Row],[Name]])</f>
        <v>2022</v>
      </c>
      <c r="D66">
        <v>8.5621038615180005</v>
      </c>
      <c r="E66">
        <f>IF(timeseries_access_key_fqeas14oitk235763mntlb1c0brnk9w3fenzqbk313q5kvxyf52kukw1pa[[#This Row],[Value.LME-ZNC]]="",0,timeseries_access_key_fqeas14oitk235763mntlb1c0brnk9w3fenzqbk313q5kvxyf52kukw1pa[[#This Row],[Value.LME-ZNC]])</f>
        <v>8.5621038615180005</v>
      </c>
      <c r="F66" s="2">
        <f t="shared" ref="F66:F129" si="1">IFERROR(1-(D$2/D66),0)</f>
        <v>0.12835211136890623</v>
      </c>
    </row>
    <row r="67" spans="1:6" x14ac:dyDescent="0.25">
      <c r="A67" s="1">
        <v>44724</v>
      </c>
      <c r="B67">
        <f>MONTH(timeseries_access_key_fqeas14oitk235763mntlb1c0brnk9w3fenzqbk313q5kvxyf52kukw1pa[[#This Row],[Name]])</f>
        <v>6</v>
      </c>
      <c r="C67">
        <f>YEAR(timeseries_access_key_fqeas14oitk235763mntlb1c0brnk9w3fenzqbk313q5kvxyf52kukw1pa[[#This Row],[Name]])</f>
        <v>2022</v>
      </c>
      <c r="D67">
        <v>8.5621038615180005</v>
      </c>
      <c r="E67">
        <f>IF(timeseries_access_key_fqeas14oitk235763mntlb1c0brnk9w3fenzqbk313q5kvxyf52kukw1pa[[#This Row],[Value.LME-ZNC]]="",0,timeseries_access_key_fqeas14oitk235763mntlb1c0brnk9w3fenzqbk313q5kvxyf52kukw1pa[[#This Row],[Value.LME-ZNC]])</f>
        <v>8.5621038615180005</v>
      </c>
      <c r="F67" s="2">
        <f t="shared" si="1"/>
        <v>0.12835211136890623</v>
      </c>
    </row>
    <row r="68" spans="1:6" x14ac:dyDescent="0.25">
      <c r="A68" s="1">
        <v>44725</v>
      </c>
      <c r="B68">
        <f>MONTH(timeseries_access_key_fqeas14oitk235763mntlb1c0brnk9w3fenzqbk313q5kvxyf52kukw1pa[[#This Row],[Name]])</f>
        <v>6</v>
      </c>
      <c r="C68">
        <f>YEAR(timeseries_access_key_fqeas14oitk235763mntlb1c0brnk9w3fenzqbk313q5kvxyf52kukw1pa[[#This Row],[Name]])</f>
        <v>2022</v>
      </c>
      <c r="D68">
        <v>8.5621038615180005</v>
      </c>
      <c r="E68">
        <f>IF(timeseries_access_key_fqeas14oitk235763mntlb1c0brnk9w3fenzqbk313q5kvxyf52kukw1pa[[#This Row],[Value.LME-ZNC]]="",0,timeseries_access_key_fqeas14oitk235763mntlb1c0brnk9w3fenzqbk313q5kvxyf52kukw1pa[[#This Row],[Value.LME-ZNC]])</f>
        <v>8.5621038615180005</v>
      </c>
      <c r="F68" s="2">
        <f t="shared" si="1"/>
        <v>0.12835211136890623</v>
      </c>
    </row>
    <row r="69" spans="1:6" x14ac:dyDescent="0.25">
      <c r="A69" s="1">
        <v>44726</v>
      </c>
      <c r="B69">
        <f>MONTH(timeseries_access_key_fqeas14oitk235763mntlb1c0brnk9w3fenzqbk313q5kvxyf52kukw1pa[[#This Row],[Name]])</f>
        <v>6</v>
      </c>
      <c r="C69">
        <f>YEAR(timeseries_access_key_fqeas14oitk235763mntlb1c0brnk9w3fenzqbk313q5kvxyf52kukw1pa[[#This Row],[Name]])</f>
        <v>2022</v>
      </c>
      <c r="D69">
        <v>8.9134183532021005</v>
      </c>
      <c r="E69">
        <f>IF(timeseries_access_key_fqeas14oitk235763mntlb1c0brnk9w3fenzqbk313q5kvxyf52kukw1pa[[#This Row],[Value.LME-ZNC]]="",0,timeseries_access_key_fqeas14oitk235763mntlb1c0brnk9w3fenzqbk313q5kvxyf52kukw1pa[[#This Row],[Value.LME-ZNC]])</f>
        <v>8.9134183532021005</v>
      </c>
      <c r="F69" s="2">
        <f t="shared" si="1"/>
        <v>0.16270734106727924</v>
      </c>
    </row>
    <row r="70" spans="1:6" x14ac:dyDescent="0.25">
      <c r="A70" s="1">
        <v>44727</v>
      </c>
      <c r="B70">
        <f>MONTH(timeseries_access_key_fqeas14oitk235763mntlb1c0brnk9w3fenzqbk313q5kvxyf52kukw1pa[[#This Row],[Name]])</f>
        <v>6</v>
      </c>
      <c r="C70">
        <f>YEAR(timeseries_access_key_fqeas14oitk235763mntlb1c0brnk9w3fenzqbk313q5kvxyf52kukw1pa[[#This Row],[Name]])</f>
        <v>2022</v>
      </c>
      <c r="D70">
        <v>8.7819448238186002</v>
      </c>
      <c r="E70">
        <f>IF(timeseries_access_key_fqeas14oitk235763mntlb1c0brnk9w3fenzqbk313q5kvxyf52kukw1pa[[#This Row],[Value.LME-ZNC]]="",0,timeseries_access_key_fqeas14oitk235763mntlb1c0brnk9w3fenzqbk313q5kvxyf52kukw1pa[[#This Row],[Value.LME-ZNC]])</f>
        <v>8.7819448238186002</v>
      </c>
      <c r="F70" s="2">
        <f t="shared" si="1"/>
        <v>0.15017232482597775</v>
      </c>
    </row>
    <row r="71" spans="1:6" x14ac:dyDescent="0.25">
      <c r="A71" s="1">
        <v>44728</v>
      </c>
      <c r="B71">
        <f>MONTH(timeseries_access_key_fqeas14oitk235763mntlb1c0brnk9w3fenzqbk313q5kvxyf52kukw1pa[[#This Row],[Name]])</f>
        <v>6</v>
      </c>
      <c r="C71">
        <f>YEAR(timeseries_access_key_fqeas14oitk235763mntlb1c0brnk9w3fenzqbk313q5kvxyf52kukw1pa[[#This Row],[Name]])</f>
        <v>2022</v>
      </c>
      <c r="D71">
        <v>8.6870305322886008</v>
      </c>
      <c r="E71">
        <f>IF(timeseries_access_key_fqeas14oitk235763mntlb1c0brnk9w3fenzqbk313q5kvxyf52kukw1pa[[#This Row],[Value.LME-ZNC]]="",0,timeseries_access_key_fqeas14oitk235763mntlb1c0brnk9w3fenzqbk313q5kvxyf52kukw1pa[[#This Row],[Value.LME-ZNC]])</f>
        <v>8.6870305322886008</v>
      </c>
      <c r="F71" s="2">
        <f t="shared" si="1"/>
        <v>0.14088712761020616</v>
      </c>
    </row>
    <row r="72" spans="1:6" x14ac:dyDescent="0.25">
      <c r="A72" s="1">
        <v>44729</v>
      </c>
      <c r="B72">
        <f>MONTH(timeseries_access_key_fqeas14oitk235763mntlb1c0brnk9w3fenzqbk313q5kvxyf52kukw1pa[[#This Row],[Name]])</f>
        <v>6</v>
      </c>
      <c r="C72">
        <f>YEAR(timeseries_access_key_fqeas14oitk235763mntlb1c0brnk9w3fenzqbk313q5kvxyf52kukw1pa[[#This Row],[Name]])</f>
        <v>2022</v>
      </c>
      <c r="D72">
        <v>8.6870305322886008</v>
      </c>
      <c r="E72">
        <f>IF(timeseries_access_key_fqeas14oitk235763mntlb1c0brnk9w3fenzqbk313q5kvxyf52kukw1pa[[#This Row],[Value.LME-ZNC]]="",0,timeseries_access_key_fqeas14oitk235763mntlb1c0brnk9w3fenzqbk313q5kvxyf52kukw1pa[[#This Row],[Value.LME-ZNC]])</f>
        <v>8.6870305322886008</v>
      </c>
      <c r="F72" s="2">
        <f t="shared" si="1"/>
        <v>0.14088712761020616</v>
      </c>
    </row>
    <row r="73" spans="1:6" x14ac:dyDescent="0.25">
      <c r="A73" s="1">
        <v>44730</v>
      </c>
      <c r="B73">
        <f>MONTH(timeseries_access_key_fqeas14oitk235763mntlb1c0brnk9w3fenzqbk313q5kvxyf52kukw1pa[[#This Row],[Name]])</f>
        <v>6</v>
      </c>
      <c r="C73">
        <f>YEAR(timeseries_access_key_fqeas14oitk235763mntlb1c0brnk9w3fenzqbk313q5kvxyf52kukw1pa[[#This Row],[Name]])</f>
        <v>2022</v>
      </c>
      <c r="D73">
        <v>8.9806424581006006</v>
      </c>
      <c r="E73">
        <f>IF(timeseries_access_key_fqeas14oitk235763mntlb1c0brnk9w3fenzqbk313q5kvxyf52kukw1pa[[#This Row],[Value.LME-ZNC]]="",0,timeseries_access_key_fqeas14oitk235763mntlb1c0brnk9w3fenzqbk313q5kvxyf52kukw1pa[[#This Row],[Value.LME-ZNC]])</f>
        <v>8.9806424581006006</v>
      </c>
      <c r="F73" s="2">
        <f t="shared" si="1"/>
        <v>0.16897484918793348</v>
      </c>
    </row>
    <row r="74" spans="1:6" x14ac:dyDescent="0.25">
      <c r="A74" s="1">
        <v>44731</v>
      </c>
      <c r="B74">
        <f>MONTH(timeseries_access_key_fqeas14oitk235763mntlb1c0brnk9w3fenzqbk313q5kvxyf52kukw1pa[[#This Row],[Name]])</f>
        <v>6</v>
      </c>
      <c r="C74">
        <f>YEAR(timeseries_access_key_fqeas14oitk235763mntlb1c0brnk9w3fenzqbk313q5kvxyf52kukw1pa[[#This Row],[Name]])</f>
        <v>2022</v>
      </c>
      <c r="D74">
        <v>8.9806424581006006</v>
      </c>
      <c r="E74">
        <f>IF(timeseries_access_key_fqeas14oitk235763mntlb1c0brnk9w3fenzqbk313q5kvxyf52kukw1pa[[#This Row],[Value.LME-ZNC]]="",0,timeseries_access_key_fqeas14oitk235763mntlb1c0brnk9w3fenzqbk313q5kvxyf52kukw1pa[[#This Row],[Value.LME-ZNC]])</f>
        <v>8.9806424581006006</v>
      </c>
      <c r="F74" s="2">
        <f t="shared" si="1"/>
        <v>0.16897484918793348</v>
      </c>
    </row>
    <row r="75" spans="1:6" x14ac:dyDescent="0.25">
      <c r="A75" s="1">
        <v>44732</v>
      </c>
      <c r="B75">
        <f>MONTH(timeseries_access_key_fqeas14oitk235763mntlb1c0brnk9w3fenzqbk313q5kvxyf52kukw1pa[[#This Row],[Name]])</f>
        <v>6</v>
      </c>
      <c r="C75">
        <f>YEAR(timeseries_access_key_fqeas14oitk235763mntlb1c0brnk9w3fenzqbk313q5kvxyf52kukw1pa[[#This Row],[Name]])</f>
        <v>2022</v>
      </c>
      <c r="D75">
        <v>8.9806424581006006</v>
      </c>
      <c r="E75">
        <f>IF(timeseries_access_key_fqeas14oitk235763mntlb1c0brnk9w3fenzqbk313q5kvxyf52kukw1pa[[#This Row],[Value.LME-ZNC]]="",0,timeseries_access_key_fqeas14oitk235763mntlb1c0brnk9w3fenzqbk313q5kvxyf52kukw1pa[[#This Row],[Value.LME-ZNC]])</f>
        <v>8.9806424581006006</v>
      </c>
      <c r="F75" s="2">
        <f t="shared" si="1"/>
        <v>0.16897484918793348</v>
      </c>
    </row>
    <row r="76" spans="1:6" x14ac:dyDescent="0.25">
      <c r="A76" s="1">
        <v>44733</v>
      </c>
      <c r="B76">
        <f>MONTH(timeseries_access_key_fqeas14oitk235763mntlb1c0brnk9w3fenzqbk313q5kvxyf52kukw1pa[[#This Row],[Name]])</f>
        <v>6</v>
      </c>
      <c r="C76">
        <f>YEAR(timeseries_access_key_fqeas14oitk235763mntlb1c0brnk9w3fenzqbk313q5kvxyf52kukw1pa[[#This Row],[Name]])</f>
        <v>2022</v>
      </c>
      <c r="D76">
        <v>9.0007558790592999</v>
      </c>
      <c r="E76">
        <f>IF(timeseries_access_key_fqeas14oitk235763mntlb1c0brnk9w3fenzqbk313q5kvxyf52kukw1pa[[#This Row],[Value.LME-ZNC]]="",0,timeseries_access_key_fqeas14oitk235763mntlb1c0brnk9w3fenzqbk313q5kvxyf52kukw1pa[[#This Row],[Value.LME-ZNC]])</f>
        <v>9.0007558790592999</v>
      </c>
      <c r="F76" s="2">
        <f t="shared" si="1"/>
        <v>0.17083188863108034</v>
      </c>
    </row>
    <row r="77" spans="1:6" x14ac:dyDescent="0.25">
      <c r="A77" s="1">
        <v>44734</v>
      </c>
      <c r="B77">
        <f>MONTH(timeseries_access_key_fqeas14oitk235763mntlb1c0brnk9w3fenzqbk313q5kvxyf52kukw1pa[[#This Row],[Name]])</f>
        <v>6</v>
      </c>
      <c r="C77">
        <f>YEAR(timeseries_access_key_fqeas14oitk235763mntlb1c0brnk9w3fenzqbk313q5kvxyf52kukw1pa[[#This Row],[Name]])</f>
        <v>2022</v>
      </c>
      <c r="D77">
        <v>8.6403386186508992</v>
      </c>
      <c r="E77">
        <f>IF(timeseries_access_key_fqeas14oitk235763mntlb1c0brnk9w3fenzqbk313q5kvxyf52kukw1pa[[#This Row],[Value.LME-ZNC]]="",0,timeseries_access_key_fqeas14oitk235763mntlb1c0brnk9w3fenzqbk313q5kvxyf52kukw1pa[[#This Row],[Value.LME-ZNC]])</f>
        <v>8.6403386186508992</v>
      </c>
      <c r="F77" s="2">
        <f t="shared" si="1"/>
        <v>0.13624452900231443</v>
      </c>
    </row>
    <row r="78" spans="1:6" x14ac:dyDescent="0.25">
      <c r="A78" s="1">
        <v>44735</v>
      </c>
      <c r="B78">
        <f>MONTH(timeseries_access_key_fqeas14oitk235763mntlb1c0brnk9w3fenzqbk313q5kvxyf52kukw1pa[[#This Row],[Name]])</f>
        <v>6</v>
      </c>
      <c r="C78">
        <f>YEAR(timeseries_access_key_fqeas14oitk235763mntlb1c0brnk9w3fenzqbk313q5kvxyf52kukw1pa[[#This Row],[Name]])</f>
        <v>2022</v>
      </c>
      <c r="D78">
        <v>8.6905527774024005</v>
      </c>
      <c r="E78">
        <f>IF(timeseries_access_key_fqeas14oitk235763mntlb1c0brnk9w3fenzqbk313q5kvxyf52kukw1pa[[#This Row],[Value.LME-ZNC]]="",0,timeseries_access_key_fqeas14oitk235763mntlb1c0brnk9w3fenzqbk313q5kvxyf52kukw1pa[[#This Row],[Value.LME-ZNC]])</f>
        <v>8.6905527774024005</v>
      </c>
      <c r="F78" s="2">
        <f t="shared" si="1"/>
        <v>0.14123532250579962</v>
      </c>
    </row>
    <row r="79" spans="1:6" x14ac:dyDescent="0.25">
      <c r="A79" s="1">
        <v>44736</v>
      </c>
      <c r="B79">
        <f>MONTH(timeseries_access_key_fqeas14oitk235763mntlb1c0brnk9w3fenzqbk313q5kvxyf52kukw1pa[[#This Row],[Name]])</f>
        <v>6</v>
      </c>
      <c r="C79">
        <f>YEAR(timeseries_access_key_fqeas14oitk235763mntlb1c0brnk9w3fenzqbk313q5kvxyf52kukw1pa[[#This Row],[Name]])</f>
        <v>2022</v>
      </c>
      <c r="D79">
        <v>8.7437313026923995</v>
      </c>
      <c r="E79">
        <f>IF(timeseries_access_key_fqeas14oitk235763mntlb1c0brnk9w3fenzqbk313q5kvxyf52kukw1pa[[#This Row],[Value.LME-ZNC]]="",0,timeseries_access_key_fqeas14oitk235763mntlb1c0brnk9w3fenzqbk313q5kvxyf52kukw1pa[[#This Row],[Value.LME-ZNC]])</f>
        <v>8.7437313026923995</v>
      </c>
      <c r="F79" s="2">
        <f t="shared" si="1"/>
        <v>0.14645824593966827</v>
      </c>
    </row>
    <row r="80" spans="1:6" x14ac:dyDescent="0.25">
      <c r="A80" s="1">
        <v>44737</v>
      </c>
      <c r="B80">
        <f>MONTH(timeseries_access_key_fqeas14oitk235763mntlb1c0brnk9w3fenzqbk313q5kvxyf52kukw1pa[[#This Row],[Name]])</f>
        <v>6</v>
      </c>
      <c r="C80">
        <f>YEAR(timeseries_access_key_fqeas14oitk235763mntlb1c0brnk9w3fenzqbk313q5kvxyf52kukw1pa[[#This Row],[Name]])</f>
        <v>2022</v>
      </c>
      <c r="D80">
        <v>9.0821186440677995</v>
      </c>
      <c r="E80">
        <f>IF(timeseries_access_key_fqeas14oitk235763mntlb1c0brnk9w3fenzqbk313q5kvxyf52kukw1pa[[#This Row],[Value.LME-ZNC]]="",0,timeseries_access_key_fqeas14oitk235763mntlb1c0brnk9w3fenzqbk313q5kvxyf52kukw1pa[[#This Row],[Value.LME-ZNC]])</f>
        <v>9.0821186440677995</v>
      </c>
      <c r="F80" s="2">
        <f t="shared" si="1"/>
        <v>0.17826004640370718</v>
      </c>
    </row>
    <row r="81" spans="1:6" x14ac:dyDescent="0.25">
      <c r="A81" s="1">
        <v>44738</v>
      </c>
      <c r="B81">
        <f>MONTH(timeseries_access_key_fqeas14oitk235763mntlb1c0brnk9w3fenzqbk313q5kvxyf52kukw1pa[[#This Row],[Name]])</f>
        <v>6</v>
      </c>
      <c r="C81">
        <f>YEAR(timeseries_access_key_fqeas14oitk235763mntlb1c0brnk9w3fenzqbk313q5kvxyf52kukw1pa[[#This Row],[Name]])</f>
        <v>2022</v>
      </c>
      <c r="D81">
        <v>9.0821186440677995</v>
      </c>
      <c r="E81">
        <f>IF(timeseries_access_key_fqeas14oitk235763mntlb1c0brnk9w3fenzqbk313q5kvxyf52kukw1pa[[#This Row],[Value.LME-ZNC]]="",0,timeseries_access_key_fqeas14oitk235763mntlb1c0brnk9w3fenzqbk313q5kvxyf52kukw1pa[[#This Row],[Value.LME-ZNC]])</f>
        <v>9.0821186440677995</v>
      </c>
      <c r="F81" s="2">
        <f t="shared" si="1"/>
        <v>0.17826004640370718</v>
      </c>
    </row>
    <row r="82" spans="1:6" x14ac:dyDescent="0.25">
      <c r="A82" s="1">
        <v>44739</v>
      </c>
      <c r="B82">
        <f>MONTH(timeseries_access_key_fqeas14oitk235763mntlb1c0brnk9w3fenzqbk313q5kvxyf52kukw1pa[[#This Row],[Name]])</f>
        <v>6</v>
      </c>
      <c r="C82">
        <f>YEAR(timeseries_access_key_fqeas14oitk235763mntlb1c0brnk9w3fenzqbk313q5kvxyf52kukw1pa[[#This Row],[Name]])</f>
        <v>2022</v>
      </c>
      <c r="D82">
        <v>9.0821186440677995</v>
      </c>
      <c r="E82">
        <f>IF(timeseries_access_key_fqeas14oitk235763mntlb1c0brnk9w3fenzqbk313q5kvxyf52kukw1pa[[#This Row],[Value.LME-ZNC]]="",0,timeseries_access_key_fqeas14oitk235763mntlb1c0brnk9w3fenzqbk313q5kvxyf52kukw1pa[[#This Row],[Value.LME-ZNC]])</f>
        <v>9.0821186440677995</v>
      </c>
      <c r="F82" s="2">
        <f t="shared" si="1"/>
        <v>0.17826004640370718</v>
      </c>
    </row>
    <row r="83" spans="1:6" x14ac:dyDescent="0.25">
      <c r="A83" s="1">
        <v>44740</v>
      </c>
      <c r="B83">
        <f>MONTH(timeseries_access_key_fqeas14oitk235763mntlb1c0brnk9w3fenzqbk313q5kvxyf52kukw1pa[[#This Row],[Name]])</f>
        <v>6</v>
      </c>
      <c r="C83">
        <f>YEAR(timeseries_access_key_fqeas14oitk235763mntlb1c0brnk9w3fenzqbk313q5kvxyf52kukw1pa[[#This Row],[Name]])</f>
        <v>2022</v>
      </c>
      <c r="D83">
        <v>9.3190434782609</v>
      </c>
      <c r="E83">
        <f>IF(timeseries_access_key_fqeas14oitk235763mntlb1c0brnk9w3fenzqbk313q5kvxyf52kukw1pa[[#This Row],[Value.LME-ZNC]]="",0,timeseries_access_key_fqeas14oitk235763mntlb1c0brnk9w3fenzqbk313q5kvxyf52kukw1pa[[#This Row],[Value.LME-ZNC]])</f>
        <v>9.3190434782609</v>
      </c>
      <c r="F83" s="2">
        <f t="shared" si="1"/>
        <v>0.19915174013920844</v>
      </c>
    </row>
    <row r="84" spans="1:6" x14ac:dyDescent="0.25">
      <c r="A84" s="1">
        <v>44741</v>
      </c>
      <c r="B84">
        <f>MONTH(timeseries_access_key_fqeas14oitk235763mntlb1c0brnk9w3fenzqbk313q5kvxyf52kukw1pa[[#This Row],[Name]])</f>
        <v>6</v>
      </c>
      <c r="C84">
        <f>YEAR(timeseries_access_key_fqeas14oitk235763mntlb1c0brnk9w3fenzqbk313q5kvxyf52kukw1pa[[#This Row],[Name]])</f>
        <v>2022</v>
      </c>
      <c r="D84">
        <v>9.3203942600377001</v>
      </c>
      <c r="E84">
        <f>IF(timeseries_access_key_fqeas14oitk235763mntlb1c0brnk9w3fenzqbk313q5kvxyf52kukw1pa[[#This Row],[Value.LME-ZNC]]="",0,timeseries_access_key_fqeas14oitk235763mntlb1c0brnk9w3fenzqbk313q5kvxyf52kukw1pa[[#This Row],[Value.LME-ZNC]])</f>
        <v>9.3203942600377001</v>
      </c>
      <c r="F84" s="2">
        <f t="shared" si="1"/>
        <v>0.19926780510440423</v>
      </c>
    </row>
    <row r="85" spans="1:6" x14ac:dyDescent="0.25">
      <c r="A85" s="1">
        <v>44742</v>
      </c>
      <c r="B85">
        <f>MONTH(timeseries_access_key_fqeas14oitk235763mntlb1c0brnk9w3fenzqbk313q5kvxyf52kukw1pa[[#This Row],[Name]])</f>
        <v>6</v>
      </c>
      <c r="C85">
        <f>YEAR(timeseries_access_key_fqeas14oitk235763mntlb1c0brnk9w3fenzqbk313q5kvxyf52kukw1pa[[#This Row],[Name]])</f>
        <v>2022</v>
      </c>
      <c r="D85">
        <v>9.4283577712610001</v>
      </c>
      <c r="E85">
        <f>IF(timeseries_access_key_fqeas14oitk235763mntlb1c0brnk9w3fenzqbk313q5kvxyf52kukw1pa[[#This Row],[Value.LME-ZNC]]="",0,timeseries_access_key_fqeas14oitk235763mntlb1c0brnk9w3fenzqbk313q5kvxyf52kukw1pa[[#This Row],[Value.LME-ZNC]])</f>
        <v>9.4283577712610001</v>
      </c>
      <c r="F85" s="2">
        <f t="shared" si="1"/>
        <v>0.20843693735498348</v>
      </c>
    </row>
    <row r="86" spans="1:6" x14ac:dyDescent="0.25">
      <c r="A86" s="1">
        <v>44743</v>
      </c>
      <c r="B86">
        <f>MONTH(timeseries_access_key_fqeas14oitk235763mntlb1c0brnk9w3fenzqbk313q5kvxyf52kukw1pa[[#This Row],[Name]])</f>
        <v>7</v>
      </c>
      <c r="C86">
        <f>YEAR(timeseries_access_key_fqeas14oitk235763mntlb1c0brnk9w3fenzqbk313q5kvxyf52kukw1pa[[#This Row],[Name]])</f>
        <v>2022</v>
      </c>
      <c r="D86">
        <v>9.8879594033522995</v>
      </c>
      <c r="E86">
        <f>IF(timeseries_access_key_fqeas14oitk235763mntlb1c0brnk9w3fenzqbk313q5kvxyf52kukw1pa[[#This Row],[Value.LME-ZNC]]="",0,timeseries_access_key_fqeas14oitk235763mntlb1c0brnk9w3fenzqbk313q5kvxyf52kukw1pa[[#This Row],[Value.LME-ZNC]])</f>
        <v>9.8879594033522995</v>
      </c>
      <c r="F86" s="2">
        <f t="shared" si="1"/>
        <v>0.24522953132250092</v>
      </c>
    </row>
    <row r="87" spans="1:6" x14ac:dyDescent="0.25">
      <c r="A87" s="1">
        <v>44744</v>
      </c>
      <c r="B87">
        <f>MONTH(timeseries_access_key_fqeas14oitk235763mntlb1c0brnk9w3fenzqbk313q5kvxyf52kukw1pa[[#This Row],[Name]])</f>
        <v>7</v>
      </c>
      <c r="C87">
        <f>YEAR(timeseries_access_key_fqeas14oitk235763mntlb1c0brnk9w3fenzqbk313q5kvxyf52kukw1pa[[#This Row],[Name]])</f>
        <v>2022</v>
      </c>
      <c r="D87">
        <v>10.288224</v>
      </c>
      <c r="E87">
        <f>IF(timeseries_access_key_fqeas14oitk235763mntlb1c0brnk9w3fenzqbk313q5kvxyf52kukw1pa[[#This Row],[Value.LME-ZNC]]="",0,timeseries_access_key_fqeas14oitk235763mntlb1c0brnk9w3fenzqbk313q5kvxyf52kukw1pa[[#This Row],[Value.LME-ZNC]])</f>
        <v>10.288224</v>
      </c>
      <c r="F87" s="2">
        <f t="shared" si="1"/>
        <v>0.27459396751739662</v>
      </c>
    </row>
    <row r="88" spans="1:6" x14ac:dyDescent="0.25">
      <c r="A88" s="1">
        <v>44745</v>
      </c>
      <c r="B88">
        <f>MONTH(timeseries_access_key_fqeas14oitk235763mntlb1c0brnk9w3fenzqbk313q5kvxyf52kukw1pa[[#This Row],[Name]])</f>
        <v>7</v>
      </c>
      <c r="C88">
        <f>YEAR(timeseries_access_key_fqeas14oitk235763mntlb1c0brnk9w3fenzqbk313q5kvxyf52kukw1pa[[#This Row],[Name]])</f>
        <v>2022</v>
      </c>
      <c r="D88">
        <v>10.288224</v>
      </c>
      <c r="E88">
        <f>IF(timeseries_access_key_fqeas14oitk235763mntlb1c0brnk9w3fenzqbk313q5kvxyf52kukw1pa[[#This Row],[Value.LME-ZNC]]="",0,timeseries_access_key_fqeas14oitk235763mntlb1c0brnk9w3fenzqbk313q5kvxyf52kukw1pa[[#This Row],[Value.LME-ZNC]])</f>
        <v>10.288224</v>
      </c>
      <c r="F88" s="2">
        <f t="shared" si="1"/>
        <v>0.27459396751739662</v>
      </c>
    </row>
    <row r="89" spans="1:6" x14ac:dyDescent="0.25">
      <c r="A89" s="1">
        <v>44746</v>
      </c>
      <c r="B89">
        <f>MONTH(timeseries_access_key_fqeas14oitk235763mntlb1c0brnk9w3fenzqbk313q5kvxyf52kukw1pa[[#This Row],[Name]])</f>
        <v>7</v>
      </c>
      <c r="C89">
        <f>YEAR(timeseries_access_key_fqeas14oitk235763mntlb1c0brnk9w3fenzqbk313q5kvxyf52kukw1pa[[#This Row],[Name]])</f>
        <v>2022</v>
      </c>
      <c r="D89">
        <v>10.288224</v>
      </c>
      <c r="E89">
        <f>IF(timeseries_access_key_fqeas14oitk235763mntlb1c0brnk9w3fenzqbk313q5kvxyf52kukw1pa[[#This Row],[Value.LME-ZNC]]="",0,timeseries_access_key_fqeas14oitk235763mntlb1c0brnk9w3fenzqbk313q5kvxyf52kukw1pa[[#This Row],[Value.LME-ZNC]])</f>
        <v>10.288224</v>
      </c>
      <c r="F89" s="2">
        <f t="shared" si="1"/>
        <v>0.27459396751739662</v>
      </c>
    </row>
    <row r="90" spans="1:6" x14ac:dyDescent="0.25">
      <c r="A90" s="1">
        <v>44747</v>
      </c>
      <c r="B90">
        <f>MONTH(timeseries_access_key_fqeas14oitk235763mntlb1c0brnk9w3fenzqbk313q5kvxyf52kukw1pa[[#This Row],[Name]])</f>
        <v>7</v>
      </c>
      <c r="C90">
        <f>YEAR(timeseries_access_key_fqeas14oitk235763mntlb1c0brnk9w3fenzqbk313q5kvxyf52kukw1pa[[#This Row],[Name]])</f>
        <v>2022</v>
      </c>
      <c r="D90">
        <v>10.142176656150999</v>
      </c>
      <c r="E90">
        <f>IF(timeseries_access_key_fqeas14oitk235763mntlb1c0brnk9w3fenzqbk313q5kvxyf52kukw1pa[[#This Row],[Value.LME-ZNC]]="",0,timeseries_access_key_fqeas14oitk235763mntlb1c0brnk9w3fenzqbk313q5kvxyf52kukw1pa[[#This Row],[Value.LME-ZNC]])</f>
        <v>10.142176656150999</v>
      </c>
      <c r="F90" s="2">
        <f t="shared" si="1"/>
        <v>0.26414812064961668</v>
      </c>
    </row>
    <row r="91" spans="1:6" x14ac:dyDescent="0.25">
      <c r="A91" s="1">
        <v>44748</v>
      </c>
      <c r="B91">
        <f>MONTH(timeseries_access_key_fqeas14oitk235763mntlb1c0brnk9w3fenzqbk313q5kvxyf52kukw1pa[[#This Row],[Name]])</f>
        <v>7</v>
      </c>
      <c r="C91">
        <f>YEAR(timeseries_access_key_fqeas14oitk235763mntlb1c0brnk9w3fenzqbk313q5kvxyf52kukw1pa[[#This Row],[Name]])</f>
        <v>2022</v>
      </c>
      <c r="D91">
        <v>10.572410391319</v>
      </c>
      <c r="E91">
        <f>IF(timeseries_access_key_fqeas14oitk235763mntlb1c0brnk9w3fenzqbk313q5kvxyf52kukw1pa[[#This Row],[Value.LME-ZNC]]="",0,timeseries_access_key_fqeas14oitk235763mntlb1c0brnk9w3fenzqbk313q5kvxyf52kukw1pa[[#This Row],[Value.LME-ZNC]])</f>
        <v>10.572410391319</v>
      </c>
      <c r="F91" s="2">
        <f t="shared" si="1"/>
        <v>0.2940928816705527</v>
      </c>
    </row>
    <row r="92" spans="1:6" x14ac:dyDescent="0.25">
      <c r="A92" s="1">
        <v>44749</v>
      </c>
      <c r="B92">
        <f>MONTH(timeseries_access_key_fqeas14oitk235763mntlb1c0brnk9w3fenzqbk313q5kvxyf52kukw1pa[[#This Row],[Name]])</f>
        <v>7</v>
      </c>
      <c r="C92">
        <f>YEAR(timeseries_access_key_fqeas14oitk235763mntlb1c0brnk9w3fenzqbk313q5kvxyf52kukw1pa[[#This Row],[Name]])</f>
        <v>2022</v>
      </c>
      <c r="D92">
        <v>10.506764705882</v>
      </c>
      <c r="E92">
        <f>IF(timeseries_access_key_fqeas14oitk235763mntlb1c0brnk9w3fenzqbk313q5kvxyf52kukw1pa[[#This Row],[Value.LME-ZNC]]="",0,timeseries_access_key_fqeas14oitk235763mntlb1c0brnk9w3fenzqbk313q5kvxyf52kukw1pa[[#This Row],[Value.LME-ZNC]])</f>
        <v>10.506764705882</v>
      </c>
      <c r="F92" s="2">
        <f t="shared" si="1"/>
        <v>0.2896824129930109</v>
      </c>
    </row>
    <row r="93" spans="1:6" x14ac:dyDescent="0.25">
      <c r="A93" s="1">
        <v>44750</v>
      </c>
      <c r="B93">
        <f>MONTH(timeseries_access_key_fqeas14oitk235763mntlb1c0brnk9w3fenzqbk313q5kvxyf52kukw1pa[[#This Row],[Name]])</f>
        <v>7</v>
      </c>
      <c r="C93">
        <f>YEAR(timeseries_access_key_fqeas14oitk235763mntlb1c0brnk9w3fenzqbk313q5kvxyf52kukw1pa[[#This Row],[Name]])</f>
        <v>2022</v>
      </c>
      <c r="D93">
        <v>10.167836812143999</v>
      </c>
      <c r="E93">
        <f>IF(timeseries_access_key_fqeas14oitk235763mntlb1c0brnk9w3fenzqbk313q5kvxyf52kukw1pa[[#This Row],[Value.LME-ZNC]]="",0,timeseries_access_key_fqeas14oitk235763mntlb1c0brnk9w3fenzqbk313q5kvxyf52kukw1pa[[#This Row],[Value.LME-ZNC]])</f>
        <v>10.167836812143999</v>
      </c>
      <c r="F93" s="2">
        <f t="shared" si="1"/>
        <v>0.26600516009278719</v>
      </c>
    </row>
    <row r="94" spans="1:6" x14ac:dyDescent="0.25">
      <c r="A94" s="1">
        <v>44751</v>
      </c>
      <c r="B94">
        <f>MONTH(timeseries_access_key_fqeas14oitk235763mntlb1c0brnk9w3fenzqbk313q5kvxyf52kukw1pa[[#This Row],[Name]])</f>
        <v>7</v>
      </c>
      <c r="C94">
        <f>YEAR(timeseries_access_key_fqeas14oitk235763mntlb1c0brnk9w3fenzqbk313q5kvxyf52kukw1pa[[#This Row],[Name]])</f>
        <v>2022</v>
      </c>
      <c r="D94">
        <v>10.203332275468</v>
      </c>
      <c r="E94">
        <f>IF(timeseries_access_key_fqeas14oitk235763mntlb1c0brnk9w3fenzqbk313q5kvxyf52kukw1pa[[#This Row],[Value.LME-ZNC]]="",0,timeseries_access_key_fqeas14oitk235763mntlb1c0brnk9w3fenzqbk313q5kvxyf52kukw1pa[[#This Row],[Value.LME-ZNC]])</f>
        <v>10.203332275468</v>
      </c>
      <c r="F94" s="2">
        <f t="shared" si="1"/>
        <v>0.26855858932713383</v>
      </c>
    </row>
    <row r="95" spans="1:6" x14ac:dyDescent="0.25">
      <c r="A95" s="1">
        <v>44752</v>
      </c>
      <c r="B95">
        <f>MONTH(timeseries_access_key_fqeas14oitk235763mntlb1c0brnk9w3fenzqbk313q5kvxyf52kukw1pa[[#This Row],[Name]])</f>
        <v>7</v>
      </c>
      <c r="C95">
        <f>YEAR(timeseries_access_key_fqeas14oitk235763mntlb1c0brnk9w3fenzqbk313q5kvxyf52kukw1pa[[#This Row],[Name]])</f>
        <v>2022</v>
      </c>
      <c r="D95">
        <v>10.203332275468</v>
      </c>
      <c r="E95">
        <f>IF(timeseries_access_key_fqeas14oitk235763mntlb1c0brnk9w3fenzqbk313q5kvxyf52kukw1pa[[#This Row],[Value.LME-ZNC]]="",0,timeseries_access_key_fqeas14oitk235763mntlb1c0brnk9w3fenzqbk313q5kvxyf52kukw1pa[[#This Row],[Value.LME-ZNC]])</f>
        <v>10.203332275468</v>
      </c>
      <c r="F95" s="2">
        <f t="shared" si="1"/>
        <v>0.26855858932713383</v>
      </c>
    </row>
    <row r="96" spans="1:6" x14ac:dyDescent="0.25">
      <c r="A96" s="1">
        <v>44753</v>
      </c>
      <c r="B96">
        <f>MONTH(timeseries_access_key_fqeas14oitk235763mntlb1c0brnk9w3fenzqbk313q5kvxyf52kukw1pa[[#This Row],[Name]])</f>
        <v>7</v>
      </c>
      <c r="C96">
        <f>YEAR(timeseries_access_key_fqeas14oitk235763mntlb1c0brnk9w3fenzqbk313q5kvxyf52kukw1pa[[#This Row],[Name]])</f>
        <v>2022</v>
      </c>
      <c r="D96">
        <v>10.203332275468</v>
      </c>
      <c r="E96">
        <f>IF(timeseries_access_key_fqeas14oitk235763mntlb1c0brnk9w3fenzqbk313q5kvxyf52kukw1pa[[#This Row],[Value.LME-ZNC]]="",0,timeseries_access_key_fqeas14oitk235763mntlb1c0brnk9w3fenzqbk313q5kvxyf52kukw1pa[[#This Row],[Value.LME-ZNC]])</f>
        <v>10.203332275468</v>
      </c>
      <c r="F96" s="2">
        <f t="shared" si="1"/>
        <v>0.26855858932713383</v>
      </c>
    </row>
    <row r="97" spans="1:6" x14ac:dyDescent="0.25">
      <c r="A97" s="1">
        <v>44754</v>
      </c>
      <c r="B97">
        <f>MONTH(timeseries_access_key_fqeas14oitk235763mntlb1c0brnk9w3fenzqbk313q5kvxyf52kukw1pa[[#This Row],[Name]])</f>
        <v>7</v>
      </c>
      <c r="C97">
        <f>YEAR(timeseries_access_key_fqeas14oitk235763mntlb1c0brnk9w3fenzqbk313q5kvxyf52kukw1pa[[#This Row],[Name]])</f>
        <v>2022</v>
      </c>
      <c r="D97">
        <v>10.298110185778</v>
      </c>
      <c r="E97">
        <f>IF(timeseries_access_key_fqeas14oitk235763mntlb1c0brnk9w3fenzqbk313q5kvxyf52kukw1pa[[#This Row],[Value.LME-ZNC]]="",0,timeseries_access_key_fqeas14oitk235763mntlb1c0brnk9w3fenzqbk313q5kvxyf52kukw1pa[[#This Row],[Value.LME-ZNC]])</f>
        <v>10.298110185778</v>
      </c>
      <c r="F97" s="2">
        <f t="shared" si="1"/>
        <v>0.27529035730855556</v>
      </c>
    </row>
    <row r="98" spans="1:6" x14ac:dyDescent="0.25">
      <c r="A98" s="1">
        <v>44755</v>
      </c>
      <c r="B98">
        <f>MONTH(timeseries_access_key_fqeas14oitk235763mntlb1c0brnk9w3fenzqbk313q5kvxyf52kukw1pa[[#This Row],[Name]])</f>
        <v>7</v>
      </c>
      <c r="C98">
        <f>YEAR(timeseries_access_key_fqeas14oitk235763mntlb1c0brnk9w3fenzqbk313q5kvxyf52kukw1pa[[#This Row],[Name]])</f>
        <v>2022</v>
      </c>
      <c r="D98">
        <v>10.248868345552999</v>
      </c>
      <c r="E98">
        <f>IF(timeseries_access_key_fqeas14oitk235763mntlb1c0brnk9w3fenzqbk313q5kvxyf52kukw1pa[[#This Row],[Value.LME-ZNC]]="",0,timeseries_access_key_fqeas14oitk235763mntlb1c0brnk9w3fenzqbk313q5kvxyf52kukw1pa[[#This Row],[Value.LME-ZNC]])</f>
        <v>10.248868345552999</v>
      </c>
      <c r="F98" s="2">
        <f t="shared" si="1"/>
        <v>0.27180840835265796</v>
      </c>
    </row>
    <row r="99" spans="1:6" x14ac:dyDescent="0.25">
      <c r="A99" s="1">
        <v>44756</v>
      </c>
      <c r="B99">
        <f>MONTH(timeseries_access_key_fqeas14oitk235763mntlb1c0brnk9w3fenzqbk313q5kvxyf52kukw1pa[[#This Row],[Name]])</f>
        <v>7</v>
      </c>
      <c r="C99">
        <f>YEAR(timeseries_access_key_fqeas14oitk235763mntlb1c0brnk9w3fenzqbk313q5kvxyf52kukw1pa[[#This Row],[Name]])</f>
        <v>2022</v>
      </c>
      <c r="D99">
        <v>10.248868345552999</v>
      </c>
      <c r="E99">
        <f>IF(timeseries_access_key_fqeas14oitk235763mntlb1c0brnk9w3fenzqbk313q5kvxyf52kukw1pa[[#This Row],[Value.LME-ZNC]]="",0,timeseries_access_key_fqeas14oitk235763mntlb1c0brnk9w3fenzqbk313q5kvxyf52kukw1pa[[#This Row],[Value.LME-ZNC]])</f>
        <v>10.248868345552999</v>
      </c>
      <c r="F99" s="2">
        <f t="shared" si="1"/>
        <v>0.27180840835265796</v>
      </c>
    </row>
    <row r="100" spans="1:6" x14ac:dyDescent="0.25">
      <c r="A100" s="1">
        <v>44757</v>
      </c>
      <c r="B100">
        <f>MONTH(timeseries_access_key_fqeas14oitk235763mntlb1c0brnk9w3fenzqbk313q5kvxyf52kukw1pa[[#This Row],[Name]])</f>
        <v>7</v>
      </c>
      <c r="C100">
        <f>YEAR(timeseries_access_key_fqeas14oitk235763mntlb1c0brnk9w3fenzqbk313q5kvxyf52kukw1pa[[#This Row],[Name]])</f>
        <v>2022</v>
      </c>
      <c r="D100">
        <v>10.817866756393</v>
      </c>
      <c r="E100">
        <f>IF(timeseries_access_key_fqeas14oitk235763mntlb1c0brnk9w3fenzqbk313q5kvxyf52kukw1pa[[#This Row],[Value.LME-ZNC]]="",0,timeseries_access_key_fqeas14oitk235763mntlb1c0brnk9w3fenzqbk313q5kvxyf52kukw1pa[[#This Row],[Value.LME-ZNC]])</f>
        <v>10.817866756393</v>
      </c>
      <c r="F100" s="2">
        <f t="shared" si="1"/>
        <v>0.31010984686774479</v>
      </c>
    </row>
    <row r="101" spans="1:6" x14ac:dyDescent="0.25">
      <c r="A101" s="1">
        <v>44758</v>
      </c>
      <c r="B101">
        <f>MONTH(timeseries_access_key_fqeas14oitk235763mntlb1c0brnk9w3fenzqbk313q5kvxyf52kukw1pa[[#This Row],[Name]])</f>
        <v>7</v>
      </c>
      <c r="C101">
        <f>YEAR(timeseries_access_key_fqeas14oitk235763mntlb1c0brnk9w3fenzqbk313q5kvxyf52kukw1pa[[#This Row],[Name]])</f>
        <v>2022</v>
      </c>
      <c r="D101">
        <v>11.006744265662</v>
      </c>
      <c r="E101">
        <f>IF(timeseries_access_key_fqeas14oitk235763mntlb1c0brnk9w3fenzqbk313q5kvxyf52kukw1pa[[#This Row],[Value.LME-ZNC]]="",0,timeseries_access_key_fqeas14oitk235763mntlb1c0brnk9w3fenzqbk313q5kvxyf52kukw1pa[[#This Row],[Value.LME-ZNC]])</f>
        <v>11.006744265662</v>
      </c>
      <c r="F101" s="2">
        <f t="shared" si="1"/>
        <v>0.32194847331783361</v>
      </c>
    </row>
    <row r="102" spans="1:6" x14ac:dyDescent="0.25">
      <c r="A102" s="1">
        <v>44759</v>
      </c>
      <c r="B102">
        <f>MONTH(timeseries_access_key_fqeas14oitk235763mntlb1c0brnk9w3fenzqbk313q5kvxyf52kukw1pa[[#This Row],[Name]])</f>
        <v>7</v>
      </c>
      <c r="C102">
        <f>YEAR(timeseries_access_key_fqeas14oitk235763mntlb1c0brnk9w3fenzqbk313q5kvxyf52kukw1pa[[#This Row],[Name]])</f>
        <v>2022</v>
      </c>
      <c r="D102">
        <v>11.006744265662</v>
      </c>
      <c r="E102">
        <f>IF(timeseries_access_key_fqeas14oitk235763mntlb1c0brnk9w3fenzqbk313q5kvxyf52kukw1pa[[#This Row],[Value.LME-ZNC]]="",0,timeseries_access_key_fqeas14oitk235763mntlb1c0brnk9w3fenzqbk313q5kvxyf52kukw1pa[[#This Row],[Value.LME-ZNC]])</f>
        <v>11.006744265662</v>
      </c>
      <c r="F102" s="2">
        <f t="shared" si="1"/>
        <v>0.32194847331783361</v>
      </c>
    </row>
    <row r="103" spans="1:6" x14ac:dyDescent="0.25">
      <c r="A103" s="1">
        <v>44760</v>
      </c>
      <c r="B103">
        <f>MONTH(timeseries_access_key_fqeas14oitk235763mntlb1c0brnk9w3fenzqbk313q5kvxyf52kukw1pa[[#This Row],[Name]])</f>
        <v>7</v>
      </c>
      <c r="C103">
        <f>YEAR(timeseries_access_key_fqeas14oitk235763mntlb1c0brnk9w3fenzqbk313q5kvxyf52kukw1pa[[#This Row],[Name]])</f>
        <v>2022</v>
      </c>
      <c r="D103">
        <v>11.006744265662</v>
      </c>
      <c r="E103">
        <f>IF(timeseries_access_key_fqeas14oitk235763mntlb1c0brnk9w3fenzqbk313q5kvxyf52kukw1pa[[#This Row],[Value.LME-ZNC]]="",0,timeseries_access_key_fqeas14oitk235763mntlb1c0brnk9w3fenzqbk313q5kvxyf52kukw1pa[[#This Row],[Value.LME-ZNC]])</f>
        <v>11.006744265662</v>
      </c>
      <c r="F103" s="2">
        <f t="shared" si="1"/>
        <v>0.32194847331783361</v>
      </c>
    </row>
    <row r="104" spans="1:6" x14ac:dyDescent="0.25">
      <c r="A104" s="1">
        <v>44761</v>
      </c>
      <c r="B104">
        <f>MONTH(timeseries_access_key_fqeas14oitk235763mntlb1c0brnk9w3fenzqbk313q5kvxyf52kukw1pa[[#This Row],[Name]])</f>
        <v>7</v>
      </c>
      <c r="C104">
        <f>YEAR(timeseries_access_key_fqeas14oitk235763mntlb1c0brnk9w3fenzqbk313q5kvxyf52kukw1pa[[#This Row],[Name]])</f>
        <v>2022</v>
      </c>
      <c r="D104">
        <v>10.603792875989001</v>
      </c>
      <c r="E104">
        <f>IF(timeseries_access_key_fqeas14oitk235763mntlb1c0brnk9w3fenzqbk313q5kvxyf52kukw1pa[[#This Row],[Value.LME-ZNC]]="",0,timeseries_access_key_fqeas14oitk235763mntlb1c0brnk9w3fenzqbk313q5kvxyf52kukw1pa[[#This Row],[Value.LME-ZNC]])</f>
        <v>10.603792875989001</v>
      </c>
      <c r="F104" s="2">
        <f t="shared" si="1"/>
        <v>0.29618205104404938</v>
      </c>
    </row>
    <row r="105" spans="1:6" x14ac:dyDescent="0.25">
      <c r="A105" s="1">
        <v>44762</v>
      </c>
      <c r="B105">
        <f>MONTH(timeseries_access_key_fqeas14oitk235763mntlb1c0brnk9w3fenzqbk313q5kvxyf52kukw1pa[[#This Row],[Name]])</f>
        <v>7</v>
      </c>
      <c r="C105">
        <f>YEAR(timeseries_access_key_fqeas14oitk235763mntlb1c0brnk9w3fenzqbk313q5kvxyf52kukw1pa[[#This Row],[Name]])</f>
        <v>2022</v>
      </c>
      <c r="D105">
        <v>10.558522167488</v>
      </c>
      <c r="E105">
        <f>IF(timeseries_access_key_fqeas14oitk235763mntlb1c0brnk9w3fenzqbk313q5kvxyf52kukw1pa[[#This Row],[Value.LME-ZNC]]="",0,timeseries_access_key_fqeas14oitk235763mntlb1c0brnk9w3fenzqbk313q5kvxyf52kukw1pa[[#This Row],[Value.LME-ZNC]])</f>
        <v>10.558522167488</v>
      </c>
      <c r="F105" s="2">
        <f t="shared" si="1"/>
        <v>0.29316436194897244</v>
      </c>
    </row>
    <row r="106" spans="1:6" x14ac:dyDescent="0.25">
      <c r="A106" s="1">
        <v>44763</v>
      </c>
      <c r="B106">
        <f>MONTH(timeseries_access_key_fqeas14oitk235763mntlb1c0brnk9w3fenzqbk313q5kvxyf52kukw1pa[[#This Row],[Name]])</f>
        <v>7</v>
      </c>
      <c r="C106">
        <f>YEAR(timeseries_access_key_fqeas14oitk235763mntlb1c0brnk9w3fenzqbk313q5kvxyf52kukw1pa[[#This Row],[Name]])</f>
        <v>2022</v>
      </c>
      <c r="D106">
        <v>10.404757281553</v>
      </c>
      <c r="E106">
        <f>IF(timeseries_access_key_fqeas14oitk235763mntlb1c0brnk9w3fenzqbk313q5kvxyf52kukw1pa[[#This Row],[Value.LME-ZNC]]="",0,timeseries_access_key_fqeas14oitk235763mntlb1c0brnk9w3fenzqbk313q5kvxyf52kukw1pa[[#This Row],[Value.LME-ZNC]])</f>
        <v>10.404757281553</v>
      </c>
      <c r="F106" s="2">
        <f t="shared" si="1"/>
        <v>0.28271851508117429</v>
      </c>
    </row>
    <row r="107" spans="1:6" x14ac:dyDescent="0.25">
      <c r="A107" s="1">
        <v>44764</v>
      </c>
      <c r="B107">
        <f>MONTH(timeseries_access_key_fqeas14oitk235763mntlb1c0brnk9w3fenzqbk313q5kvxyf52kukw1pa[[#This Row],[Name]])</f>
        <v>7</v>
      </c>
      <c r="C107">
        <f>YEAR(timeseries_access_key_fqeas14oitk235763mntlb1c0brnk9w3fenzqbk313q5kvxyf52kukw1pa[[#This Row],[Name]])</f>
        <v>2022</v>
      </c>
      <c r="D107">
        <v>10.699068219634</v>
      </c>
      <c r="E107">
        <f>IF(timeseries_access_key_fqeas14oitk235763mntlb1c0brnk9w3fenzqbk313q5kvxyf52kukw1pa[[#This Row],[Value.LME-ZNC]]="",0,timeseries_access_key_fqeas14oitk235763mntlb1c0brnk9w3fenzqbk313q5kvxyf52kukw1pa[[#This Row],[Value.LME-ZNC]])</f>
        <v>10.699068219634</v>
      </c>
      <c r="F107" s="2">
        <f t="shared" si="1"/>
        <v>0.30244955916473226</v>
      </c>
    </row>
    <row r="108" spans="1:6" x14ac:dyDescent="0.25">
      <c r="A108" s="1">
        <v>44765</v>
      </c>
      <c r="B108">
        <f>MONTH(timeseries_access_key_fqeas14oitk235763mntlb1c0brnk9w3fenzqbk313q5kvxyf52kukw1pa[[#This Row],[Name]])</f>
        <v>7</v>
      </c>
      <c r="C108">
        <f>YEAR(timeseries_access_key_fqeas14oitk235763mntlb1c0brnk9w3fenzqbk313q5kvxyf52kukw1pa[[#This Row],[Name]])</f>
        <v>2022</v>
      </c>
      <c r="D108">
        <v>10.558522167488</v>
      </c>
      <c r="E108">
        <f>IF(timeseries_access_key_fqeas14oitk235763mntlb1c0brnk9w3fenzqbk313q5kvxyf52kukw1pa[[#This Row],[Value.LME-ZNC]]="",0,timeseries_access_key_fqeas14oitk235763mntlb1c0brnk9w3fenzqbk313q5kvxyf52kukw1pa[[#This Row],[Value.LME-ZNC]])</f>
        <v>10.558522167488</v>
      </c>
      <c r="F108" s="2">
        <f t="shared" si="1"/>
        <v>0.29316436194897244</v>
      </c>
    </row>
    <row r="109" spans="1:6" x14ac:dyDescent="0.25">
      <c r="A109" s="1">
        <v>44766</v>
      </c>
      <c r="B109">
        <f>MONTH(timeseries_access_key_fqeas14oitk235763mntlb1c0brnk9w3fenzqbk313q5kvxyf52kukw1pa[[#This Row],[Name]])</f>
        <v>7</v>
      </c>
      <c r="C109">
        <f>YEAR(timeseries_access_key_fqeas14oitk235763mntlb1c0brnk9w3fenzqbk313q5kvxyf52kukw1pa[[#This Row],[Name]])</f>
        <v>2022</v>
      </c>
      <c r="D109">
        <v>10.558522167488</v>
      </c>
      <c r="E109">
        <f>IF(timeseries_access_key_fqeas14oitk235763mntlb1c0brnk9w3fenzqbk313q5kvxyf52kukw1pa[[#This Row],[Value.LME-ZNC]]="",0,timeseries_access_key_fqeas14oitk235763mntlb1c0brnk9w3fenzqbk313q5kvxyf52kukw1pa[[#This Row],[Value.LME-ZNC]])</f>
        <v>10.558522167488</v>
      </c>
      <c r="F109" s="2">
        <f t="shared" si="1"/>
        <v>0.29316436194897244</v>
      </c>
    </row>
    <row r="110" spans="1:6" x14ac:dyDescent="0.25">
      <c r="A110" s="1">
        <v>44767</v>
      </c>
      <c r="B110">
        <f>MONTH(timeseries_access_key_fqeas14oitk235763mntlb1c0brnk9w3fenzqbk313q5kvxyf52kukw1pa[[#This Row],[Name]])</f>
        <v>7</v>
      </c>
      <c r="C110">
        <f>YEAR(timeseries_access_key_fqeas14oitk235763mntlb1c0brnk9w3fenzqbk313q5kvxyf52kukw1pa[[#This Row],[Name]])</f>
        <v>2022</v>
      </c>
      <c r="D110">
        <v>10.558522167488</v>
      </c>
      <c r="E110">
        <f>IF(timeseries_access_key_fqeas14oitk235763mntlb1c0brnk9w3fenzqbk313q5kvxyf52kukw1pa[[#This Row],[Value.LME-ZNC]]="",0,timeseries_access_key_fqeas14oitk235763mntlb1c0brnk9w3fenzqbk313q5kvxyf52kukw1pa[[#This Row],[Value.LME-ZNC]])</f>
        <v>10.558522167488</v>
      </c>
      <c r="F110" s="2">
        <f t="shared" si="1"/>
        <v>0.29316436194897244</v>
      </c>
    </row>
    <row r="111" spans="1:6" x14ac:dyDescent="0.25">
      <c r="A111" s="1">
        <v>44768</v>
      </c>
      <c r="B111">
        <f>MONTH(timeseries_access_key_fqeas14oitk235763mntlb1c0brnk9w3fenzqbk313q5kvxyf52kukw1pa[[#This Row],[Name]])</f>
        <v>7</v>
      </c>
      <c r="C111">
        <f>YEAR(timeseries_access_key_fqeas14oitk235763mntlb1c0brnk9w3fenzqbk313q5kvxyf52kukw1pa[[#This Row],[Name]])</f>
        <v>2022</v>
      </c>
      <c r="D111">
        <v>10.541213114753999</v>
      </c>
      <c r="E111">
        <f>IF(timeseries_access_key_fqeas14oitk235763mntlb1c0brnk9w3fenzqbk313q5kvxyf52kukw1pa[[#This Row],[Value.LME-ZNC]]="",0,timeseries_access_key_fqeas14oitk235763mntlb1c0brnk9w3fenzqbk313q5kvxyf52kukw1pa[[#This Row],[Value.LME-ZNC]])</f>
        <v>10.541213114753999</v>
      </c>
      <c r="F111" s="2">
        <f t="shared" si="1"/>
        <v>0.29200371229697242</v>
      </c>
    </row>
    <row r="112" spans="1:6" x14ac:dyDescent="0.25">
      <c r="A112" s="1">
        <v>44769</v>
      </c>
      <c r="B112">
        <f>MONTH(timeseries_access_key_fqeas14oitk235763mntlb1c0brnk9w3fenzqbk313q5kvxyf52kukw1pa[[#This Row],[Name]])</f>
        <v>7</v>
      </c>
      <c r="C112">
        <f>YEAR(timeseries_access_key_fqeas14oitk235763mntlb1c0brnk9w3fenzqbk313q5kvxyf52kukw1pa[[#This Row],[Name]])</f>
        <v>2022</v>
      </c>
      <c r="D112">
        <v>10.239076433120999</v>
      </c>
      <c r="E112">
        <f>IF(timeseries_access_key_fqeas14oitk235763mntlb1c0brnk9w3fenzqbk313q5kvxyf52kukw1pa[[#This Row],[Value.LME-ZNC]]="",0,timeseries_access_key_fqeas14oitk235763mntlb1c0brnk9w3fenzqbk313q5kvxyf52kukw1pa[[#This Row],[Value.LME-ZNC]])</f>
        <v>10.239076433120999</v>
      </c>
      <c r="F112" s="2">
        <f t="shared" si="1"/>
        <v>0.27111201856147871</v>
      </c>
    </row>
    <row r="113" spans="1:6" x14ac:dyDescent="0.25">
      <c r="A113" s="1">
        <v>44770</v>
      </c>
      <c r="B113">
        <f>MONTH(timeseries_access_key_fqeas14oitk235763mntlb1c0brnk9w3fenzqbk313q5kvxyf52kukw1pa[[#This Row],[Name]])</f>
        <v>7</v>
      </c>
      <c r="C113">
        <f>YEAR(timeseries_access_key_fqeas14oitk235763mntlb1c0brnk9w3fenzqbk313q5kvxyf52kukw1pa[[#This Row],[Name]])</f>
        <v>2022</v>
      </c>
      <c r="D113">
        <v>10.317939666239001</v>
      </c>
      <c r="E113">
        <f>IF(timeseries_access_key_fqeas14oitk235763mntlb1c0brnk9w3fenzqbk313q5kvxyf52kukw1pa[[#This Row],[Value.LME-ZNC]]="",0,timeseries_access_key_fqeas14oitk235763mntlb1c0brnk9w3fenzqbk313q5kvxyf52kukw1pa[[#This Row],[Value.LME-ZNC]])</f>
        <v>10.317939666239001</v>
      </c>
      <c r="F113" s="2">
        <f t="shared" si="1"/>
        <v>0.27668313689096291</v>
      </c>
    </row>
    <row r="114" spans="1:6" x14ac:dyDescent="0.25">
      <c r="A114" s="1">
        <v>44771</v>
      </c>
      <c r="B114">
        <f>MONTH(timeseries_access_key_fqeas14oitk235763mntlb1c0brnk9w3fenzqbk313q5kvxyf52kukw1pa[[#This Row],[Name]])</f>
        <v>7</v>
      </c>
      <c r="C114">
        <f>YEAR(timeseries_access_key_fqeas14oitk235763mntlb1c0brnk9w3fenzqbk313q5kvxyf52kukw1pa[[#This Row],[Name]])</f>
        <v>2022</v>
      </c>
      <c r="D114">
        <v>9.9047134935304992</v>
      </c>
      <c r="E114">
        <f>IF(timeseries_access_key_fqeas14oitk235763mntlb1c0brnk9w3fenzqbk313q5kvxyf52kukw1pa[[#This Row],[Value.LME-ZNC]]="",0,timeseries_access_key_fqeas14oitk235763mntlb1c0brnk9w3fenzqbk313q5kvxyf52kukw1pa[[#This Row],[Value.LME-ZNC]])</f>
        <v>9.9047134935304992</v>
      </c>
      <c r="F114" s="2">
        <f t="shared" si="1"/>
        <v>0.24650624593967019</v>
      </c>
    </row>
    <row r="115" spans="1:6" x14ac:dyDescent="0.25">
      <c r="A115" s="1">
        <v>44773</v>
      </c>
      <c r="B115">
        <f>MONTH(timeseries_access_key_fqeas14oitk235763mntlb1c0brnk9w3fenzqbk313q5kvxyf52kukw1pa[[#This Row],[Name]])</f>
        <v>7</v>
      </c>
      <c r="C115">
        <f>YEAR(timeseries_access_key_fqeas14oitk235763mntlb1c0brnk9w3fenzqbk313q5kvxyf52kukw1pa[[#This Row],[Name]])</f>
        <v>2022</v>
      </c>
      <c r="D115">
        <v>9.9047134935304992</v>
      </c>
      <c r="E115">
        <f>IF(timeseries_access_key_fqeas14oitk235763mntlb1c0brnk9w3fenzqbk313q5kvxyf52kukw1pa[[#This Row],[Value.LME-ZNC]]="",0,timeseries_access_key_fqeas14oitk235763mntlb1c0brnk9w3fenzqbk313q5kvxyf52kukw1pa[[#This Row],[Value.LME-ZNC]])</f>
        <v>9.9047134935304992</v>
      </c>
      <c r="F115" s="2">
        <f t="shared" si="1"/>
        <v>0.24650624593967019</v>
      </c>
    </row>
    <row r="116" spans="1:6" x14ac:dyDescent="0.25">
      <c r="A116" s="1">
        <v>44774</v>
      </c>
      <c r="B116">
        <f>MONTH(timeseries_access_key_fqeas14oitk235763mntlb1c0brnk9w3fenzqbk313q5kvxyf52kukw1pa[[#This Row],[Name]])</f>
        <v>8</v>
      </c>
      <c r="C116">
        <f>YEAR(timeseries_access_key_fqeas14oitk235763mntlb1c0brnk9w3fenzqbk313q5kvxyf52kukw1pa[[#This Row],[Name]])</f>
        <v>2022</v>
      </c>
      <c r="D116">
        <v>9.9047134935304992</v>
      </c>
      <c r="E116">
        <f>IF(timeseries_access_key_fqeas14oitk235763mntlb1c0brnk9w3fenzqbk313q5kvxyf52kukw1pa[[#This Row],[Value.LME-ZNC]]="",0,timeseries_access_key_fqeas14oitk235763mntlb1c0brnk9w3fenzqbk313q5kvxyf52kukw1pa[[#This Row],[Value.LME-ZNC]])</f>
        <v>9.9047134935304992</v>
      </c>
      <c r="F116" s="2">
        <f t="shared" si="1"/>
        <v>0.24650624593967019</v>
      </c>
    </row>
    <row r="117" spans="1:6" x14ac:dyDescent="0.25">
      <c r="A117" s="1">
        <v>44775</v>
      </c>
      <c r="B117">
        <f>MONTH(timeseries_access_key_fqeas14oitk235763mntlb1c0brnk9w3fenzqbk313q5kvxyf52kukw1pa[[#This Row],[Name]])</f>
        <v>8</v>
      </c>
      <c r="C117">
        <f>YEAR(timeseries_access_key_fqeas14oitk235763mntlb1c0brnk9w3fenzqbk313q5kvxyf52kukw1pa[[#This Row],[Name]])</f>
        <v>2022</v>
      </c>
      <c r="D117">
        <v>9.4408163265305998</v>
      </c>
      <c r="E117">
        <f>IF(timeseries_access_key_fqeas14oitk235763mntlb1c0brnk9w3fenzqbk313q5kvxyf52kukw1pa[[#This Row],[Value.LME-ZNC]]="",0,timeseries_access_key_fqeas14oitk235763mntlb1c0brnk9w3fenzqbk313q5kvxyf52kukw1pa[[#This Row],[Value.LME-ZNC]])</f>
        <v>9.4408163265305998</v>
      </c>
      <c r="F117" s="2">
        <f t="shared" si="1"/>
        <v>0.20948152204175707</v>
      </c>
    </row>
    <row r="118" spans="1:6" x14ac:dyDescent="0.25">
      <c r="A118" s="1">
        <v>44776</v>
      </c>
      <c r="B118">
        <f>MONTH(timeseries_access_key_fqeas14oitk235763mntlb1c0brnk9w3fenzqbk313q5kvxyf52kukw1pa[[#This Row],[Name]])</f>
        <v>8</v>
      </c>
      <c r="C118">
        <f>YEAR(timeseries_access_key_fqeas14oitk235763mntlb1c0brnk9w3fenzqbk313q5kvxyf52kukw1pa[[#This Row],[Name]])</f>
        <v>2022</v>
      </c>
      <c r="D118">
        <v>9.3325689404935002</v>
      </c>
      <c r="E118">
        <f>IF(timeseries_access_key_fqeas14oitk235763mntlb1c0brnk9w3fenzqbk313q5kvxyf52kukw1pa[[#This Row],[Value.LME-ZNC]]="",0,timeseries_access_key_fqeas14oitk235763mntlb1c0brnk9w3fenzqbk313q5kvxyf52kukw1pa[[#This Row],[Value.LME-ZNC]])</f>
        <v>9.3325689404935002</v>
      </c>
      <c r="F118" s="2">
        <f t="shared" si="1"/>
        <v>0.20031238979118071</v>
      </c>
    </row>
    <row r="119" spans="1:6" x14ac:dyDescent="0.25">
      <c r="A119" s="1">
        <v>44777</v>
      </c>
      <c r="B119">
        <f>MONTH(timeseries_access_key_fqeas14oitk235763mntlb1c0brnk9w3fenzqbk313q5kvxyf52kukw1pa[[#This Row],[Name]])</f>
        <v>8</v>
      </c>
      <c r="C119">
        <f>YEAR(timeseries_access_key_fqeas14oitk235763mntlb1c0brnk9w3fenzqbk313q5kvxyf52kukw1pa[[#This Row],[Name]])</f>
        <v>2022</v>
      </c>
      <c r="D119">
        <v>9.5829210134128004</v>
      </c>
      <c r="E119">
        <f>IF(timeseries_access_key_fqeas14oitk235763mntlb1c0brnk9w3fenzqbk313q5kvxyf52kukw1pa[[#This Row],[Value.LME-ZNC]]="",0,timeseries_access_key_fqeas14oitk235763mntlb1c0brnk9w3fenzqbk313q5kvxyf52kukw1pa[[#This Row],[Value.LME-ZNC]])</f>
        <v>9.5829210134128004</v>
      </c>
      <c r="F119" s="2">
        <f t="shared" si="1"/>
        <v>0.22120408352667575</v>
      </c>
    </row>
    <row r="120" spans="1:6" x14ac:dyDescent="0.25">
      <c r="A120" s="1">
        <v>44778</v>
      </c>
      <c r="B120">
        <f>MONTH(timeseries_access_key_fqeas14oitk235763mntlb1c0brnk9w3fenzqbk313q5kvxyf52kukw1pa[[#This Row],[Name]])</f>
        <v>8</v>
      </c>
      <c r="C120">
        <f>YEAR(timeseries_access_key_fqeas14oitk235763mntlb1c0brnk9w3fenzqbk313q5kvxyf52kukw1pa[[#This Row],[Name]])</f>
        <v>2022</v>
      </c>
      <c r="D120">
        <v>9.3706499562809995</v>
      </c>
      <c r="E120">
        <f>IF(timeseries_access_key_fqeas14oitk235763mntlb1c0brnk9w3fenzqbk313q5kvxyf52kukw1pa[[#This Row],[Value.LME-ZNC]]="",0,timeseries_access_key_fqeas14oitk235763mntlb1c0brnk9w3fenzqbk313q5kvxyf52kukw1pa[[#This Row],[Value.LME-ZNC]])</f>
        <v>9.3706499562809995</v>
      </c>
      <c r="F120" s="2">
        <f t="shared" si="1"/>
        <v>0.20356220881670284</v>
      </c>
    </row>
    <row r="121" spans="1:6" x14ac:dyDescent="0.25">
      <c r="A121" s="1">
        <v>44779</v>
      </c>
      <c r="B121">
        <f>MONTH(timeseries_access_key_fqeas14oitk235763mntlb1c0brnk9w3fenzqbk313q5kvxyf52kukw1pa[[#This Row],[Name]])</f>
        <v>8</v>
      </c>
      <c r="C121">
        <f>YEAR(timeseries_access_key_fqeas14oitk235763mntlb1c0brnk9w3fenzqbk313q5kvxyf52kukw1pa[[#This Row],[Name]])</f>
        <v>2022</v>
      </c>
      <c r="D121">
        <v>9.0565352112675992</v>
      </c>
      <c r="E121">
        <f>IF(timeseries_access_key_fqeas14oitk235763mntlb1c0brnk9w3fenzqbk313q5kvxyf52kukw1pa[[#This Row],[Value.LME-ZNC]]="",0,timeseries_access_key_fqeas14oitk235763mntlb1c0brnk9w3fenzqbk313q5kvxyf52kukw1pa[[#This Row],[Value.LME-ZNC]])</f>
        <v>9.0565352112675992</v>
      </c>
      <c r="F121" s="2">
        <f t="shared" si="1"/>
        <v>0.17593874709976198</v>
      </c>
    </row>
    <row r="122" spans="1:6" x14ac:dyDescent="0.25">
      <c r="A122" s="1">
        <v>44781</v>
      </c>
      <c r="B122">
        <f>MONTH(timeseries_access_key_fqeas14oitk235763mntlb1c0brnk9w3fenzqbk313q5kvxyf52kukw1pa[[#This Row],[Name]])</f>
        <v>8</v>
      </c>
      <c r="C122">
        <f>YEAR(timeseries_access_key_fqeas14oitk235763mntlb1c0brnk9w3fenzqbk313q5kvxyf52kukw1pa[[#This Row],[Name]])</f>
        <v>2022</v>
      </c>
      <c r="D122">
        <v>9.0565352112675992</v>
      </c>
      <c r="E122">
        <f>IF(timeseries_access_key_fqeas14oitk235763mntlb1c0brnk9w3fenzqbk313q5kvxyf52kukw1pa[[#This Row],[Value.LME-ZNC]]="",0,timeseries_access_key_fqeas14oitk235763mntlb1c0brnk9w3fenzqbk313q5kvxyf52kukw1pa[[#This Row],[Value.LME-ZNC]])</f>
        <v>9.0565352112675992</v>
      </c>
      <c r="F122" s="2">
        <f t="shared" si="1"/>
        <v>0.17593874709976198</v>
      </c>
    </row>
    <row r="123" spans="1:6" x14ac:dyDescent="0.25">
      <c r="A123" s="1">
        <v>44782</v>
      </c>
      <c r="B123">
        <f>MONTH(timeseries_access_key_fqeas14oitk235763mntlb1c0brnk9w3fenzqbk313q5kvxyf52kukw1pa[[#This Row],[Name]])</f>
        <v>8</v>
      </c>
      <c r="C123">
        <f>YEAR(timeseries_access_key_fqeas14oitk235763mntlb1c0brnk9w3fenzqbk313q5kvxyf52kukw1pa[[#This Row],[Name]])</f>
        <v>2022</v>
      </c>
      <c r="D123">
        <v>9.1675791274593994</v>
      </c>
      <c r="E123">
        <f>IF(timeseries_access_key_fqeas14oitk235763mntlb1c0brnk9w3fenzqbk313q5kvxyf52kukw1pa[[#This Row],[Value.LME-ZNC]]="",0,timeseries_access_key_fqeas14oitk235763mntlb1c0brnk9w3fenzqbk313q5kvxyf52kukw1pa[[#This Row],[Value.LME-ZNC]])</f>
        <v>9.1675791274593994</v>
      </c>
      <c r="F123" s="2">
        <f t="shared" si="1"/>
        <v>0.18592033410672604</v>
      </c>
    </row>
    <row r="124" spans="1:6" x14ac:dyDescent="0.25">
      <c r="A124" s="1">
        <v>44783</v>
      </c>
      <c r="B124">
        <f>MONTH(timeseries_access_key_fqeas14oitk235763mntlb1c0brnk9w3fenzqbk313q5kvxyf52kukw1pa[[#This Row],[Name]])</f>
        <v>8</v>
      </c>
      <c r="C124">
        <f>YEAR(timeseries_access_key_fqeas14oitk235763mntlb1c0brnk9w3fenzqbk313q5kvxyf52kukw1pa[[#This Row],[Name]])</f>
        <v>2022</v>
      </c>
      <c r="D124">
        <v>8.9881744478613008</v>
      </c>
      <c r="E124">
        <f>IF(timeseries_access_key_fqeas14oitk235763mntlb1c0brnk9w3fenzqbk313q5kvxyf52kukw1pa[[#This Row],[Value.LME-ZNC]]="",0,timeseries_access_key_fqeas14oitk235763mntlb1c0brnk9w3fenzqbk313q5kvxyf52kukw1pa[[#This Row],[Value.LME-ZNC]])</f>
        <v>8.9881744478613008</v>
      </c>
      <c r="F124" s="2">
        <f t="shared" si="1"/>
        <v>0.16967123897910963</v>
      </c>
    </row>
    <row r="125" spans="1:6" x14ac:dyDescent="0.25">
      <c r="A125" s="1">
        <v>44784</v>
      </c>
      <c r="B125">
        <f>MONTH(timeseries_access_key_fqeas14oitk235763mntlb1c0brnk9w3fenzqbk313q5kvxyf52kukw1pa[[#This Row],[Name]])</f>
        <v>8</v>
      </c>
      <c r="C125">
        <f>YEAR(timeseries_access_key_fqeas14oitk235763mntlb1c0brnk9w3fenzqbk313q5kvxyf52kukw1pa[[#This Row],[Name]])</f>
        <v>2022</v>
      </c>
      <c r="D125">
        <v>8.9881744478613008</v>
      </c>
      <c r="E125">
        <f>IF(timeseries_access_key_fqeas14oitk235763mntlb1c0brnk9w3fenzqbk313q5kvxyf52kukw1pa[[#This Row],[Value.LME-ZNC]]="",0,timeseries_access_key_fqeas14oitk235763mntlb1c0brnk9w3fenzqbk313q5kvxyf52kukw1pa[[#This Row],[Value.LME-ZNC]])</f>
        <v>8.9881744478613008</v>
      </c>
      <c r="F125" s="2">
        <f t="shared" si="1"/>
        <v>0.16967123897910963</v>
      </c>
    </row>
    <row r="126" spans="1:6" x14ac:dyDescent="0.25">
      <c r="A126" s="1">
        <v>44785</v>
      </c>
      <c r="B126">
        <f>MONTH(timeseries_access_key_fqeas14oitk235763mntlb1c0brnk9w3fenzqbk313q5kvxyf52kukw1pa[[#This Row],[Name]])</f>
        <v>8</v>
      </c>
      <c r="C126">
        <f>YEAR(timeseries_access_key_fqeas14oitk235763mntlb1c0brnk9w3fenzqbk313q5kvxyf52kukw1pa[[#This Row],[Name]])</f>
        <v>2022</v>
      </c>
      <c r="D126">
        <v>8.6264287630802006</v>
      </c>
      <c r="E126">
        <f>IF(timeseries_access_key_fqeas14oitk235763mntlb1c0brnk9w3fenzqbk313q5kvxyf52kukw1pa[[#This Row],[Value.LME-ZNC]]="",0,timeseries_access_key_fqeas14oitk235763mntlb1c0brnk9w3fenzqbk313q5kvxyf52kukw1pa[[#This Row],[Value.LME-ZNC]])</f>
        <v>8.6264287630802006</v>
      </c>
      <c r="F126" s="2">
        <f t="shared" si="1"/>
        <v>0.13485174941994538</v>
      </c>
    </row>
    <row r="127" spans="1:6" x14ac:dyDescent="0.25">
      <c r="A127" s="1">
        <v>44786</v>
      </c>
      <c r="B127">
        <f>MONTH(timeseries_access_key_fqeas14oitk235763mntlb1c0brnk9w3fenzqbk313q5kvxyf52kukw1pa[[#This Row],[Name]])</f>
        <v>8</v>
      </c>
      <c r="C127">
        <f>YEAR(timeseries_access_key_fqeas14oitk235763mntlb1c0brnk9w3fenzqbk313q5kvxyf52kukw1pa[[#This Row],[Name]])</f>
        <v>2022</v>
      </c>
      <c r="D127">
        <v>8.7556372549020001</v>
      </c>
      <c r="E127">
        <f>IF(timeseries_access_key_fqeas14oitk235763mntlb1c0brnk9w3fenzqbk313q5kvxyf52kukw1pa[[#This Row],[Value.LME-ZNC]]="",0,timeseries_access_key_fqeas14oitk235763mntlb1c0brnk9w3fenzqbk313q5kvxyf52kukw1pa[[#This Row],[Value.LME-ZNC]])</f>
        <v>8.7556372549020001</v>
      </c>
      <c r="F127" s="2">
        <f t="shared" si="1"/>
        <v>0.14761889559164554</v>
      </c>
    </row>
    <row r="128" spans="1:6" x14ac:dyDescent="0.25">
      <c r="A128" s="1">
        <v>44787</v>
      </c>
      <c r="B128">
        <f>MONTH(timeseries_access_key_fqeas14oitk235763mntlb1c0brnk9w3fenzqbk313q5kvxyf52kukw1pa[[#This Row],[Name]])</f>
        <v>8</v>
      </c>
      <c r="C128">
        <f>YEAR(timeseries_access_key_fqeas14oitk235763mntlb1c0brnk9w3fenzqbk313q5kvxyf52kukw1pa[[#This Row],[Name]])</f>
        <v>2022</v>
      </c>
      <c r="D128">
        <v>8.7556372549020001</v>
      </c>
      <c r="E128">
        <f>IF(timeseries_access_key_fqeas14oitk235763mntlb1c0brnk9w3fenzqbk313q5kvxyf52kukw1pa[[#This Row],[Value.LME-ZNC]]="",0,timeseries_access_key_fqeas14oitk235763mntlb1c0brnk9w3fenzqbk313q5kvxyf52kukw1pa[[#This Row],[Value.LME-ZNC]])</f>
        <v>8.7556372549020001</v>
      </c>
      <c r="F128" s="2">
        <f t="shared" si="1"/>
        <v>0.14761889559164554</v>
      </c>
    </row>
    <row r="129" spans="1:6" x14ac:dyDescent="0.25">
      <c r="A129" s="1">
        <v>44788</v>
      </c>
      <c r="B129">
        <f>MONTH(timeseries_access_key_fqeas14oitk235763mntlb1c0brnk9w3fenzqbk313q5kvxyf52kukw1pa[[#This Row],[Name]])</f>
        <v>8</v>
      </c>
      <c r="C129">
        <f>YEAR(timeseries_access_key_fqeas14oitk235763mntlb1c0brnk9w3fenzqbk313q5kvxyf52kukw1pa[[#This Row],[Name]])</f>
        <v>2022</v>
      </c>
      <c r="D129">
        <v>8.7556372549020001</v>
      </c>
      <c r="E129">
        <f>IF(timeseries_access_key_fqeas14oitk235763mntlb1c0brnk9w3fenzqbk313q5kvxyf52kukw1pa[[#This Row],[Value.LME-ZNC]]="",0,timeseries_access_key_fqeas14oitk235763mntlb1c0brnk9w3fenzqbk313q5kvxyf52kukw1pa[[#This Row],[Value.LME-ZNC]])</f>
        <v>8.7556372549020001</v>
      </c>
      <c r="F129" s="2">
        <f t="shared" si="1"/>
        <v>0.14761889559164554</v>
      </c>
    </row>
    <row r="130" spans="1:6" x14ac:dyDescent="0.25">
      <c r="A130" s="1">
        <v>44789</v>
      </c>
      <c r="B130">
        <f>MONTH(timeseries_access_key_fqeas14oitk235763mntlb1c0brnk9w3fenzqbk313q5kvxyf52kukw1pa[[#This Row],[Name]])</f>
        <v>8</v>
      </c>
      <c r="C130">
        <f>YEAR(timeseries_access_key_fqeas14oitk235763mntlb1c0brnk9w3fenzqbk313q5kvxyf52kukw1pa[[#This Row],[Name]])</f>
        <v>2022</v>
      </c>
      <c r="D130">
        <v>8.8789560894780006</v>
      </c>
      <c r="E130">
        <f>IF(timeseries_access_key_fqeas14oitk235763mntlb1c0brnk9w3fenzqbk313q5kvxyf52kukw1pa[[#This Row],[Value.LME-ZNC]]="",0,timeseries_access_key_fqeas14oitk235763mntlb1c0brnk9w3fenzqbk313q5kvxyf52kukw1pa[[#This Row],[Value.LME-ZNC]])</f>
        <v>8.8789560894780006</v>
      </c>
      <c r="F130" s="2">
        <f t="shared" ref="F130:F193" si="2">IFERROR(1-(D$2/D130),0)</f>
        <v>0.15945752204175367</v>
      </c>
    </row>
    <row r="131" spans="1:6" x14ac:dyDescent="0.25">
      <c r="A131" s="1">
        <v>44790</v>
      </c>
      <c r="B131">
        <f>MONTH(timeseries_access_key_fqeas14oitk235763mntlb1c0brnk9w3fenzqbk313q5kvxyf52kukw1pa[[#This Row],[Name]])</f>
        <v>8</v>
      </c>
      <c r="C131">
        <f>YEAR(timeseries_access_key_fqeas14oitk235763mntlb1c0brnk9w3fenzqbk313q5kvxyf52kukw1pa[[#This Row],[Name]])</f>
        <v>2022</v>
      </c>
      <c r="D131">
        <v>8.2926747485168999</v>
      </c>
      <c r="E131">
        <f>IF(timeseries_access_key_fqeas14oitk235763mntlb1c0brnk9w3fenzqbk313q5kvxyf52kukw1pa[[#This Row],[Value.LME-ZNC]]="",0,timeseries_access_key_fqeas14oitk235763mntlb1c0brnk9w3fenzqbk313q5kvxyf52kukw1pa[[#This Row],[Value.LME-ZNC]])</f>
        <v>8.2926747485168999</v>
      </c>
      <c r="F131" s="2">
        <f t="shared" si="2"/>
        <v>0.10003225986078357</v>
      </c>
    </row>
    <row r="132" spans="1:6" x14ac:dyDescent="0.25">
      <c r="A132" s="1">
        <v>44791</v>
      </c>
      <c r="B132">
        <f>MONTH(timeseries_access_key_fqeas14oitk235763mntlb1c0brnk9w3fenzqbk313q5kvxyf52kukw1pa[[#This Row],[Name]])</f>
        <v>8</v>
      </c>
      <c r="C132">
        <f>YEAR(timeseries_access_key_fqeas14oitk235763mntlb1c0brnk9w3fenzqbk313q5kvxyf52kukw1pa[[#This Row],[Name]])</f>
        <v>2022</v>
      </c>
      <c r="D132">
        <v>8.8435428414247994</v>
      </c>
      <c r="E132">
        <f>IF(timeseries_access_key_fqeas14oitk235763mntlb1c0brnk9w3fenzqbk313q5kvxyf52kukw1pa[[#This Row],[Value.LME-ZNC]]="",0,timeseries_access_key_fqeas14oitk235763mntlb1c0brnk9w3fenzqbk313q5kvxyf52kukw1pa[[#This Row],[Value.LME-ZNC]])</f>
        <v>8.8435428414247994</v>
      </c>
      <c r="F132" s="2">
        <f t="shared" si="2"/>
        <v>0.15609163805103476</v>
      </c>
    </row>
    <row r="133" spans="1:6" x14ac:dyDescent="0.25">
      <c r="A133" s="1">
        <v>44792</v>
      </c>
      <c r="B133">
        <f>MONTH(timeseries_access_key_fqeas14oitk235763mntlb1c0brnk9w3fenzqbk313q5kvxyf52kukw1pa[[#This Row],[Name]])</f>
        <v>8</v>
      </c>
      <c r="C133">
        <f>YEAR(timeseries_access_key_fqeas14oitk235763mntlb1c0brnk9w3fenzqbk313q5kvxyf52kukw1pa[[#This Row],[Name]])</f>
        <v>2022</v>
      </c>
      <c r="D133">
        <v>8.9957190822608002</v>
      </c>
      <c r="E133">
        <f>IF(timeseries_access_key_fqeas14oitk235763mntlb1c0brnk9w3fenzqbk313q5kvxyf52kukw1pa[[#This Row],[Value.LME-ZNC]]="",0,timeseries_access_key_fqeas14oitk235763mntlb1c0brnk9w3fenzqbk313q5kvxyf52kukw1pa[[#This Row],[Value.LME-ZNC]])</f>
        <v>8.9957190822608002</v>
      </c>
      <c r="F133" s="2">
        <f t="shared" si="2"/>
        <v>0.17036762877029876</v>
      </c>
    </row>
    <row r="134" spans="1:6" x14ac:dyDescent="0.25">
      <c r="A134" s="1">
        <v>44793</v>
      </c>
      <c r="B134">
        <f>MONTH(timeseries_access_key_fqeas14oitk235763mntlb1c0brnk9w3fenzqbk313q5kvxyf52kukw1pa[[#This Row],[Name]])</f>
        <v>8</v>
      </c>
      <c r="C134">
        <f>YEAR(timeseries_access_key_fqeas14oitk235763mntlb1c0brnk9w3fenzqbk313q5kvxyf52kukw1pa[[#This Row],[Name]])</f>
        <v>2022</v>
      </c>
      <c r="D134">
        <v>9.1026896942241997</v>
      </c>
      <c r="E134">
        <f>IF(timeseries_access_key_fqeas14oitk235763mntlb1c0brnk9w3fenzqbk313q5kvxyf52kukw1pa[[#This Row],[Value.LME-ZNC]]="",0,timeseries_access_key_fqeas14oitk235763mntlb1c0brnk9w3fenzqbk313q5kvxyf52kukw1pa[[#This Row],[Value.LME-ZNC]])</f>
        <v>9.1026896942241997</v>
      </c>
      <c r="F134" s="2">
        <f t="shared" si="2"/>
        <v>0.18011708584685915</v>
      </c>
    </row>
    <row r="135" spans="1:6" x14ac:dyDescent="0.25">
      <c r="A135" s="1">
        <v>44794</v>
      </c>
      <c r="B135">
        <f>MONTH(timeseries_access_key_fqeas14oitk235763mntlb1c0brnk9w3fenzqbk313q5kvxyf52kukw1pa[[#This Row],[Name]])</f>
        <v>8</v>
      </c>
      <c r="C135">
        <f>YEAR(timeseries_access_key_fqeas14oitk235763mntlb1c0brnk9w3fenzqbk313q5kvxyf52kukw1pa[[#This Row],[Name]])</f>
        <v>2022</v>
      </c>
      <c r="D135">
        <v>9.1026896942241997</v>
      </c>
      <c r="E135">
        <f>IF(timeseries_access_key_fqeas14oitk235763mntlb1c0brnk9w3fenzqbk313q5kvxyf52kukw1pa[[#This Row],[Value.LME-ZNC]]="",0,timeseries_access_key_fqeas14oitk235763mntlb1c0brnk9w3fenzqbk313q5kvxyf52kukw1pa[[#This Row],[Value.LME-ZNC]])</f>
        <v>9.1026896942241997</v>
      </c>
      <c r="F135" s="2">
        <f t="shared" si="2"/>
        <v>0.18011708584685915</v>
      </c>
    </row>
    <row r="136" spans="1:6" x14ac:dyDescent="0.25">
      <c r="A136" s="1">
        <v>44795</v>
      </c>
      <c r="B136">
        <f>MONTH(timeseries_access_key_fqeas14oitk235763mntlb1c0brnk9w3fenzqbk313q5kvxyf52kukw1pa[[#This Row],[Name]])</f>
        <v>8</v>
      </c>
      <c r="C136">
        <f>YEAR(timeseries_access_key_fqeas14oitk235763mntlb1c0brnk9w3fenzqbk313q5kvxyf52kukw1pa[[#This Row],[Name]])</f>
        <v>2022</v>
      </c>
      <c r="D136">
        <v>9.1026896942241997</v>
      </c>
      <c r="E136">
        <f>IF(timeseries_access_key_fqeas14oitk235763mntlb1c0brnk9w3fenzqbk313q5kvxyf52kukw1pa[[#This Row],[Value.LME-ZNC]]="",0,timeseries_access_key_fqeas14oitk235763mntlb1c0brnk9w3fenzqbk313q5kvxyf52kukw1pa[[#This Row],[Value.LME-ZNC]])</f>
        <v>9.1026896942241997</v>
      </c>
      <c r="F136" s="2">
        <f t="shared" si="2"/>
        <v>0.18011708584685915</v>
      </c>
    </row>
    <row r="137" spans="1:6" x14ac:dyDescent="0.25">
      <c r="A137" s="1">
        <v>44797</v>
      </c>
      <c r="B137">
        <f>MONTH(timeseries_access_key_fqeas14oitk235763mntlb1c0brnk9w3fenzqbk313q5kvxyf52kukw1pa[[#This Row],[Name]])</f>
        <v>8</v>
      </c>
      <c r="C137">
        <f>YEAR(timeseries_access_key_fqeas14oitk235763mntlb1c0brnk9w3fenzqbk313q5kvxyf52kukw1pa[[#This Row],[Name]])</f>
        <v>2022</v>
      </c>
      <c r="D137">
        <v>9.1337215909091007</v>
      </c>
      <c r="E137">
        <f>IF(timeseries_access_key_fqeas14oitk235763mntlb1c0brnk9w3fenzqbk313q5kvxyf52kukw1pa[[#This Row],[Value.LME-ZNC]]="",0,timeseries_access_key_fqeas14oitk235763mntlb1c0brnk9w3fenzqbk313q5kvxyf52kukw1pa[[#This Row],[Value.LME-ZNC]])</f>
        <v>9.1337215909091007</v>
      </c>
      <c r="F137" s="2">
        <f t="shared" si="2"/>
        <v>0.18290264501159648</v>
      </c>
    </row>
    <row r="138" spans="1:6" x14ac:dyDescent="0.25">
      <c r="A138" s="1">
        <v>44798</v>
      </c>
      <c r="B138">
        <f>MONTH(timeseries_access_key_fqeas14oitk235763mntlb1c0brnk9w3fenzqbk313q5kvxyf52kukw1pa[[#This Row],[Name]])</f>
        <v>8</v>
      </c>
      <c r="C138">
        <f>YEAR(timeseries_access_key_fqeas14oitk235763mntlb1c0brnk9w3fenzqbk313q5kvxyf52kukw1pa[[#This Row],[Name]])</f>
        <v>2022</v>
      </c>
      <c r="D138">
        <v>9.0285593934288002</v>
      </c>
      <c r="E138">
        <f>IF(timeseries_access_key_fqeas14oitk235763mntlb1c0brnk9w3fenzqbk313q5kvxyf52kukw1pa[[#This Row],[Value.LME-ZNC]]="",0,timeseries_access_key_fqeas14oitk235763mntlb1c0brnk9w3fenzqbk313q5kvxyf52kukw1pa[[#This Row],[Value.LME-ZNC]])</f>
        <v>9.0285593934288002</v>
      </c>
      <c r="F138" s="2">
        <f t="shared" si="2"/>
        <v>0.17338531786542266</v>
      </c>
    </row>
    <row r="139" spans="1:6" x14ac:dyDescent="0.25">
      <c r="A139" s="1">
        <v>44799</v>
      </c>
      <c r="B139">
        <f>MONTH(timeseries_access_key_fqeas14oitk235763mntlb1c0brnk9w3fenzqbk313q5kvxyf52kukw1pa[[#This Row],[Name]])</f>
        <v>8</v>
      </c>
      <c r="C139">
        <f>YEAR(timeseries_access_key_fqeas14oitk235763mntlb1c0brnk9w3fenzqbk313q5kvxyf52kukw1pa[[#This Row],[Name]])</f>
        <v>2022</v>
      </c>
      <c r="D139">
        <v>8.8765046935395002</v>
      </c>
      <c r="E139">
        <f>IF(timeseries_access_key_fqeas14oitk235763mntlb1c0brnk9w3fenzqbk313q5kvxyf52kukw1pa[[#This Row],[Value.LME-ZNC]]="",0,timeseries_access_key_fqeas14oitk235763mntlb1c0brnk9w3fenzqbk313q5kvxyf52kukw1pa[[#This Row],[Value.LME-ZNC]])</f>
        <v>8.8765046935395002</v>
      </c>
      <c r="F139" s="2">
        <f t="shared" si="2"/>
        <v>0.15922539211136522</v>
      </c>
    </row>
    <row r="140" spans="1:6" x14ac:dyDescent="0.25">
      <c r="A140" s="1">
        <v>44800</v>
      </c>
      <c r="B140">
        <f>MONTH(timeseries_access_key_fqeas14oitk235763mntlb1c0brnk9w3fenzqbk313q5kvxyf52kukw1pa[[#This Row],[Name]])</f>
        <v>8</v>
      </c>
      <c r="C140">
        <f>YEAR(timeseries_access_key_fqeas14oitk235763mntlb1c0brnk9w3fenzqbk313q5kvxyf52kukw1pa[[#This Row],[Name]])</f>
        <v>2022</v>
      </c>
      <c r="D140">
        <v>8.7413539967374003</v>
      </c>
      <c r="E140">
        <f>IF(timeseries_access_key_fqeas14oitk235763mntlb1c0brnk9w3fenzqbk313q5kvxyf52kukw1pa[[#This Row],[Value.LME-ZNC]]="",0,timeseries_access_key_fqeas14oitk235763mntlb1c0brnk9w3fenzqbk313q5kvxyf52kukw1pa[[#This Row],[Value.LME-ZNC]])</f>
        <v>8.7413539967374003</v>
      </c>
      <c r="F140" s="2">
        <f t="shared" si="2"/>
        <v>0.14622611600927937</v>
      </c>
    </row>
    <row r="141" spans="1:6" x14ac:dyDescent="0.25">
      <c r="A141" s="1">
        <v>44801</v>
      </c>
      <c r="B141">
        <f>MONTH(timeseries_access_key_fqeas14oitk235763mntlb1c0brnk9w3fenzqbk313q5kvxyf52kukw1pa[[#This Row],[Name]])</f>
        <v>8</v>
      </c>
      <c r="C141">
        <f>YEAR(timeseries_access_key_fqeas14oitk235763mntlb1c0brnk9w3fenzqbk313q5kvxyf52kukw1pa[[#This Row],[Name]])</f>
        <v>2022</v>
      </c>
      <c r="D141">
        <v>8.7413539967374003</v>
      </c>
      <c r="E141">
        <f>IF(timeseries_access_key_fqeas14oitk235763mntlb1c0brnk9w3fenzqbk313q5kvxyf52kukw1pa[[#This Row],[Value.LME-ZNC]]="",0,timeseries_access_key_fqeas14oitk235763mntlb1c0brnk9w3fenzqbk313q5kvxyf52kukw1pa[[#This Row],[Value.LME-ZNC]])</f>
        <v>8.7413539967374003</v>
      </c>
      <c r="F141" s="2">
        <f t="shared" si="2"/>
        <v>0.14622611600927937</v>
      </c>
    </row>
    <row r="142" spans="1:6" x14ac:dyDescent="0.25">
      <c r="A142" s="1">
        <v>44802</v>
      </c>
      <c r="B142">
        <f>MONTH(timeseries_access_key_fqeas14oitk235763mntlb1c0brnk9w3fenzqbk313q5kvxyf52kukw1pa[[#This Row],[Name]])</f>
        <v>8</v>
      </c>
      <c r="C142">
        <f>YEAR(timeseries_access_key_fqeas14oitk235763mntlb1c0brnk9w3fenzqbk313q5kvxyf52kukw1pa[[#This Row],[Name]])</f>
        <v>2022</v>
      </c>
      <c r="D142">
        <v>8.7413539967374003</v>
      </c>
      <c r="E142">
        <f>IF(timeseries_access_key_fqeas14oitk235763mntlb1c0brnk9w3fenzqbk313q5kvxyf52kukw1pa[[#This Row],[Value.LME-ZNC]]="",0,timeseries_access_key_fqeas14oitk235763mntlb1c0brnk9w3fenzqbk313q5kvxyf52kukw1pa[[#This Row],[Value.LME-ZNC]])</f>
        <v>8.7413539967374003</v>
      </c>
      <c r="F142" s="2">
        <f t="shared" si="2"/>
        <v>0.14622611600927937</v>
      </c>
    </row>
    <row r="143" spans="1:6" x14ac:dyDescent="0.25">
      <c r="A143" s="1">
        <v>44803</v>
      </c>
      <c r="B143">
        <f>MONTH(timeseries_access_key_fqeas14oitk235763mntlb1c0brnk9w3fenzqbk313q5kvxyf52kukw1pa[[#This Row],[Name]])</f>
        <v>8</v>
      </c>
      <c r="C143">
        <f>YEAR(timeseries_access_key_fqeas14oitk235763mntlb1c0brnk9w3fenzqbk313q5kvxyf52kukw1pa[[#This Row],[Name]])</f>
        <v>2022</v>
      </c>
      <c r="D143">
        <v>8.7413539967374003</v>
      </c>
      <c r="E143">
        <f>IF(timeseries_access_key_fqeas14oitk235763mntlb1c0brnk9w3fenzqbk313q5kvxyf52kukw1pa[[#This Row],[Value.LME-ZNC]]="",0,timeseries_access_key_fqeas14oitk235763mntlb1c0brnk9w3fenzqbk313q5kvxyf52kukw1pa[[#This Row],[Value.LME-ZNC]])</f>
        <v>8.7413539967374003</v>
      </c>
      <c r="F143" s="2">
        <f t="shared" si="2"/>
        <v>0.14622611600927937</v>
      </c>
    </row>
    <row r="144" spans="1:6" x14ac:dyDescent="0.25">
      <c r="A144" s="1">
        <v>44804</v>
      </c>
      <c r="B144">
        <f>MONTH(timeseries_access_key_fqeas14oitk235763mntlb1c0brnk9w3fenzqbk313q5kvxyf52kukw1pa[[#This Row],[Name]])</f>
        <v>8</v>
      </c>
      <c r="C144">
        <f>YEAR(timeseries_access_key_fqeas14oitk235763mntlb1c0brnk9w3fenzqbk313q5kvxyf52kukw1pa[[#This Row],[Name]])</f>
        <v>2022</v>
      </c>
      <c r="D144">
        <v>8.9506403118039994</v>
      </c>
      <c r="E144">
        <f>IF(timeseries_access_key_fqeas14oitk235763mntlb1c0brnk9w3fenzqbk313q5kvxyf52kukw1pa[[#This Row],[Value.LME-ZNC]]="",0,timeseries_access_key_fqeas14oitk235763mntlb1c0brnk9w3fenzqbk313q5kvxyf52kukw1pa[[#This Row],[Value.LME-ZNC]])</f>
        <v>8.9506403118039994</v>
      </c>
      <c r="F144" s="2">
        <f t="shared" si="2"/>
        <v>0.16618929002319549</v>
      </c>
    </row>
    <row r="145" spans="1:6" x14ac:dyDescent="0.25">
      <c r="A145" s="1">
        <v>44805</v>
      </c>
      <c r="B145">
        <f>MONTH(timeseries_access_key_fqeas14oitk235763mntlb1c0brnk9w3fenzqbk313q5kvxyf52kukw1pa[[#This Row],[Name]])</f>
        <v>9</v>
      </c>
      <c r="C145">
        <f>YEAR(timeseries_access_key_fqeas14oitk235763mntlb1c0brnk9w3fenzqbk313q5kvxyf52kukw1pa[[#This Row],[Name]])</f>
        <v>2022</v>
      </c>
      <c r="D145">
        <v>9.0821186440677995</v>
      </c>
      <c r="E145">
        <f>IF(timeseries_access_key_fqeas14oitk235763mntlb1c0brnk9w3fenzqbk313q5kvxyf52kukw1pa[[#This Row],[Value.LME-ZNC]]="",0,timeseries_access_key_fqeas14oitk235763mntlb1c0brnk9w3fenzqbk313q5kvxyf52kukw1pa[[#This Row],[Value.LME-ZNC]])</f>
        <v>9.0821186440677995</v>
      </c>
      <c r="F145" s="2">
        <f t="shared" si="2"/>
        <v>0.17826004640370718</v>
      </c>
    </row>
    <row r="146" spans="1:6" x14ac:dyDescent="0.25">
      <c r="A146" s="1">
        <v>44806</v>
      </c>
      <c r="B146">
        <f>MONTH(timeseries_access_key_fqeas14oitk235763mntlb1c0brnk9w3fenzqbk313q5kvxyf52kukw1pa[[#This Row],[Name]])</f>
        <v>9</v>
      </c>
      <c r="C146">
        <f>YEAR(timeseries_access_key_fqeas14oitk235763mntlb1c0brnk9w3fenzqbk313q5kvxyf52kukw1pa[[#This Row],[Name]])</f>
        <v>2022</v>
      </c>
      <c r="D146">
        <v>9.0821186440677995</v>
      </c>
      <c r="E146">
        <f>IF(timeseries_access_key_fqeas14oitk235763mntlb1c0brnk9w3fenzqbk313q5kvxyf52kukw1pa[[#This Row],[Value.LME-ZNC]]="",0,timeseries_access_key_fqeas14oitk235763mntlb1c0brnk9w3fenzqbk313q5kvxyf52kukw1pa[[#This Row],[Value.LME-ZNC]])</f>
        <v>9.0821186440677995</v>
      </c>
      <c r="F146" s="2">
        <f t="shared" si="2"/>
        <v>0.17826004640370718</v>
      </c>
    </row>
    <row r="147" spans="1:6" x14ac:dyDescent="0.25">
      <c r="A147" s="1">
        <v>44807</v>
      </c>
      <c r="B147">
        <f>MONTH(timeseries_access_key_fqeas14oitk235763mntlb1c0brnk9w3fenzqbk313q5kvxyf52kukw1pa[[#This Row],[Name]])</f>
        <v>9</v>
      </c>
      <c r="C147">
        <f>YEAR(timeseries_access_key_fqeas14oitk235763mntlb1c0brnk9w3fenzqbk313q5kvxyf52kukw1pa[[#This Row],[Name]])</f>
        <v>2022</v>
      </c>
      <c r="D147">
        <v>10.224423596756001</v>
      </c>
      <c r="E147">
        <f>IF(timeseries_access_key_fqeas14oitk235763mntlb1c0brnk9w3fenzqbk313q5kvxyf52kukw1pa[[#This Row],[Value.LME-ZNC]]="",0,timeseries_access_key_fqeas14oitk235763mntlb1c0brnk9w3fenzqbk313q5kvxyf52kukw1pa[[#This Row],[Value.LME-ZNC]])</f>
        <v>10.224423596756001</v>
      </c>
      <c r="F147" s="2">
        <f t="shared" si="2"/>
        <v>0.27006743387468801</v>
      </c>
    </row>
    <row r="148" spans="1:6" x14ac:dyDescent="0.25">
      <c r="A148" s="1">
        <v>44811</v>
      </c>
      <c r="B148">
        <f>MONTH(timeseries_access_key_fqeas14oitk235763mntlb1c0brnk9w3fenzqbk313q5kvxyf52kukw1pa[[#This Row],[Name]])</f>
        <v>9</v>
      </c>
      <c r="C148">
        <f>YEAR(timeseries_access_key_fqeas14oitk235763mntlb1c0brnk9w3fenzqbk313q5kvxyf52kukw1pa[[#This Row],[Name]])</f>
        <v>2022</v>
      </c>
      <c r="D148">
        <v>9.9940006216972002</v>
      </c>
      <c r="E148">
        <f>IF(timeseries_access_key_fqeas14oitk235763mntlb1c0brnk9w3fenzqbk313q5kvxyf52kukw1pa[[#This Row],[Value.LME-ZNC]]="",0,timeseries_access_key_fqeas14oitk235763mntlb1c0brnk9w3fenzqbk313q5kvxyf52kukw1pa[[#This Row],[Value.LME-ZNC]])</f>
        <v>9.9940006216972002</v>
      </c>
      <c r="F148" s="2">
        <f t="shared" si="2"/>
        <v>0.25323801392110634</v>
      </c>
    </row>
    <row r="149" spans="1:6" x14ac:dyDescent="0.25">
      <c r="A149" s="1">
        <v>44812</v>
      </c>
      <c r="B149">
        <f>MONTH(timeseries_access_key_fqeas14oitk235763mntlb1c0brnk9w3fenzqbk313q5kvxyf52kukw1pa[[#This Row],[Name]])</f>
        <v>9</v>
      </c>
      <c r="C149">
        <f>YEAR(timeseries_access_key_fqeas14oitk235763mntlb1c0brnk9w3fenzqbk313q5kvxyf52kukw1pa[[#This Row],[Name]])</f>
        <v>2022</v>
      </c>
      <c r="D149">
        <v>10.138978240303</v>
      </c>
      <c r="E149">
        <f>IF(timeseries_access_key_fqeas14oitk235763mntlb1c0brnk9w3fenzqbk313q5kvxyf52kukw1pa[[#This Row],[Value.LME-ZNC]]="",0,timeseries_access_key_fqeas14oitk235763mntlb1c0brnk9w3fenzqbk313q5kvxyf52kukw1pa[[#This Row],[Value.LME-ZNC]])</f>
        <v>10.138978240303</v>
      </c>
      <c r="F149" s="2">
        <f t="shared" si="2"/>
        <v>0.2639159907192713</v>
      </c>
    </row>
    <row r="150" spans="1:6" x14ac:dyDescent="0.25">
      <c r="A150" s="1">
        <v>44813</v>
      </c>
      <c r="B150">
        <f>MONTH(timeseries_access_key_fqeas14oitk235763mntlb1c0brnk9w3fenzqbk313q5kvxyf52kukw1pa[[#This Row],[Name]])</f>
        <v>9</v>
      </c>
      <c r="C150">
        <f>YEAR(timeseries_access_key_fqeas14oitk235763mntlb1c0brnk9w3fenzqbk313q5kvxyf52kukw1pa[[#This Row],[Name]])</f>
        <v>2022</v>
      </c>
      <c r="D150">
        <v>10.07227443609</v>
      </c>
      <c r="E150">
        <f>IF(timeseries_access_key_fqeas14oitk235763mntlb1c0brnk9w3fenzqbk313q5kvxyf52kukw1pa[[#This Row],[Value.LME-ZNC]]="",0,timeseries_access_key_fqeas14oitk235763mntlb1c0brnk9w3fenzqbk313q5kvxyf52kukw1pa[[#This Row],[Value.LME-ZNC]])</f>
        <v>10.07227443609</v>
      </c>
      <c r="F150" s="2">
        <f t="shared" si="2"/>
        <v>0.25904126218095302</v>
      </c>
    </row>
    <row r="151" spans="1:6" x14ac:dyDescent="0.25">
      <c r="A151" s="1">
        <v>44814</v>
      </c>
      <c r="B151">
        <f>MONTH(timeseries_access_key_fqeas14oitk235763mntlb1c0brnk9w3fenzqbk313q5kvxyf52kukw1pa[[#This Row],[Name]])</f>
        <v>9</v>
      </c>
      <c r="C151">
        <f>YEAR(timeseries_access_key_fqeas14oitk235763mntlb1c0brnk9w3fenzqbk313q5kvxyf52kukw1pa[[#This Row],[Name]])</f>
        <v>2022</v>
      </c>
      <c r="D151">
        <v>10.07227443609</v>
      </c>
      <c r="E151">
        <f>IF(timeseries_access_key_fqeas14oitk235763mntlb1c0brnk9w3fenzqbk313q5kvxyf52kukw1pa[[#This Row],[Value.LME-ZNC]]="",0,timeseries_access_key_fqeas14oitk235763mntlb1c0brnk9w3fenzqbk313q5kvxyf52kukw1pa[[#This Row],[Value.LME-ZNC]])</f>
        <v>10.07227443609</v>
      </c>
      <c r="F151" s="2">
        <f t="shared" si="2"/>
        <v>0.25904126218095302</v>
      </c>
    </row>
    <row r="152" spans="1:6" x14ac:dyDescent="0.25">
      <c r="A152" s="1">
        <v>44815</v>
      </c>
      <c r="B152">
        <f>MONTH(timeseries_access_key_fqeas14oitk235763mntlb1c0brnk9w3fenzqbk313q5kvxyf52kukw1pa[[#This Row],[Name]])</f>
        <v>9</v>
      </c>
      <c r="C152">
        <f>YEAR(timeseries_access_key_fqeas14oitk235763mntlb1c0brnk9w3fenzqbk313q5kvxyf52kukw1pa[[#This Row],[Name]])</f>
        <v>2022</v>
      </c>
      <c r="D152">
        <v>10.07227443609</v>
      </c>
      <c r="E152">
        <f>IF(timeseries_access_key_fqeas14oitk235763mntlb1c0brnk9w3fenzqbk313q5kvxyf52kukw1pa[[#This Row],[Value.LME-ZNC]]="",0,timeseries_access_key_fqeas14oitk235763mntlb1c0brnk9w3fenzqbk313q5kvxyf52kukw1pa[[#This Row],[Value.LME-ZNC]])</f>
        <v>10.07227443609</v>
      </c>
      <c r="F152" s="2">
        <f t="shared" si="2"/>
        <v>0.25904126218095302</v>
      </c>
    </row>
    <row r="153" spans="1:6" x14ac:dyDescent="0.25">
      <c r="A153" s="1">
        <v>44816</v>
      </c>
      <c r="B153">
        <f>MONTH(timeseries_access_key_fqeas14oitk235763mntlb1c0brnk9w3fenzqbk313q5kvxyf52kukw1pa[[#This Row],[Name]])</f>
        <v>9</v>
      </c>
      <c r="C153">
        <f>YEAR(timeseries_access_key_fqeas14oitk235763mntlb1c0brnk9w3fenzqbk313q5kvxyf52kukw1pa[[#This Row],[Name]])</f>
        <v>2022</v>
      </c>
      <c r="D153">
        <v>10.07227443609</v>
      </c>
      <c r="E153">
        <f>IF(timeseries_access_key_fqeas14oitk235763mntlb1c0brnk9w3fenzqbk313q5kvxyf52kukw1pa[[#This Row],[Value.LME-ZNC]]="",0,timeseries_access_key_fqeas14oitk235763mntlb1c0brnk9w3fenzqbk313q5kvxyf52kukw1pa[[#This Row],[Value.LME-ZNC]])</f>
        <v>10.07227443609</v>
      </c>
      <c r="F153" s="2">
        <f t="shared" si="2"/>
        <v>0.25904126218095302</v>
      </c>
    </row>
    <row r="154" spans="1:6" x14ac:dyDescent="0.25">
      <c r="A154" s="1">
        <v>44817</v>
      </c>
      <c r="B154">
        <f>MONTH(timeseries_access_key_fqeas14oitk235763mntlb1c0brnk9w3fenzqbk313q5kvxyf52kukw1pa[[#This Row],[Name]])</f>
        <v>9</v>
      </c>
      <c r="C154">
        <f>YEAR(timeseries_access_key_fqeas14oitk235763mntlb1c0brnk9w3fenzqbk313q5kvxyf52kukw1pa[[#This Row],[Name]])</f>
        <v>2022</v>
      </c>
      <c r="D154">
        <v>9.8986145320196997</v>
      </c>
      <c r="E154">
        <f>IF(timeseries_access_key_fqeas14oitk235763mntlb1c0brnk9w3fenzqbk313q5kvxyf52kukw1pa[[#This Row],[Value.LME-ZNC]]="",0,timeseries_access_key_fqeas14oitk235763mntlb1c0brnk9w3fenzqbk313q5kvxyf52kukw1pa[[#This Row],[Value.LME-ZNC]])</f>
        <v>9.8986145320196997</v>
      </c>
      <c r="F154" s="2">
        <f t="shared" si="2"/>
        <v>0.24604198607888095</v>
      </c>
    </row>
    <row r="155" spans="1:6" x14ac:dyDescent="0.25">
      <c r="A155" s="1">
        <v>44818</v>
      </c>
      <c r="B155">
        <f>MONTH(timeseries_access_key_fqeas14oitk235763mntlb1c0brnk9w3fenzqbk313q5kvxyf52kukw1pa[[#This Row],[Name]])</f>
        <v>9</v>
      </c>
      <c r="C155">
        <f>YEAR(timeseries_access_key_fqeas14oitk235763mntlb1c0brnk9w3fenzqbk313q5kvxyf52kukw1pa[[#This Row],[Name]])</f>
        <v>2022</v>
      </c>
      <c r="D155">
        <v>9.6854044283777991</v>
      </c>
      <c r="E155">
        <f>IF(timeseries_access_key_fqeas14oitk235763mntlb1c0brnk9w3fenzqbk313q5kvxyf52kukw1pa[[#This Row],[Value.LME-ZNC]]="",0,timeseries_access_key_fqeas14oitk235763mntlb1c0brnk9w3fenzqbk313q5kvxyf52kukw1pa[[#This Row],[Value.LME-ZNC]])</f>
        <v>9.6854044283777991</v>
      </c>
      <c r="F155" s="2">
        <f t="shared" si="2"/>
        <v>0.22944469605568185</v>
      </c>
    </row>
    <row r="156" spans="1:6" x14ac:dyDescent="0.25">
      <c r="A156" s="1">
        <v>44819</v>
      </c>
      <c r="B156">
        <f>MONTH(timeseries_access_key_fqeas14oitk235763mntlb1c0brnk9w3fenzqbk313q5kvxyf52kukw1pa[[#This Row],[Name]])</f>
        <v>9</v>
      </c>
      <c r="C156">
        <f>YEAR(timeseries_access_key_fqeas14oitk235763mntlb1c0brnk9w3fenzqbk313q5kvxyf52kukw1pa[[#This Row],[Name]])</f>
        <v>2022</v>
      </c>
      <c r="D156">
        <v>10.000217729393</v>
      </c>
      <c r="E156">
        <f>IF(timeseries_access_key_fqeas14oitk235763mntlb1c0brnk9w3fenzqbk313q5kvxyf52kukw1pa[[#This Row],[Value.LME-ZNC]]="",0,timeseries_access_key_fqeas14oitk235763mntlb1c0brnk9w3fenzqbk313q5kvxyf52kukw1pa[[#This Row],[Value.LME-ZNC]])</f>
        <v>10.000217729393</v>
      </c>
      <c r="F156" s="2">
        <f t="shared" si="2"/>
        <v>0.25370227378186272</v>
      </c>
    </row>
    <row r="157" spans="1:6" x14ac:dyDescent="0.25">
      <c r="A157" s="1">
        <v>44821</v>
      </c>
      <c r="B157">
        <f>MONTH(timeseries_access_key_fqeas14oitk235763mntlb1c0brnk9w3fenzqbk313q5kvxyf52kukw1pa[[#This Row],[Name]])</f>
        <v>9</v>
      </c>
      <c r="C157">
        <f>YEAR(timeseries_access_key_fqeas14oitk235763mntlb1c0brnk9w3fenzqbk313q5kvxyf52kukw1pa[[#This Row],[Name]])</f>
        <v>2022</v>
      </c>
      <c r="D157">
        <v>10.291517285531</v>
      </c>
      <c r="E157">
        <f>IF(timeseries_access_key_fqeas14oitk235763mntlb1c0brnk9w3fenzqbk313q5kvxyf52kukw1pa[[#This Row],[Value.LME-ZNC]]="",0,timeseries_access_key_fqeas14oitk235763mntlb1c0brnk9w3fenzqbk313q5kvxyf52kukw1pa[[#This Row],[Value.LME-ZNC]])</f>
        <v>10.291517285531</v>
      </c>
      <c r="F157" s="2">
        <f t="shared" si="2"/>
        <v>0.27482609744776498</v>
      </c>
    </row>
    <row r="158" spans="1:6" x14ac:dyDescent="0.25">
      <c r="A158" s="1">
        <v>44822</v>
      </c>
      <c r="B158">
        <f>MONTH(timeseries_access_key_fqeas14oitk235763mntlb1c0brnk9w3fenzqbk313q5kvxyf52kukw1pa[[#This Row],[Name]])</f>
        <v>9</v>
      </c>
      <c r="C158">
        <f>YEAR(timeseries_access_key_fqeas14oitk235763mntlb1c0brnk9w3fenzqbk313q5kvxyf52kukw1pa[[#This Row],[Name]])</f>
        <v>2022</v>
      </c>
      <c r="D158">
        <v>10.291517285531</v>
      </c>
      <c r="E158">
        <f>IF(timeseries_access_key_fqeas14oitk235763mntlb1c0brnk9w3fenzqbk313q5kvxyf52kukw1pa[[#This Row],[Value.LME-ZNC]]="",0,timeseries_access_key_fqeas14oitk235763mntlb1c0brnk9w3fenzqbk313q5kvxyf52kukw1pa[[#This Row],[Value.LME-ZNC]])</f>
        <v>10.291517285531</v>
      </c>
      <c r="F158" s="2">
        <f t="shared" si="2"/>
        <v>0.27482609744776498</v>
      </c>
    </row>
    <row r="159" spans="1:6" x14ac:dyDescent="0.25">
      <c r="A159" s="1">
        <v>44823</v>
      </c>
      <c r="B159">
        <f>MONTH(timeseries_access_key_fqeas14oitk235763mntlb1c0brnk9w3fenzqbk313q5kvxyf52kukw1pa[[#This Row],[Name]])</f>
        <v>9</v>
      </c>
      <c r="C159">
        <f>YEAR(timeseries_access_key_fqeas14oitk235763mntlb1c0brnk9w3fenzqbk313q5kvxyf52kukw1pa[[#This Row],[Name]])</f>
        <v>2022</v>
      </c>
      <c r="D159">
        <v>10.291517285531</v>
      </c>
      <c r="E159">
        <f>IF(timeseries_access_key_fqeas14oitk235763mntlb1c0brnk9w3fenzqbk313q5kvxyf52kukw1pa[[#This Row],[Value.LME-ZNC]]="",0,timeseries_access_key_fqeas14oitk235763mntlb1c0brnk9w3fenzqbk313q5kvxyf52kukw1pa[[#This Row],[Value.LME-ZNC]])</f>
        <v>10.291517285531</v>
      </c>
      <c r="F159" s="2">
        <f t="shared" si="2"/>
        <v>0.27482609744776498</v>
      </c>
    </row>
    <row r="160" spans="1:6" x14ac:dyDescent="0.25">
      <c r="A160" s="1">
        <v>44824</v>
      </c>
      <c r="B160">
        <f>MONTH(timeseries_access_key_fqeas14oitk235763mntlb1c0brnk9w3fenzqbk313q5kvxyf52kukw1pa[[#This Row],[Name]])</f>
        <v>9</v>
      </c>
      <c r="C160">
        <f>YEAR(timeseries_access_key_fqeas14oitk235763mntlb1c0brnk9w3fenzqbk313q5kvxyf52kukw1pa[[#This Row],[Name]])</f>
        <v>2022</v>
      </c>
      <c r="D160">
        <v>10.222798092210001</v>
      </c>
      <c r="E160">
        <f>IF(timeseries_access_key_fqeas14oitk235763mntlb1c0brnk9w3fenzqbk313q5kvxyf52kukw1pa[[#This Row],[Value.LME-ZNC]]="",0,timeseries_access_key_fqeas14oitk235763mntlb1c0brnk9w3fenzqbk313q5kvxyf52kukw1pa[[#This Row],[Value.LME-ZNC]])</f>
        <v>10.222798092210001</v>
      </c>
      <c r="F160" s="2">
        <f t="shared" si="2"/>
        <v>0.26995136890951821</v>
      </c>
    </row>
    <row r="161" spans="1:6" x14ac:dyDescent="0.25">
      <c r="A161" s="1">
        <v>44825</v>
      </c>
      <c r="B161">
        <f>MONTH(timeseries_access_key_fqeas14oitk235763mntlb1c0brnk9w3fenzqbk313q5kvxyf52kukw1pa[[#This Row],[Name]])</f>
        <v>9</v>
      </c>
      <c r="C161">
        <f>YEAR(timeseries_access_key_fqeas14oitk235763mntlb1c0brnk9w3fenzqbk313q5kvxyf52kukw1pa[[#This Row],[Name]])</f>
        <v>2022</v>
      </c>
      <c r="D161">
        <v>10.042386381384</v>
      </c>
      <c r="E161">
        <f>IF(timeseries_access_key_fqeas14oitk235763mntlb1c0brnk9w3fenzqbk313q5kvxyf52kukw1pa[[#This Row],[Value.LME-ZNC]]="",0,timeseries_access_key_fqeas14oitk235763mntlb1c0brnk9w3fenzqbk313q5kvxyf52kukw1pa[[#This Row],[Value.LME-ZNC]])</f>
        <v>10.042386381384</v>
      </c>
      <c r="F161" s="2">
        <f t="shared" si="2"/>
        <v>0.2568360278422428</v>
      </c>
    </row>
    <row r="162" spans="1:6" x14ac:dyDescent="0.25">
      <c r="A162" s="1">
        <v>44826</v>
      </c>
      <c r="B162">
        <f>MONTH(timeseries_access_key_fqeas14oitk235763mntlb1c0brnk9w3fenzqbk313q5kvxyf52kukw1pa[[#This Row],[Name]])</f>
        <v>9</v>
      </c>
      <c r="C162">
        <f>YEAR(timeseries_access_key_fqeas14oitk235763mntlb1c0brnk9w3fenzqbk313q5kvxyf52kukw1pa[[#This Row],[Name]])</f>
        <v>2022</v>
      </c>
      <c r="D162">
        <v>10.265229885057</v>
      </c>
      <c r="E162">
        <f>IF(timeseries_access_key_fqeas14oitk235763mntlb1c0brnk9w3fenzqbk313q5kvxyf52kukw1pa[[#This Row],[Value.LME-ZNC]]="",0,timeseries_access_key_fqeas14oitk235763mntlb1c0brnk9w3fenzqbk313q5kvxyf52kukw1pa[[#This Row],[Value.LME-ZNC]])</f>
        <v>10.265229885057</v>
      </c>
      <c r="F162" s="2">
        <f t="shared" si="2"/>
        <v>0.27296905800460225</v>
      </c>
    </row>
    <row r="163" spans="1:6" x14ac:dyDescent="0.25">
      <c r="A163" s="1">
        <v>44827</v>
      </c>
      <c r="B163">
        <f>MONTH(timeseries_access_key_fqeas14oitk235763mntlb1c0brnk9w3fenzqbk313q5kvxyf52kukw1pa[[#This Row],[Name]])</f>
        <v>9</v>
      </c>
      <c r="C163">
        <f>YEAR(timeseries_access_key_fqeas14oitk235763mntlb1c0brnk9w3fenzqbk313q5kvxyf52kukw1pa[[#This Row],[Name]])</f>
        <v>2022</v>
      </c>
      <c r="D163">
        <v>10.266868912662</v>
      </c>
      <c r="E163">
        <f>IF(timeseries_access_key_fqeas14oitk235763mntlb1c0brnk9w3fenzqbk313q5kvxyf52kukw1pa[[#This Row],[Value.LME-ZNC]]="",0,timeseries_access_key_fqeas14oitk235763mntlb1c0brnk9w3fenzqbk313q5kvxyf52kukw1pa[[#This Row],[Value.LME-ZNC]])</f>
        <v>10.266868912662</v>
      </c>
      <c r="F163" s="2">
        <f t="shared" si="2"/>
        <v>0.27308512296985665</v>
      </c>
    </row>
    <row r="164" spans="1:6" x14ac:dyDescent="0.25">
      <c r="A164" s="1">
        <v>44828</v>
      </c>
      <c r="B164">
        <f>MONTH(timeseries_access_key_fqeas14oitk235763mntlb1c0brnk9w3fenzqbk313q5kvxyf52kukw1pa[[#This Row],[Name]])</f>
        <v>9</v>
      </c>
      <c r="C164">
        <f>YEAR(timeseries_access_key_fqeas14oitk235763mntlb1c0brnk9w3fenzqbk313q5kvxyf52kukw1pa[[#This Row],[Name]])</f>
        <v>2022</v>
      </c>
      <c r="D164">
        <v>10.593311367381</v>
      </c>
      <c r="E164">
        <f>IF(timeseries_access_key_fqeas14oitk235763mntlb1c0brnk9w3fenzqbk313q5kvxyf52kukw1pa[[#This Row],[Value.LME-ZNC]]="",0,timeseries_access_key_fqeas14oitk235763mntlb1c0brnk9w3fenzqbk313q5kvxyf52kukw1pa[[#This Row],[Value.LME-ZNC]])</f>
        <v>10.593311367381</v>
      </c>
      <c r="F164" s="2">
        <f t="shared" si="2"/>
        <v>0.29548566125292486</v>
      </c>
    </row>
    <row r="165" spans="1:6" x14ac:dyDescent="0.25">
      <c r="A165" s="1">
        <v>44829</v>
      </c>
      <c r="B165">
        <f>MONTH(timeseries_access_key_fqeas14oitk235763mntlb1c0brnk9w3fenzqbk313q5kvxyf52kukw1pa[[#This Row],[Name]])</f>
        <v>9</v>
      </c>
      <c r="C165">
        <f>YEAR(timeseries_access_key_fqeas14oitk235763mntlb1c0brnk9w3fenzqbk313q5kvxyf52kukw1pa[[#This Row],[Name]])</f>
        <v>2022</v>
      </c>
      <c r="D165">
        <v>10.593311367381</v>
      </c>
      <c r="E165">
        <f>IF(timeseries_access_key_fqeas14oitk235763mntlb1c0brnk9w3fenzqbk313q5kvxyf52kukw1pa[[#This Row],[Value.LME-ZNC]]="",0,timeseries_access_key_fqeas14oitk235763mntlb1c0brnk9w3fenzqbk313q5kvxyf52kukw1pa[[#This Row],[Value.LME-ZNC]])</f>
        <v>10.593311367381</v>
      </c>
      <c r="F165" s="2">
        <f t="shared" si="2"/>
        <v>0.29548566125292486</v>
      </c>
    </row>
    <row r="166" spans="1:6" x14ac:dyDescent="0.25">
      <c r="A166" s="1">
        <v>44830</v>
      </c>
      <c r="B166">
        <f>MONTH(timeseries_access_key_fqeas14oitk235763mntlb1c0brnk9w3fenzqbk313q5kvxyf52kukw1pa[[#This Row],[Name]])</f>
        <v>9</v>
      </c>
      <c r="C166">
        <f>YEAR(timeseries_access_key_fqeas14oitk235763mntlb1c0brnk9w3fenzqbk313q5kvxyf52kukw1pa[[#This Row],[Name]])</f>
        <v>2022</v>
      </c>
      <c r="D166">
        <v>10.593311367381</v>
      </c>
      <c r="E166">
        <f>IF(timeseries_access_key_fqeas14oitk235763mntlb1c0brnk9w3fenzqbk313q5kvxyf52kukw1pa[[#This Row],[Value.LME-ZNC]]="",0,timeseries_access_key_fqeas14oitk235763mntlb1c0brnk9w3fenzqbk313q5kvxyf52kukw1pa[[#This Row],[Value.LME-ZNC]])</f>
        <v>10.593311367381</v>
      </c>
      <c r="F166" s="2">
        <f t="shared" si="2"/>
        <v>0.29548566125292486</v>
      </c>
    </row>
    <row r="167" spans="1:6" x14ac:dyDescent="0.25">
      <c r="A167" s="1">
        <v>44831</v>
      </c>
      <c r="B167">
        <f>MONTH(timeseries_access_key_fqeas14oitk235763mntlb1c0brnk9w3fenzqbk313q5kvxyf52kukw1pa[[#This Row],[Name]])</f>
        <v>9</v>
      </c>
      <c r="C167">
        <f>YEAR(timeseries_access_key_fqeas14oitk235763mntlb1c0brnk9w3fenzqbk313q5kvxyf52kukw1pa[[#This Row],[Name]])</f>
        <v>2022</v>
      </c>
      <c r="D167">
        <v>10.920754076087</v>
      </c>
      <c r="E167">
        <f>IF(timeseries_access_key_fqeas14oitk235763mntlb1c0brnk9w3fenzqbk313q5kvxyf52kukw1pa[[#This Row],[Value.LME-ZNC]]="",0,timeseries_access_key_fqeas14oitk235763mntlb1c0brnk9w3fenzqbk313q5kvxyf52kukw1pa[[#This Row],[Value.LME-ZNC]])</f>
        <v>10.920754076087</v>
      </c>
      <c r="F167" s="2">
        <f t="shared" si="2"/>
        <v>0.31660948491879171</v>
      </c>
    </row>
    <row r="168" spans="1:6" x14ac:dyDescent="0.25">
      <c r="A168" s="1">
        <v>44832</v>
      </c>
      <c r="B168">
        <f>MONTH(timeseries_access_key_fqeas14oitk235763mntlb1c0brnk9w3fenzqbk313q5kvxyf52kukw1pa[[#This Row],[Name]])</f>
        <v>9</v>
      </c>
      <c r="C168">
        <f>YEAR(timeseries_access_key_fqeas14oitk235763mntlb1c0brnk9w3fenzqbk313q5kvxyf52kukw1pa[[#This Row],[Name]])</f>
        <v>2022</v>
      </c>
      <c r="D168">
        <v>10.943056501020999</v>
      </c>
      <c r="E168">
        <f>IF(timeseries_access_key_fqeas14oitk235763mntlb1c0brnk9w3fenzqbk313q5kvxyf52kukw1pa[[#This Row],[Value.LME-ZNC]]="",0,timeseries_access_key_fqeas14oitk235763mntlb1c0brnk9w3fenzqbk313q5kvxyf52kukw1pa[[#This Row],[Value.LME-ZNC]])</f>
        <v>10.943056501020999</v>
      </c>
      <c r="F168" s="2">
        <f t="shared" si="2"/>
        <v>0.31800226450114921</v>
      </c>
    </row>
    <row r="169" spans="1:6" x14ac:dyDescent="0.25">
      <c r="A169" s="1">
        <v>44833</v>
      </c>
      <c r="B169">
        <f>MONTH(timeseries_access_key_fqeas14oitk235763mntlb1c0brnk9w3fenzqbk313q5kvxyf52kukw1pa[[#This Row],[Name]])</f>
        <v>9</v>
      </c>
      <c r="C169">
        <f>YEAR(timeseries_access_key_fqeas14oitk235763mntlb1c0brnk9w3fenzqbk313q5kvxyf52kukw1pa[[#This Row],[Name]])</f>
        <v>2022</v>
      </c>
      <c r="D169">
        <v>11.360671378092</v>
      </c>
      <c r="E169">
        <f>IF(timeseries_access_key_fqeas14oitk235763mntlb1c0brnk9w3fenzqbk313q5kvxyf52kukw1pa[[#This Row],[Value.LME-ZNC]]="",0,timeseries_access_key_fqeas14oitk235763mntlb1c0brnk9w3fenzqbk313q5kvxyf52kukw1pa[[#This Row],[Value.LME-ZNC]])</f>
        <v>11.360671378092</v>
      </c>
      <c r="F169" s="2">
        <f t="shared" si="2"/>
        <v>0.34307229698376174</v>
      </c>
    </row>
    <row r="170" spans="1:6" x14ac:dyDescent="0.25">
      <c r="A170" s="1">
        <v>44834</v>
      </c>
      <c r="B170">
        <f>MONTH(timeseries_access_key_fqeas14oitk235763mntlb1c0brnk9w3fenzqbk313q5kvxyf52kukw1pa[[#This Row],[Name]])</f>
        <v>9</v>
      </c>
      <c r="C170">
        <f>YEAR(timeseries_access_key_fqeas14oitk235763mntlb1c0brnk9w3fenzqbk313q5kvxyf52kukw1pa[[#This Row],[Name]])</f>
        <v>2022</v>
      </c>
      <c r="D170">
        <v>10.663582089551999</v>
      </c>
      <c r="E170">
        <f>IF(timeseries_access_key_fqeas14oitk235763mntlb1c0brnk9w3fenzqbk313q5kvxyf52kukw1pa[[#This Row],[Value.LME-ZNC]]="",0,timeseries_access_key_fqeas14oitk235763mntlb1c0brnk9w3fenzqbk313q5kvxyf52kukw1pa[[#This Row],[Value.LME-ZNC]])</f>
        <v>10.663582089551999</v>
      </c>
      <c r="F170" s="2">
        <f t="shared" si="2"/>
        <v>0.30012825986076852</v>
      </c>
    </row>
    <row r="171" spans="1:6" x14ac:dyDescent="0.25">
      <c r="A171" s="1">
        <v>44835</v>
      </c>
      <c r="B171">
        <f>MONTH(timeseries_access_key_fqeas14oitk235763mntlb1c0brnk9w3fenzqbk313q5kvxyf52kukw1pa[[#This Row],[Name]])</f>
        <v>10</v>
      </c>
      <c r="C171">
        <f>YEAR(timeseries_access_key_fqeas14oitk235763mntlb1c0brnk9w3fenzqbk313q5kvxyf52kukw1pa[[#This Row],[Name]])</f>
        <v>2022</v>
      </c>
      <c r="D171">
        <v>10.767146684528001</v>
      </c>
      <c r="E171">
        <f>IF(timeseries_access_key_fqeas14oitk235763mntlb1c0brnk9w3fenzqbk313q5kvxyf52kukw1pa[[#This Row],[Value.LME-ZNC]]="",0,timeseries_access_key_fqeas14oitk235763mntlb1c0brnk9w3fenzqbk313q5kvxyf52kukw1pa[[#This Row],[Value.LME-ZNC]])</f>
        <v>10.767146684528001</v>
      </c>
      <c r="F171" s="2">
        <f t="shared" si="2"/>
        <v>0.30686002784223598</v>
      </c>
    </row>
    <row r="172" spans="1:6" x14ac:dyDescent="0.25">
      <c r="A172" s="1">
        <v>44836</v>
      </c>
      <c r="B172">
        <f>MONTH(timeseries_access_key_fqeas14oitk235763mntlb1c0brnk9w3fenzqbk313q5kvxyf52kukw1pa[[#This Row],[Name]])</f>
        <v>10</v>
      </c>
      <c r="C172">
        <f>YEAR(timeseries_access_key_fqeas14oitk235763mntlb1c0brnk9w3fenzqbk313q5kvxyf52kukw1pa[[#This Row],[Name]])</f>
        <v>2022</v>
      </c>
      <c r="D172">
        <v>10.767146684528001</v>
      </c>
      <c r="E172">
        <f>IF(timeseries_access_key_fqeas14oitk235763mntlb1c0brnk9w3fenzqbk313q5kvxyf52kukw1pa[[#This Row],[Value.LME-ZNC]]="",0,timeseries_access_key_fqeas14oitk235763mntlb1c0brnk9w3fenzqbk313q5kvxyf52kukw1pa[[#This Row],[Value.LME-ZNC]])</f>
        <v>10.767146684528001</v>
      </c>
      <c r="F172" s="2">
        <f t="shared" si="2"/>
        <v>0.30686002784223598</v>
      </c>
    </row>
    <row r="173" spans="1:6" x14ac:dyDescent="0.25">
      <c r="A173" s="1">
        <v>44837</v>
      </c>
      <c r="B173">
        <f>MONTH(timeseries_access_key_fqeas14oitk235763mntlb1c0brnk9w3fenzqbk313q5kvxyf52kukw1pa[[#This Row],[Name]])</f>
        <v>10</v>
      </c>
      <c r="C173">
        <f>YEAR(timeseries_access_key_fqeas14oitk235763mntlb1c0brnk9w3fenzqbk313q5kvxyf52kukw1pa[[#This Row],[Name]])</f>
        <v>2022</v>
      </c>
      <c r="D173">
        <v>10.767146684528001</v>
      </c>
      <c r="E173">
        <f>IF(timeseries_access_key_fqeas14oitk235763mntlb1c0brnk9w3fenzqbk313q5kvxyf52kukw1pa[[#This Row],[Value.LME-ZNC]]="",0,timeseries_access_key_fqeas14oitk235763mntlb1c0brnk9w3fenzqbk313q5kvxyf52kukw1pa[[#This Row],[Value.LME-ZNC]])</f>
        <v>10.767146684528001</v>
      </c>
      <c r="F173" s="2">
        <f t="shared" si="2"/>
        <v>0.30686002784223598</v>
      </c>
    </row>
    <row r="174" spans="1:6" x14ac:dyDescent="0.25">
      <c r="A174" s="1">
        <v>44838</v>
      </c>
      <c r="B174">
        <f>MONTH(timeseries_access_key_fqeas14oitk235763mntlb1c0brnk9w3fenzqbk313q5kvxyf52kukw1pa[[#This Row],[Name]])</f>
        <v>10</v>
      </c>
      <c r="C174">
        <f>YEAR(timeseries_access_key_fqeas14oitk235763mntlb1c0brnk9w3fenzqbk313q5kvxyf52kukw1pa[[#This Row],[Name]])</f>
        <v>2022</v>
      </c>
      <c r="D174">
        <v>10.767146684528001</v>
      </c>
      <c r="E174">
        <f>IF(timeseries_access_key_fqeas14oitk235763mntlb1c0brnk9w3fenzqbk313q5kvxyf52kukw1pa[[#This Row],[Value.LME-ZNC]]="",0,timeseries_access_key_fqeas14oitk235763mntlb1c0brnk9w3fenzqbk313q5kvxyf52kukw1pa[[#This Row],[Value.LME-ZNC]])</f>
        <v>10.767146684528001</v>
      </c>
      <c r="F174" s="2">
        <f t="shared" si="2"/>
        <v>0.30686002784223598</v>
      </c>
    </row>
    <row r="175" spans="1:6" x14ac:dyDescent="0.25">
      <c r="A175" s="1">
        <v>44840</v>
      </c>
      <c r="B175">
        <f>MONTH(timeseries_access_key_fqeas14oitk235763mntlb1c0brnk9w3fenzqbk313q5kvxyf52kukw1pa[[#This Row],[Name]])</f>
        <v>10</v>
      </c>
      <c r="C175">
        <f>YEAR(timeseries_access_key_fqeas14oitk235763mntlb1c0brnk9w3fenzqbk313q5kvxyf52kukw1pa[[#This Row],[Name]])</f>
        <v>2022</v>
      </c>
      <c r="D175">
        <v>10.617800528402</v>
      </c>
      <c r="E175">
        <f>IF(timeseries_access_key_fqeas14oitk235763mntlb1c0brnk9w3fenzqbk313q5kvxyf52kukw1pa[[#This Row],[Value.LME-ZNC]]="",0,timeseries_access_key_fqeas14oitk235763mntlb1c0brnk9w3fenzqbk313q5kvxyf52kukw1pa[[#This Row],[Value.LME-ZNC]])</f>
        <v>10.617800528402</v>
      </c>
      <c r="F175" s="2">
        <f t="shared" si="2"/>
        <v>0.29711057076568415</v>
      </c>
    </row>
    <row r="176" spans="1:6" x14ac:dyDescent="0.25">
      <c r="A176" s="1">
        <v>44842</v>
      </c>
      <c r="B176">
        <f>MONTH(timeseries_access_key_fqeas14oitk235763mntlb1c0brnk9w3fenzqbk313q5kvxyf52kukw1pa[[#This Row],[Name]])</f>
        <v>10</v>
      </c>
      <c r="C176">
        <f>YEAR(timeseries_access_key_fqeas14oitk235763mntlb1c0brnk9w3fenzqbk313q5kvxyf52kukw1pa[[#This Row],[Name]])</f>
        <v>2022</v>
      </c>
      <c r="D176">
        <v>10.501616854483</v>
      </c>
      <c r="E176">
        <f>IF(timeseries_access_key_fqeas14oitk235763mntlb1c0brnk9w3fenzqbk313q5kvxyf52kukw1pa[[#This Row],[Value.LME-ZNC]]="",0,timeseries_access_key_fqeas14oitk235763mntlb1c0brnk9w3fenzqbk313q5kvxyf52kukw1pa[[#This Row],[Value.LME-ZNC]])</f>
        <v>10.501616854483</v>
      </c>
      <c r="F176" s="2">
        <f t="shared" si="2"/>
        <v>0.28933421809743665</v>
      </c>
    </row>
    <row r="177" spans="1:6" x14ac:dyDescent="0.25">
      <c r="A177" s="1">
        <v>44843</v>
      </c>
      <c r="B177">
        <f>MONTH(timeseries_access_key_fqeas14oitk235763mntlb1c0brnk9w3fenzqbk313q5kvxyf52kukw1pa[[#This Row],[Name]])</f>
        <v>10</v>
      </c>
      <c r="C177">
        <f>YEAR(timeseries_access_key_fqeas14oitk235763mntlb1c0brnk9w3fenzqbk313q5kvxyf52kukw1pa[[#This Row],[Name]])</f>
        <v>2022</v>
      </c>
      <c r="D177">
        <v>10.501616854483</v>
      </c>
      <c r="E177">
        <f>IF(timeseries_access_key_fqeas14oitk235763mntlb1c0brnk9w3fenzqbk313q5kvxyf52kukw1pa[[#This Row],[Value.LME-ZNC]]="",0,timeseries_access_key_fqeas14oitk235763mntlb1c0brnk9w3fenzqbk313q5kvxyf52kukw1pa[[#This Row],[Value.LME-ZNC]])</f>
        <v>10.501616854483</v>
      </c>
      <c r="F177" s="2">
        <f t="shared" si="2"/>
        <v>0.28933421809743665</v>
      </c>
    </row>
    <row r="178" spans="1:6" x14ac:dyDescent="0.25">
      <c r="A178" s="1">
        <v>44844</v>
      </c>
      <c r="B178">
        <f>MONTH(timeseries_access_key_fqeas14oitk235763mntlb1c0brnk9w3fenzqbk313q5kvxyf52kukw1pa[[#This Row],[Name]])</f>
        <v>10</v>
      </c>
      <c r="C178">
        <f>YEAR(timeseries_access_key_fqeas14oitk235763mntlb1c0brnk9w3fenzqbk313q5kvxyf52kukw1pa[[#This Row],[Name]])</f>
        <v>2022</v>
      </c>
      <c r="D178">
        <v>10.501616854483</v>
      </c>
      <c r="E178">
        <f>IF(timeseries_access_key_fqeas14oitk235763mntlb1c0brnk9w3fenzqbk313q5kvxyf52kukw1pa[[#This Row],[Value.LME-ZNC]]="",0,timeseries_access_key_fqeas14oitk235763mntlb1c0brnk9w3fenzqbk313q5kvxyf52kukw1pa[[#This Row],[Value.LME-ZNC]])</f>
        <v>10.501616854483</v>
      </c>
      <c r="F178" s="2">
        <f t="shared" si="2"/>
        <v>0.28933421809743665</v>
      </c>
    </row>
    <row r="179" spans="1:6" x14ac:dyDescent="0.25">
      <c r="A179" s="1">
        <v>44845</v>
      </c>
      <c r="B179">
        <f>MONTH(timeseries_access_key_fqeas14oitk235763mntlb1c0brnk9w3fenzqbk313q5kvxyf52kukw1pa[[#This Row],[Name]])</f>
        <v>10</v>
      </c>
      <c r="C179">
        <f>YEAR(timeseries_access_key_fqeas14oitk235763mntlb1c0brnk9w3fenzqbk313q5kvxyf52kukw1pa[[#This Row],[Name]])</f>
        <v>2022</v>
      </c>
      <c r="D179">
        <v>10.677748256393</v>
      </c>
      <c r="E179">
        <f>IF(timeseries_access_key_fqeas14oitk235763mntlb1c0brnk9w3fenzqbk313q5kvxyf52kukw1pa[[#This Row],[Value.LME-ZNC]]="",0,timeseries_access_key_fqeas14oitk235763mntlb1c0brnk9w3fenzqbk313q5kvxyf52kukw1pa[[#This Row],[Value.LME-ZNC]])</f>
        <v>10.677748256393</v>
      </c>
      <c r="F179" s="2">
        <f t="shared" si="2"/>
        <v>0.30105677958234733</v>
      </c>
    </row>
    <row r="180" spans="1:6" x14ac:dyDescent="0.25">
      <c r="A180" s="1">
        <v>44846</v>
      </c>
      <c r="B180">
        <f>MONTH(timeseries_access_key_fqeas14oitk235763mntlb1c0brnk9w3fenzqbk313q5kvxyf52kukw1pa[[#This Row],[Name]])</f>
        <v>10</v>
      </c>
      <c r="C180">
        <f>YEAR(timeseries_access_key_fqeas14oitk235763mntlb1c0brnk9w3fenzqbk313q5kvxyf52kukw1pa[[#This Row],[Name]])</f>
        <v>2022</v>
      </c>
      <c r="D180">
        <v>10.839750505732001</v>
      </c>
      <c r="E180">
        <f>IF(timeseries_access_key_fqeas14oitk235763mntlb1c0brnk9w3fenzqbk313q5kvxyf52kukw1pa[[#This Row],[Value.LME-ZNC]]="",0,timeseries_access_key_fqeas14oitk235763mntlb1c0brnk9w3fenzqbk313q5kvxyf52kukw1pa[[#This Row],[Value.LME-ZNC]])</f>
        <v>10.839750505732001</v>
      </c>
      <c r="F180" s="2">
        <f t="shared" si="2"/>
        <v>0.31150262645013538</v>
      </c>
    </row>
    <row r="181" spans="1:6" x14ac:dyDescent="0.25">
      <c r="A181" s="1">
        <v>44847</v>
      </c>
      <c r="B181">
        <f>MONTH(timeseries_access_key_fqeas14oitk235763mntlb1c0brnk9w3fenzqbk313q5kvxyf52kukw1pa[[#This Row],[Name]])</f>
        <v>10</v>
      </c>
      <c r="C181">
        <f>YEAR(timeseries_access_key_fqeas14oitk235763mntlb1c0brnk9w3fenzqbk313q5kvxyf52kukw1pa[[#This Row],[Name]])</f>
        <v>2022</v>
      </c>
      <c r="D181">
        <v>10.817866756393</v>
      </c>
      <c r="E181">
        <f>IF(timeseries_access_key_fqeas14oitk235763mntlb1c0brnk9w3fenzqbk313q5kvxyf52kukw1pa[[#This Row],[Value.LME-ZNC]]="",0,timeseries_access_key_fqeas14oitk235763mntlb1c0brnk9w3fenzqbk313q5kvxyf52kukw1pa[[#This Row],[Value.LME-ZNC]])</f>
        <v>10.817866756393</v>
      </c>
      <c r="F181" s="2">
        <f t="shared" si="2"/>
        <v>0.31010984686774479</v>
      </c>
    </row>
    <row r="182" spans="1:6" x14ac:dyDescent="0.25">
      <c r="A182" s="1">
        <v>44849</v>
      </c>
      <c r="B182">
        <f>MONTH(timeseries_access_key_fqeas14oitk235763mntlb1c0brnk9w3fenzqbk313q5kvxyf52kukw1pa[[#This Row],[Name]])</f>
        <v>10</v>
      </c>
      <c r="C182">
        <f>YEAR(timeseries_access_key_fqeas14oitk235763mntlb1c0brnk9w3fenzqbk313q5kvxyf52kukw1pa[[#This Row],[Name]])</f>
        <v>2022</v>
      </c>
      <c r="D182">
        <v>10.859888532343</v>
      </c>
      <c r="E182">
        <f>IF(timeseries_access_key_fqeas14oitk235763mntlb1c0brnk9w3fenzqbk313q5kvxyf52kukw1pa[[#This Row],[Value.LME-ZNC]]="",0,timeseries_access_key_fqeas14oitk235763mntlb1c0brnk9w3fenzqbk313q5kvxyf52kukw1pa[[#This Row],[Value.LME-ZNC]])</f>
        <v>10.859888532343</v>
      </c>
      <c r="F182" s="2">
        <f t="shared" si="2"/>
        <v>0.31277934106731187</v>
      </c>
    </row>
    <row r="183" spans="1:6" x14ac:dyDescent="0.25">
      <c r="A183" s="1">
        <v>44850</v>
      </c>
      <c r="B183">
        <f>MONTH(timeseries_access_key_fqeas14oitk235763mntlb1c0brnk9w3fenzqbk313q5kvxyf52kukw1pa[[#This Row],[Name]])</f>
        <v>10</v>
      </c>
      <c r="C183">
        <f>YEAR(timeseries_access_key_fqeas14oitk235763mntlb1c0brnk9w3fenzqbk313q5kvxyf52kukw1pa[[#This Row],[Name]])</f>
        <v>2022</v>
      </c>
      <c r="D183">
        <v>10.859888532343</v>
      </c>
      <c r="E183">
        <f>IF(timeseries_access_key_fqeas14oitk235763mntlb1c0brnk9w3fenzqbk313q5kvxyf52kukw1pa[[#This Row],[Value.LME-ZNC]]="",0,timeseries_access_key_fqeas14oitk235763mntlb1c0brnk9w3fenzqbk313q5kvxyf52kukw1pa[[#This Row],[Value.LME-ZNC]])</f>
        <v>10.859888532343</v>
      </c>
      <c r="F183" s="2">
        <f t="shared" si="2"/>
        <v>0.31277934106731187</v>
      </c>
    </row>
    <row r="184" spans="1:6" x14ac:dyDescent="0.25">
      <c r="A184" s="1">
        <v>44851</v>
      </c>
      <c r="B184">
        <f>MONTH(timeseries_access_key_fqeas14oitk235763mntlb1c0brnk9w3fenzqbk313q5kvxyf52kukw1pa[[#This Row],[Name]])</f>
        <v>10</v>
      </c>
      <c r="C184">
        <f>YEAR(timeseries_access_key_fqeas14oitk235763mntlb1c0brnk9w3fenzqbk313q5kvxyf52kukw1pa[[#This Row],[Name]])</f>
        <v>2022</v>
      </c>
      <c r="D184">
        <v>10.859888532343</v>
      </c>
      <c r="E184">
        <f>IF(timeseries_access_key_fqeas14oitk235763mntlb1c0brnk9w3fenzqbk313q5kvxyf52kukw1pa[[#This Row],[Value.LME-ZNC]]="",0,timeseries_access_key_fqeas14oitk235763mntlb1c0brnk9w3fenzqbk313q5kvxyf52kukw1pa[[#This Row],[Value.LME-ZNC]])</f>
        <v>10.859888532343</v>
      </c>
      <c r="F184" s="2">
        <f t="shared" si="2"/>
        <v>0.31277934106731187</v>
      </c>
    </row>
    <row r="185" spans="1:6" x14ac:dyDescent="0.25">
      <c r="A185" s="1">
        <v>44852</v>
      </c>
      <c r="B185">
        <f>MONTH(timeseries_access_key_fqeas14oitk235763mntlb1c0brnk9w3fenzqbk313q5kvxyf52kukw1pa[[#This Row],[Name]])</f>
        <v>10</v>
      </c>
      <c r="C185">
        <f>YEAR(timeseries_access_key_fqeas14oitk235763mntlb1c0brnk9w3fenzqbk313q5kvxyf52kukw1pa[[#This Row],[Name]])</f>
        <v>2022</v>
      </c>
      <c r="D185">
        <v>11.067366609294</v>
      </c>
      <c r="E185">
        <f>IF(timeseries_access_key_fqeas14oitk235763mntlb1c0brnk9w3fenzqbk313q5kvxyf52kukw1pa[[#This Row],[Value.LME-ZNC]]="",0,timeseries_access_key_fqeas14oitk235763mntlb1c0brnk9w3fenzqbk313q5kvxyf52kukw1pa[[#This Row],[Value.LME-ZNC]])</f>
        <v>11.067366609294</v>
      </c>
      <c r="F185" s="2">
        <f t="shared" si="2"/>
        <v>0.32566255220415241</v>
      </c>
    </row>
    <row r="186" spans="1:6" x14ac:dyDescent="0.25">
      <c r="A186" s="1">
        <v>44853</v>
      </c>
      <c r="B186">
        <f>MONTH(timeseries_access_key_fqeas14oitk235763mntlb1c0brnk9w3fenzqbk313q5kvxyf52kukw1pa[[#This Row],[Name]])</f>
        <v>10</v>
      </c>
      <c r="C186">
        <f>YEAR(timeseries_access_key_fqeas14oitk235763mntlb1c0brnk9w3fenzqbk313q5kvxyf52kukw1pa[[#This Row],[Name]])</f>
        <v>2022</v>
      </c>
      <c r="D186">
        <v>11.067366609294</v>
      </c>
      <c r="E186">
        <f>IF(timeseries_access_key_fqeas14oitk235763mntlb1c0brnk9w3fenzqbk313q5kvxyf52kukw1pa[[#This Row],[Value.LME-ZNC]]="",0,timeseries_access_key_fqeas14oitk235763mntlb1c0brnk9w3fenzqbk313q5kvxyf52kukw1pa[[#This Row],[Value.LME-ZNC]])</f>
        <v>11.067366609294</v>
      </c>
      <c r="F186" s="2">
        <f t="shared" si="2"/>
        <v>0.32566255220415241</v>
      </c>
    </row>
    <row r="187" spans="1:6" x14ac:dyDescent="0.25">
      <c r="A187" s="1">
        <v>44854</v>
      </c>
      <c r="B187">
        <f>MONTH(timeseries_access_key_fqeas14oitk235763mntlb1c0brnk9w3fenzqbk313q5kvxyf52kukw1pa[[#This Row],[Name]])</f>
        <v>10</v>
      </c>
      <c r="C187">
        <f>YEAR(timeseries_access_key_fqeas14oitk235763mntlb1c0brnk9w3fenzqbk313q5kvxyf52kukw1pa[[#This Row],[Name]])</f>
        <v>2022</v>
      </c>
      <c r="D187">
        <v>11.124809688580999</v>
      </c>
      <c r="E187">
        <f>IF(timeseries_access_key_fqeas14oitk235763mntlb1c0brnk9w3fenzqbk313q5kvxyf52kukw1pa[[#This Row],[Value.LME-ZNC]]="",0,timeseries_access_key_fqeas14oitk235763mntlb1c0brnk9w3fenzqbk313q5kvxyf52kukw1pa[[#This Row],[Value.LME-ZNC]])</f>
        <v>11.124809688580999</v>
      </c>
      <c r="F187" s="2">
        <f t="shared" si="2"/>
        <v>0.32914450116006932</v>
      </c>
    </row>
    <row r="188" spans="1:6" x14ac:dyDescent="0.25">
      <c r="A188" s="1">
        <v>44855</v>
      </c>
      <c r="B188">
        <f>MONTH(timeseries_access_key_fqeas14oitk235763mntlb1c0brnk9w3fenzqbk313q5kvxyf52kukw1pa[[#This Row],[Name]])</f>
        <v>10</v>
      </c>
      <c r="C188">
        <f>YEAR(timeseries_access_key_fqeas14oitk235763mntlb1c0brnk9w3fenzqbk313q5kvxyf52kukw1pa[[#This Row],[Name]])</f>
        <v>2022</v>
      </c>
      <c r="D188">
        <v>10.920754076087</v>
      </c>
      <c r="E188">
        <f>IF(timeseries_access_key_fqeas14oitk235763mntlb1c0brnk9w3fenzqbk313q5kvxyf52kukw1pa[[#This Row],[Value.LME-ZNC]]="",0,timeseries_access_key_fqeas14oitk235763mntlb1c0brnk9w3fenzqbk313q5kvxyf52kukw1pa[[#This Row],[Value.LME-ZNC]])</f>
        <v>10.920754076087</v>
      </c>
      <c r="F188" s="2">
        <f t="shared" si="2"/>
        <v>0.31660948491879171</v>
      </c>
    </row>
    <row r="189" spans="1:6" x14ac:dyDescent="0.25">
      <c r="A189" s="1">
        <v>44857</v>
      </c>
      <c r="B189">
        <f>MONTH(timeseries_access_key_fqeas14oitk235763mntlb1c0brnk9w3fenzqbk313q5kvxyf52kukw1pa[[#This Row],[Name]])</f>
        <v>10</v>
      </c>
      <c r="C189">
        <f>YEAR(timeseries_access_key_fqeas14oitk235763mntlb1c0brnk9w3fenzqbk313q5kvxyf52kukw1pa[[#This Row],[Name]])</f>
        <v>2022</v>
      </c>
      <c r="D189">
        <v>10.750944658084</v>
      </c>
      <c r="E189">
        <f>IF(timeseries_access_key_fqeas14oitk235763mntlb1c0brnk9w3fenzqbk313q5kvxyf52kukw1pa[[#This Row],[Value.LME-ZNC]]="",0,timeseries_access_key_fqeas14oitk235763mntlb1c0brnk9w3fenzqbk313q5kvxyf52kukw1pa[[#This Row],[Value.LME-ZNC]])</f>
        <v>10.750944658084</v>
      </c>
      <c r="F189" s="2">
        <f t="shared" si="2"/>
        <v>0.30581544315545228</v>
      </c>
    </row>
    <row r="190" spans="1:6" x14ac:dyDescent="0.25">
      <c r="A190" s="1">
        <v>44858</v>
      </c>
      <c r="B190">
        <f>MONTH(timeseries_access_key_fqeas14oitk235763mntlb1c0brnk9w3fenzqbk313q5kvxyf52kukw1pa[[#This Row],[Name]])</f>
        <v>10</v>
      </c>
      <c r="C190">
        <f>YEAR(timeseries_access_key_fqeas14oitk235763mntlb1c0brnk9w3fenzqbk313q5kvxyf52kukw1pa[[#This Row],[Name]])</f>
        <v>2022</v>
      </c>
      <c r="D190">
        <v>10.750944658084</v>
      </c>
      <c r="E190">
        <f>IF(timeseries_access_key_fqeas14oitk235763mntlb1c0brnk9w3fenzqbk313q5kvxyf52kukw1pa[[#This Row],[Value.LME-ZNC]]="",0,timeseries_access_key_fqeas14oitk235763mntlb1c0brnk9w3fenzqbk313q5kvxyf52kukw1pa[[#This Row],[Value.LME-ZNC]])</f>
        <v>10.750944658084</v>
      </c>
      <c r="F190" s="2">
        <f t="shared" si="2"/>
        <v>0.30581544315545228</v>
      </c>
    </row>
    <row r="191" spans="1:6" x14ac:dyDescent="0.25">
      <c r="A191" s="1">
        <v>44859</v>
      </c>
      <c r="B191">
        <f>MONTH(timeseries_access_key_fqeas14oitk235763mntlb1c0brnk9w3fenzqbk313q5kvxyf52kukw1pa[[#This Row],[Name]])</f>
        <v>10</v>
      </c>
      <c r="C191">
        <f>YEAR(timeseries_access_key_fqeas14oitk235763mntlb1c0brnk9w3fenzqbk313q5kvxyf52kukw1pa[[#This Row],[Name]])</f>
        <v>2022</v>
      </c>
      <c r="D191">
        <v>10.677748256393</v>
      </c>
      <c r="E191">
        <f>IF(timeseries_access_key_fqeas14oitk235763mntlb1c0brnk9w3fenzqbk313q5kvxyf52kukw1pa[[#This Row],[Value.LME-ZNC]]="",0,timeseries_access_key_fqeas14oitk235763mntlb1c0brnk9w3fenzqbk313q5kvxyf52kukw1pa[[#This Row],[Value.LME-ZNC]])</f>
        <v>10.677748256393</v>
      </c>
      <c r="F191" s="2">
        <f t="shared" si="2"/>
        <v>0.30105677958234733</v>
      </c>
    </row>
    <row r="192" spans="1:6" x14ac:dyDescent="0.25">
      <c r="A192" s="1">
        <v>44860</v>
      </c>
      <c r="B192">
        <f>MONTH(timeseries_access_key_fqeas14oitk235763mntlb1c0brnk9w3fenzqbk313q5kvxyf52kukw1pa[[#This Row],[Name]])</f>
        <v>10</v>
      </c>
      <c r="C192">
        <f>YEAR(timeseries_access_key_fqeas14oitk235763mntlb1c0brnk9w3fenzqbk313q5kvxyf52kukw1pa[[#This Row],[Name]])</f>
        <v>2022</v>
      </c>
      <c r="D192">
        <v>11.01051369863</v>
      </c>
      <c r="E192">
        <f>IF(timeseries_access_key_fqeas14oitk235763mntlb1c0brnk9w3fenzqbk313q5kvxyf52kukw1pa[[#This Row],[Value.LME-ZNC]]="",0,timeseries_access_key_fqeas14oitk235763mntlb1c0brnk9w3fenzqbk313q5kvxyf52kukw1pa[[#This Row],[Value.LME-ZNC]])</f>
        <v>11.01051369863</v>
      </c>
      <c r="F192" s="2">
        <f t="shared" si="2"/>
        <v>0.32218060324824693</v>
      </c>
    </row>
    <row r="193" spans="1:6" x14ac:dyDescent="0.25">
      <c r="A193" s="1">
        <v>44861</v>
      </c>
      <c r="B193">
        <f>MONTH(timeseries_access_key_fqeas14oitk235763mntlb1c0brnk9w3fenzqbk313q5kvxyf52kukw1pa[[#This Row],[Name]])</f>
        <v>10</v>
      </c>
      <c r="C193">
        <f>YEAR(timeseries_access_key_fqeas14oitk235763mntlb1c0brnk9w3fenzqbk313q5kvxyf52kukw1pa[[#This Row],[Name]])</f>
        <v>2022</v>
      </c>
      <c r="D193">
        <v>10.799697682230001</v>
      </c>
      <c r="E193">
        <f>IF(timeseries_access_key_fqeas14oitk235763mntlb1c0brnk9w3fenzqbk313q5kvxyf52kukw1pa[[#This Row],[Value.LME-ZNC]]="",0,timeseries_access_key_fqeas14oitk235763mntlb1c0brnk9w3fenzqbk313q5kvxyf52kukw1pa[[#This Row],[Value.LME-ZNC]])</f>
        <v>10.799697682230001</v>
      </c>
      <c r="F193" s="2">
        <f t="shared" si="2"/>
        <v>0.30894919721574499</v>
      </c>
    </row>
    <row r="194" spans="1:6" x14ac:dyDescent="0.25">
      <c r="A194" s="1">
        <v>44862</v>
      </c>
      <c r="B194">
        <f>MONTH(timeseries_access_key_fqeas14oitk235763mntlb1c0brnk9w3fenzqbk313q5kvxyf52kukw1pa[[#This Row],[Name]])</f>
        <v>10</v>
      </c>
      <c r="C194">
        <f>YEAR(timeseries_access_key_fqeas14oitk235763mntlb1c0brnk9w3fenzqbk313q5kvxyf52kukw1pa[[#This Row],[Name]])</f>
        <v>2022</v>
      </c>
      <c r="D194">
        <v>10.770753768843999</v>
      </c>
      <c r="E194">
        <f>IF(timeseries_access_key_fqeas14oitk235763mntlb1c0brnk9w3fenzqbk313q5kvxyf52kukw1pa[[#This Row],[Value.LME-ZNC]]="",0,timeseries_access_key_fqeas14oitk235763mntlb1c0brnk9w3fenzqbk313q5kvxyf52kukw1pa[[#This Row],[Value.LME-ZNC]])</f>
        <v>10.770753768843999</v>
      </c>
      <c r="F194" s="2">
        <f t="shared" ref="F194:F257" si="3">IFERROR(1-(D$2/D194),0)</f>
        <v>0.30709215777260301</v>
      </c>
    </row>
    <row r="195" spans="1:6" x14ac:dyDescent="0.25">
      <c r="A195" s="1">
        <v>44863</v>
      </c>
      <c r="B195">
        <f>MONTH(timeseries_access_key_fqeas14oitk235763mntlb1c0brnk9w3fenzqbk313q5kvxyf52kukw1pa[[#This Row],[Name]])</f>
        <v>10</v>
      </c>
      <c r="C195">
        <f>YEAR(timeseries_access_key_fqeas14oitk235763mntlb1c0brnk9w3fenzqbk313q5kvxyf52kukw1pa[[#This Row],[Name]])</f>
        <v>2022</v>
      </c>
      <c r="D195">
        <v>11.033184625943999</v>
      </c>
      <c r="E195">
        <f>IF(timeseries_access_key_fqeas14oitk235763mntlb1c0brnk9w3fenzqbk313q5kvxyf52kukw1pa[[#This Row],[Value.LME-ZNC]]="",0,timeseries_access_key_fqeas14oitk235763mntlb1c0brnk9w3fenzqbk313q5kvxyf52kukw1pa[[#This Row],[Value.LME-ZNC]])</f>
        <v>11.033184625943999</v>
      </c>
      <c r="F195" s="2">
        <f t="shared" si="3"/>
        <v>0.32357338283063908</v>
      </c>
    </row>
    <row r="196" spans="1:6" x14ac:dyDescent="0.25">
      <c r="A196" s="1">
        <v>44864</v>
      </c>
      <c r="B196">
        <f>MONTH(timeseries_access_key_fqeas14oitk235763mntlb1c0brnk9w3fenzqbk313q5kvxyf52kukw1pa[[#This Row],[Name]])</f>
        <v>10</v>
      </c>
      <c r="C196">
        <f>YEAR(timeseries_access_key_fqeas14oitk235763mntlb1c0brnk9w3fenzqbk313q5kvxyf52kukw1pa[[#This Row],[Name]])</f>
        <v>2022</v>
      </c>
      <c r="D196">
        <v>11.033184625943999</v>
      </c>
      <c r="E196">
        <f>IF(timeseries_access_key_fqeas14oitk235763mntlb1c0brnk9w3fenzqbk313q5kvxyf52kukw1pa[[#This Row],[Value.LME-ZNC]]="",0,timeseries_access_key_fqeas14oitk235763mntlb1c0brnk9w3fenzqbk313q5kvxyf52kukw1pa[[#This Row],[Value.LME-ZNC]])</f>
        <v>11.033184625943999</v>
      </c>
      <c r="F196" s="2">
        <f t="shared" si="3"/>
        <v>0.32357338283063908</v>
      </c>
    </row>
    <row r="197" spans="1:6" x14ac:dyDescent="0.25">
      <c r="A197" s="1">
        <v>44865</v>
      </c>
      <c r="B197">
        <f>MONTH(timeseries_access_key_fqeas14oitk235763mntlb1c0brnk9w3fenzqbk313q5kvxyf52kukw1pa[[#This Row],[Name]])</f>
        <v>10</v>
      </c>
      <c r="C197">
        <f>YEAR(timeseries_access_key_fqeas14oitk235763mntlb1c0brnk9w3fenzqbk313q5kvxyf52kukw1pa[[#This Row],[Name]])</f>
        <v>2022</v>
      </c>
      <c r="D197">
        <v>11.033184625943999</v>
      </c>
      <c r="E197">
        <f>IF(timeseries_access_key_fqeas14oitk235763mntlb1c0brnk9w3fenzqbk313q5kvxyf52kukw1pa[[#This Row],[Value.LME-ZNC]]="",0,timeseries_access_key_fqeas14oitk235763mntlb1c0brnk9w3fenzqbk313q5kvxyf52kukw1pa[[#This Row],[Value.LME-ZNC]])</f>
        <v>11.033184625943999</v>
      </c>
      <c r="F197" s="2">
        <f t="shared" si="3"/>
        <v>0.32357338283063908</v>
      </c>
    </row>
    <row r="198" spans="1:6" x14ac:dyDescent="0.25">
      <c r="A198" s="1">
        <v>44866</v>
      </c>
      <c r="B198">
        <f>MONTH(timeseries_access_key_fqeas14oitk235763mntlb1c0brnk9w3fenzqbk313q5kvxyf52kukw1pa[[#This Row],[Name]])</f>
        <v>11</v>
      </c>
      <c r="C198">
        <f>YEAR(timeseries_access_key_fqeas14oitk235763mntlb1c0brnk9w3fenzqbk313q5kvxyf52kukw1pa[[#This Row],[Name]])</f>
        <v>2022</v>
      </c>
      <c r="D198">
        <v>11.669945553539</v>
      </c>
      <c r="E198">
        <f>IF(timeseries_access_key_fqeas14oitk235763mntlb1c0brnk9w3fenzqbk313q5kvxyf52kukw1pa[[#This Row],[Value.LME-ZNC]]="",0,timeseries_access_key_fqeas14oitk235763mntlb1c0brnk9w3fenzqbk313q5kvxyf52kukw1pa[[#This Row],[Value.LME-ZNC]])</f>
        <v>11.669945553539</v>
      </c>
      <c r="F198" s="2">
        <f t="shared" si="3"/>
        <v>0.36048204176333576</v>
      </c>
    </row>
    <row r="199" spans="1:6" x14ac:dyDescent="0.25">
      <c r="A199" s="1">
        <v>44869</v>
      </c>
      <c r="B199">
        <f>MONTH(timeseries_access_key_fqeas14oitk235763mntlb1c0brnk9w3fenzqbk313q5kvxyf52kukw1pa[[#This Row],[Name]])</f>
        <v>11</v>
      </c>
      <c r="C199">
        <f>YEAR(timeseries_access_key_fqeas14oitk235763mntlb1c0brnk9w3fenzqbk313q5kvxyf52kukw1pa[[#This Row],[Name]])</f>
        <v>2022</v>
      </c>
      <c r="D199">
        <v>11.627739602169999</v>
      </c>
      <c r="E199">
        <f>IF(timeseries_access_key_fqeas14oitk235763mntlb1c0brnk9w3fenzqbk313q5kvxyf52kukw1pa[[#This Row],[Value.LME-ZNC]]="",0,timeseries_access_key_fqeas14oitk235763mntlb1c0brnk9w3fenzqbk313q5kvxyf52kukw1pa[[#This Row],[Value.LME-ZNC]])</f>
        <v>11.627739602169999</v>
      </c>
      <c r="F199" s="2">
        <f t="shared" si="3"/>
        <v>0.35816074245939344</v>
      </c>
    </row>
    <row r="200" spans="1:6" x14ac:dyDescent="0.25">
      <c r="A200" s="1">
        <v>44870</v>
      </c>
      <c r="B200">
        <f>MONTH(timeseries_access_key_fqeas14oitk235763mntlb1c0brnk9w3fenzqbk313q5kvxyf52kukw1pa[[#This Row],[Name]])</f>
        <v>11</v>
      </c>
      <c r="C200">
        <f>YEAR(timeseries_access_key_fqeas14oitk235763mntlb1c0brnk9w3fenzqbk313q5kvxyf52kukw1pa[[#This Row],[Name]])</f>
        <v>2022</v>
      </c>
      <c r="D200">
        <v>11.284906984907</v>
      </c>
      <c r="E200">
        <f>IF(timeseries_access_key_fqeas14oitk235763mntlb1c0brnk9w3fenzqbk313q5kvxyf52kukw1pa[[#This Row],[Value.LME-ZNC]]="",0,timeseries_access_key_fqeas14oitk235763mntlb1c0brnk9w3fenzqbk313q5kvxyf52kukw1pa[[#This Row],[Value.LME-ZNC]])</f>
        <v>11.284906984907</v>
      </c>
      <c r="F200" s="2">
        <f t="shared" si="3"/>
        <v>0.33866182830626101</v>
      </c>
    </row>
    <row r="201" spans="1:6" x14ac:dyDescent="0.25">
      <c r="A201" s="1">
        <v>44871</v>
      </c>
      <c r="B201">
        <f>MONTH(timeseries_access_key_fqeas14oitk235763mntlb1c0brnk9w3fenzqbk313q5kvxyf52kukw1pa[[#This Row],[Name]])</f>
        <v>11</v>
      </c>
      <c r="C201">
        <f>YEAR(timeseries_access_key_fqeas14oitk235763mntlb1c0brnk9w3fenzqbk313q5kvxyf52kukw1pa[[#This Row],[Name]])</f>
        <v>2022</v>
      </c>
      <c r="D201">
        <v>11.284906984907</v>
      </c>
      <c r="E201">
        <f>IF(timeseries_access_key_fqeas14oitk235763mntlb1c0brnk9w3fenzqbk313q5kvxyf52kukw1pa[[#This Row],[Value.LME-ZNC]]="",0,timeseries_access_key_fqeas14oitk235763mntlb1c0brnk9w3fenzqbk313q5kvxyf52kukw1pa[[#This Row],[Value.LME-ZNC]])</f>
        <v>11.284906984907</v>
      </c>
      <c r="F201" s="2">
        <f t="shared" si="3"/>
        <v>0.33866182830626101</v>
      </c>
    </row>
    <row r="202" spans="1:6" x14ac:dyDescent="0.25">
      <c r="A202" s="1">
        <v>44872</v>
      </c>
      <c r="B202">
        <f>MONTH(timeseries_access_key_fqeas14oitk235763mntlb1c0brnk9w3fenzqbk313q5kvxyf52kukw1pa[[#This Row],[Name]])</f>
        <v>11</v>
      </c>
      <c r="C202">
        <f>YEAR(timeseries_access_key_fqeas14oitk235763mntlb1c0brnk9w3fenzqbk313q5kvxyf52kukw1pa[[#This Row],[Name]])</f>
        <v>2022</v>
      </c>
      <c r="D202">
        <v>11.284906984907</v>
      </c>
      <c r="E202">
        <f>IF(timeseries_access_key_fqeas14oitk235763mntlb1c0brnk9w3fenzqbk313q5kvxyf52kukw1pa[[#This Row],[Value.LME-ZNC]]="",0,timeseries_access_key_fqeas14oitk235763mntlb1c0brnk9w3fenzqbk313q5kvxyf52kukw1pa[[#This Row],[Value.LME-ZNC]])</f>
        <v>11.284906984907</v>
      </c>
      <c r="F202" s="2">
        <f t="shared" si="3"/>
        <v>0.33866182830626101</v>
      </c>
    </row>
    <row r="203" spans="1:6" x14ac:dyDescent="0.25">
      <c r="A203" s="1">
        <v>44875</v>
      </c>
      <c r="B203">
        <f>MONTH(timeseries_access_key_fqeas14oitk235763mntlb1c0brnk9w3fenzqbk313q5kvxyf52kukw1pa[[#This Row],[Name]])</f>
        <v>11</v>
      </c>
      <c r="C203">
        <f>YEAR(timeseries_access_key_fqeas14oitk235763mntlb1c0brnk9w3fenzqbk313q5kvxyf52kukw1pa[[#This Row],[Name]])</f>
        <v>2022</v>
      </c>
      <c r="D203">
        <v>11.124809688580999</v>
      </c>
      <c r="E203">
        <f>IF(timeseries_access_key_fqeas14oitk235763mntlb1c0brnk9w3fenzqbk313q5kvxyf52kukw1pa[[#This Row],[Value.LME-ZNC]]="",0,timeseries_access_key_fqeas14oitk235763mntlb1c0brnk9w3fenzqbk313q5kvxyf52kukw1pa[[#This Row],[Value.LME-ZNC]])</f>
        <v>11.124809688580999</v>
      </c>
      <c r="F203" s="2">
        <f t="shared" si="3"/>
        <v>0.32914450116006932</v>
      </c>
    </row>
    <row r="204" spans="1:6" x14ac:dyDescent="0.25">
      <c r="A204" s="1">
        <v>44876</v>
      </c>
      <c r="B204">
        <f>MONTH(timeseries_access_key_fqeas14oitk235763mntlb1c0brnk9w3fenzqbk313q5kvxyf52kukw1pa[[#This Row],[Name]])</f>
        <v>11</v>
      </c>
      <c r="C204">
        <f>YEAR(timeseries_access_key_fqeas14oitk235763mntlb1c0brnk9w3fenzqbk313q5kvxyf52kukw1pa[[#This Row],[Name]])</f>
        <v>2022</v>
      </c>
      <c r="D204">
        <v>11.124809688580999</v>
      </c>
      <c r="E204">
        <f>IF(timeseries_access_key_fqeas14oitk235763mntlb1c0brnk9w3fenzqbk313q5kvxyf52kukw1pa[[#This Row],[Value.LME-ZNC]]="",0,timeseries_access_key_fqeas14oitk235763mntlb1c0brnk9w3fenzqbk313q5kvxyf52kukw1pa[[#This Row],[Value.LME-ZNC]])</f>
        <v>11.124809688580999</v>
      </c>
      <c r="F204" s="2">
        <f t="shared" si="3"/>
        <v>0.32914450116006932</v>
      </c>
    </row>
    <row r="205" spans="1:6" x14ac:dyDescent="0.25">
      <c r="A205" s="1">
        <v>44880</v>
      </c>
      <c r="B205">
        <f>MONTH(timeseries_access_key_fqeas14oitk235763mntlb1c0brnk9w3fenzqbk313q5kvxyf52kukw1pa[[#This Row],[Name]])</f>
        <v>11</v>
      </c>
      <c r="C205">
        <f>YEAR(timeseries_access_key_fqeas14oitk235763mntlb1c0brnk9w3fenzqbk313q5kvxyf52kukw1pa[[#This Row],[Name]])</f>
        <v>2022</v>
      </c>
      <c r="D205">
        <v>10.452113133939999</v>
      </c>
      <c r="E205">
        <f>IF(timeseries_access_key_fqeas14oitk235763mntlb1c0brnk9w3fenzqbk313q5kvxyf52kukw1pa[[#This Row],[Value.LME-ZNC]]="",0,timeseries_access_key_fqeas14oitk235763mntlb1c0brnk9w3fenzqbk313q5kvxyf52kukw1pa[[#This Row],[Value.LME-ZNC]])</f>
        <v>10.452113133939999</v>
      </c>
      <c r="F205" s="2">
        <f t="shared" si="3"/>
        <v>0.28596833410671141</v>
      </c>
    </row>
    <row r="206" spans="1:6" x14ac:dyDescent="0.25">
      <c r="A206" s="1">
        <v>44881</v>
      </c>
      <c r="B206">
        <f>MONTH(timeseries_access_key_fqeas14oitk235763mntlb1c0brnk9w3fenzqbk313q5kvxyf52kukw1pa[[#This Row],[Name]])</f>
        <v>11</v>
      </c>
      <c r="C206">
        <f>YEAR(timeseries_access_key_fqeas14oitk235763mntlb1c0brnk9w3fenzqbk313q5kvxyf52kukw1pa[[#This Row],[Name]])</f>
        <v>2022</v>
      </c>
      <c r="D206">
        <v>10.452113133939999</v>
      </c>
      <c r="E206">
        <f>IF(timeseries_access_key_fqeas14oitk235763mntlb1c0brnk9w3fenzqbk313q5kvxyf52kukw1pa[[#This Row],[Value.LME-ZNC]]="",0,timeseries_access_key_fqeas14oitk235763mntlb1c0brnk9w3fenzqbk313q5kvxyf52kukw1pa[[#This Row],[Value.LME-ZNC]])</f>
        <v>10.452113133939999</v>
      </c>
      <c r="F206" s="2">
        <f t="shared" si="3"/>
        <v>0.28596833410671141</v>
      </c>
    </row>
    <row r="207" spans="1:6" x14ac:dyDescent="0.25">
      <c r="A207" s="1">
        <v>44882</v>
      </c>
      <c r="B207">
        <f>MONTH(timeseries_access_key_fqeas14oitk235763mntlb1c0brnk9w3fenzqbk313q5kvxyf52kukw1pa[[#This Row],[Name]])</f>
        <v>11</v>
      </c>
      <c r="C207">
        <f>YEAR(timeseries_access_key_fqeas14oitk235763mntlb1c0brnk9w3fenzqbk313q5kvxyf52kukw1pa[[#This Row],[Name]])</f>
        <v>2022</v>
      </c>
      <c r="D207">
        <v>10.414868804665</v>
      </c>
      <c r="E207">
        <f>IF(timeseries_access_key_fqeas14oitk235763mntlb1c0brnk9w3fenzqbk313q5kvxyf52kukw1pa[[#This Row],[Value.LME-ZNC]]="",0,timeseries_access_key_fqeas14oitk235763mntlb1c0brnk9w3fenzqbk313q5kvxyf52kukw1pa[[#This Row],[Value.LME-ZNC]])</f>
        <v>10.414868804665</v>
      </c>
      <c r="F207" s="2">
        <f t="shared" si="3"/>
        <v>0.28341490487240417</v>
      </c>
    </row>
    <row r="208" spans="1:6" x14ac:dyDescent="0.25">
      <c r="A208" s="1">
        <v>44883</v>
      </c>
      <c r="B208">
        <f>MONTH(timeseries_access_key_fqeas14oitk235763mntlb1c0brnk9w3fenzqbk313q5kvxyf52kukw1pa[[#This Row],[Name]])</f>
        <v>11</v>
      </c>
      <c r="C208">
        <f>YEAR(timeseries_access_key_fqeas14oitk235763mntlb1c0brnk9w3fenzqbk313q5kvxyf52kukw1pa[[#This Row],[Name]])</f>
        <v>2022</v>
      </c>
      <c r="D208">
        <v>10.716900000000001</v>
      </c>
      <c r="E208">
        <f>IF(timeseries_access_key_fqeas14oitk235763mntlb1c0brnk9w3fenzqbk313q5kvxyf52kukw1pa[[#This Row],[Value.LME-ZNC]]="",0,timeseries_access_key_fqeas14oitk235763mntlb1c0brnk9w3fenzqbk313q5kvxyf52kukw1pa[[#This Row],[Value.LME-ZNC]])</f>
        <v>10.716900000000001</v>
      </c>
      <c r="F208" s="2">
        <f t="shared" si="3"/>
        <v>0.30361020881670087</v>
      </c>
    </row>
    <row r="209" spans="1:6" x14ac:dyDescent="0.25">
      <c r="A209" s="1">
        <v>44884</v>
      </c>
      <c r="B209">
        <f>MONTH(timeseries_access_key_fqeas14oitk235763mntlb1c0brnk9w3fenzqbk313q5kvxyf52kukw1pa[[#This Row],[Name]])</f>
        <v>11</v>
      </c>
      <c r="C209">
        <f>YEAR(timeseries_access_key_fqeas14oitk235763mntlb1c0brnk9w3fenzqbk313q5kvxyf52kukw1pa[[#This Row],[Name]])</f>
        <v>2022</v>
      </c>
      <c r="D209">
        <v>10.690174563591</v>
      </c>
      <c r="E209">
        <f>IF(timeseries_access_key_fqeas14oitk235763mntlb1c0brnk9w3fenzqbk313q5kvxyf52kukw1pa[[#This Row],[Value.LME-ZNC]]="",0,timeseries_access_key_fqeas14oitk235763mntlb1c0brnk9w3fenzqbk313q5kvxyf52kukw1pa[[#This Row],[Value.LME-ZNC]])</f>
        <v>10.690174563591</v>
      </c>
      <c r="F209" s="2">
        <f t="shared" si="3"/>
        <v>0.30186923433874102</v>
      </c>
    </row>
    <row r="210" spans="1:6" x14ac:dyDescent="0.25">
      <c r="A210" s="1">
        <v>44885</v>
      </c>
      <c r="B210">
        <f>MONTH(timeseries_access_key_fqeas14oitk235763mntlb1c0brnk9w3fenzqbk313q5kvxyf52kukw1pa[[#This Row],[Name]])</f>
        <v>11</v>
      </c>
      <c r="C210">
        <f>YEAR(timeseries_access_key_fqeas14oitk235763mntlb1c0brnk9w3fenzqbk313q5kvxyf52kukw1pa[[#This Row],[Name]])</f>
        <v>2022</v>
      </c>
      <c r="D210">
        <v>10.690174563591</v>
      </c>
      <c r="E210">
        <f>IF(timeseries_access_key_fqeas14oitk235763mntlb1c0brnk9w3fenzqbk313q5kvxyf52kukw1pa[[#This Row],[Value.LME-ZNC]]="",0,timeseries_access_key_fqeas14oitk235763mntlb1c0brnk9w3fenzqbk313q5kvxyf52kukw1pa[[#This Row],[Value.LME-ZNC]])</f>
        <v>10.690174563591</v>
      </c>
      <c r="F210" s="2">
        <f t="shared" si="3"/>
        <v>0.30186923433874102</v>
      </c>
    </row>
    <row r="211" spans="1:6" x14ac:dyDescent="0.25">
      <c r="A211" s="1">
        <v>44886</v>
      </c>
      <c r="B211">
        <f>MONTH(timeseries_access_key_fqeas14oitk235763mntlb1c0brnk9w3fenzqbk313q5kvxyf52kukw1pa[[#This Row],[Name]])</f>
        <v>11</v>
      </c>
      <c r="C211">
        <f>YEAR(timeseries_access_key_fqeas14oitk235763mntlb1c0brnk9w3fenzqbk313q5kvxyf52kukw1pa[[#This Row],[Name]])</f>
        <v>2022</v>
      </c>
      <c r="D211">
        <v>10.690174563591</v>
      </c>
      <c r="E211">
        <f>IF(timeseries_access_key_fqeas14oitk235763mntlb1c0brnk9w3fenzqbk313q5kvxyf52kukw1pa[[#This Row],[Value.LME-ZNC]]="",0,timeseries_access_key_fqeas14oitk235763mntlb1c0brnk9w3fenzqbk313q5kvxyf52kukw1pa[[#This Row],[Value.LME-ZNC]])</f>
        <v>10.690174563591</v>
      </c>
      <c r="F211" s="2">
        <f t="shared" si="3"/>
        <v>0.30186923433874102</v>
      </c>
    </row>
    <row r="212" spans="1:6" x14ac:dyDescent="0.25">
      <c r="A212" s="1">
        <v>44887</v>
      </c>
      <c r="B212">
        <f>MONTH(timeseries_access_key_fqeas14oitk235763mntlb1c0brnk9w3fenzqbk313q5kvxyf52kukw1pa[[#This Row],[Name]])</f>
        <v>11</v>
      </c>
      <c r="C212">
        <f>YEAR(timeseries_access_key_fqeas14oitk235763mntlb1c0brnk9w3fenzqbk313q5kvxyf52kukw1pa[[#This Row],[Name]])</f>
        <v>2022</v>
      </c>
      <c r="D212">
        <v>10.965450204638</v>
      </c>
      <c r="E212">
        <f>IF(timeseries_access_key_fqeas14oitk235763mntlb1c0brnk9w3fenzqbk313q5kvxyf52kukw1pa[[#This Row],[Value.LME-ZNC]]="",0,timeseries_access_key_fqeas14oitk235763mntlb1c0brnk9w3fenzqbk313q5kvxyf52kukw1pa[[#This Row],[Value.LME-ZNC]])</f>
        <v>10.965450204638</v>
      </c>
      <c r="F212" s="2">
        <f t="shared" si="3"/>
        <v>0.31939504408349284</v>
      </c>
    </row>
    <row r="213" spans="1:6" x14ac:dyDescent="0.25">
      <c r="A213" s="1">
        <v>44888</v>
      </c>
      <c r="B213">
        <f>MONTH(timeseries_access_key_fqeas14oitk235763mntlb1c0brnk9w3fenzqbk313q5kvxyf52kukw1pa[[#This Row],[Name]])</f>
        <v>11</v>
      </c>
      <c r="C213">
        <f>YEAR(timeseries_access_key_fqeas14oitk235763mntlb1c0brnk9w3fenzqbk313q5kvxyf52kukw1pa[[#This Row],[Name]])</f>
        <v>2022</v>
      </c>
      <c r="D213">
        <v>11.06927181959</v>
      </c>
      <c r="E213">
        <f>IF(timeseries_access_key_fqeas14oitk235763mntlb1c0brnk9w3fenzqbk313q5kvxyf52kukw1pa[[#This Row],[Value.LME-ZNC]]="",0,timeseries_access_key_fqeas14oitk235763mntlb1c0brnk9w3fenzqbk313q5kvxyf52kukw1pa[[#This Row],[Value.LME-ZNC]])</f>
        <v>11.06927181959</v>
      </c>
      <c r="F213" s="2">
        <f t="shared" si="3"/>
        <v>0.32577861716935141</v>
      </c>
    </row>
    <row r="214" spans="1:6" x14ac:dyDescent="0.25">
      <c r="A214" s="1">
        <v>44889</v>
      </c>
      <c r="B214">
        <f>MONTH(timeseries_access_key_fqeas14oitk235763mntlb1c0brnk9w3fenzqbk313q5kvxyf52kukw1pa[[#This Row],[Name]])</f>
        <v>11</v>
      </c>
      <c r="C214">
        <f>YEAR(timeseries_access_key_fqeas14oitk235763mntlb1c0brnk9w3fenzqbk313q5kvxyf52kukw1pa[[#This Row],[Name]])</f>
        <v>2022</v>
      </c>
      <c r="D214">
        <v>11.117116182573</v>
      </c>
      <c r="E214">
        <f>IF(timeseries_access_key_fqeas14oitk235763mntlb1c0brnk9w3fenzqbk313q5kvxyf52kukw1pa[[#This Row],[Value.LME-ZNC]]="",0,timeseries_access_key_fqeas14oitk235763mntlb1c0brnk9w3fenzqbk313q5kvxyf52kukw1pa[[#This Row],[Value.LME-ZNC]])</f>
        <v>11.117116182573</v>
      </c>
      <c r="F214" s="2">
        <f t="shared" si="3"/>
        <v>0.32868024129932283</v>
      </c>
    </row>
    <row r="215" spans="1:6" x14ac:dyDescent="0.25">
      <c r="A215" s="1">
        <v>44890</v>
      </c>
      <c r="B215">
        <f>MONTH(timeseries_access_key_fqeas14oitk235763mntlb1c0brnk9w3fenzqbk313q5kvxyf52kukw1pa[[#This Row],[Name]])</f>
        <v>11</v>
      </c>
      <c r="C215">
        <f>YEAR(timeseries_access_key_fqeas14oitk235763mntlb1c0brnk9w3fenzqbk313q5kvxyf52kukw1pa[[#This Row],[Name]])</f>
        <v>2022</v>
      </c>
      <c r="D215">
        <v>11.040762362637</v>
      </c>
      <c r="E215">
        <f>IF(timeseries_access_key_fqeas14oitk235763mntlb1c0brnk9w3fenzqbk313q5kvxyf52kukw1pa[[#This Row],[Value.LME-ZNC]]="",0,timeseries_access_key_fqeas14oitk235763mntlb1c0brnk9w3fenzqbk313q5kvxyf52kukw1pa[[#This Row],[Value.LME-ZNC]])</f>
        <v>11.040762362637</v>
      </c>
      <c r="F215" s="2">
        <f t="shared" si="3"/>
        <v>0.32403764269138868</v>
      </c>
    </row>
    <row r="216" spans="1:6" x14ac:dyDescent="0.25">
      <c r="A216" s="1">
        <v>44891</v>
      </c>
      <c r="B216">
        <f>MONTH(timeseries_access_key_fqeas14oitk235763mntlb1c0brnk9w3fenzqbk313q5kvxyf52kukw1pa[[#This Row],[Name]])</f>
        <v>11</v>
      </c>
      <c r="C216">
        <f>YEAR(timeseries_access_key_fqeas14oitk235763mntlb1c0brnk9w3fenzqbk313q5kvxyf52kukw1pa[[#This Row],[Name]])</f>
        <v>2022</v>
      </c>
      <c r="D216">
        <v>10.991692307692</v>
      </c>
      <c r="E216">
        <f>IF(timeseries_access_key_fqeas14oitk235763mntlb1c0brnk9w3fenzqbk313q5kvxyf52kukw1pa[[#This Row],[Value.LME-ZNC]]="",0,timeseries_access_key_fqeas14oitk235763mntlb1c0brnk9w3fenzqbk313q5kvxyf52kukw1pa[[#This Row],[Value.LME-ZNC]])</f>
        <v>10.991692307692</v>
      </c>
      <c r="F216" s="2">
        <f t="shared" si="3"/>
        <v>0.32101995359626423</v>
      </c>
    </row>
    <row r="217" spans="1:6" x14ac:dyDescent="0.25">
      <c r="A217" s="1">
        <v>44892</v>
      </c>
      <c r="B217">
        <f>MONTH(timeseries_access_key_fqeas14oitk235763mntlb1c0brnk9w3fenzqbk313q5kvxyf52kukw1pa[[#This Row],[Name]])</f>
        <v>11</v>
      </c>
      <c r="C217">
        <f>YEAR(timeseries_access_key_fqeas14oitk235763mntlb1c0brnk9w3fenzqbk313q5kvxyf52kukw1pa[[#This Row],[Name]])</f>
        <v>2022</v>
      </c>
      <c r="D217">
        <v>10.991692307692</v>
      </c>
      <c r="E217">
        <f>IF(timeseries_access_key_fqeas14oitk235763mntlb1c0brnk9w3fenzqbk313q5kvxyf52kukw1pa[[#This Row],[Value.LME-ZNC]]="",0,timeseries_access_key_fqeas14oitk235763mntlb1c0brnk9w3fenzqbk313q5kvxyf52kukw1pa[[#This Row],[Value.LME-ZNC]])</f>
        <v>10.991692307692</v>
      </c>
      <c r="F217" s="2">
        <f t="shared" si="3"/>
        <v>0.32101995359626423</v>
      </c>
    </row>
    <row r="218" spans="1:6" x14ac:dyDescent="0.25">
      <c r="A218" s="1">
        <v>44893</v>
      </c>
      <c r="B218">
        <f>MONTH(timeseries_access_key_fqeas14oitk235763mntlb1c0brnk9w3fenzqbk313q5kvxyf52kukw1pa[[#This Row],[Name]])</f>
        <v>11</v>
      </c>
      <c r="C218">
        <f>YEAR(timeseries_access_key_fqeas14oitk235763mntlb1c0brnk9w3fenzqbk313q5kvxyf52kukw1pa[[#This Row],[Name]])</f>
        <v>2022</v>
      </c>
      <c r="D218">
        <v>10.991692307692</v>
      </c>
      <c r="E218">
        <f>IF(timeseries_access_key_fqeas14oitk235763mntlb1c0brnk9w3fenzqbk313q5kvxyf52kukw1pa[[#This Row],[Value.LME-ZNC]]="",0,timeseries_access_key_fqeas14oitk235763mntlb1c0brnk9w3fenzqbk313q5kvxyf52kukw1pa[[#This Row],[Value.LME-ZNC]])</f>
        <v>10.991692307692</v>
      </c>
      <c r="F218" s="2">
        <f t="shared" si="3"/>
        <v>0.32101995359626423</v>
      </c>
    </row>
    <row r="219" spans="1:6" x14ac:dyDescent="0.25">
      <c r="A219" s="1">
        <v>44894</v>
      </c>
      <c r="B219">
        <f>MONTH(timeseries_access_key_fqeas14oitk235763mntlb1c0brnk9w3fenzqbk313q5kvxyf52kukw1pa[[#This Row],[Name]])</f>
        <v>11</v>
      </c>
      <c r="C219">
        <f>YEAR(timeseries_access_key_fqeas14oitk235763mntlb1c0brnk9w3fenzqbk313q5kvxyf52kukw1pa[[#This Row],[Name]])</f>
        <v>2022</v>
      </c>
      <c r="D219">
        <v>11.040762362637</v>
      </c>
      <c r="E219">
        <f>IF(timeseries_access_key_fqeas14oitk235763mntlb1c0brnk9w3fenzqbk313q5kvxyf52kukw1pa[[#This Row],[Value.LME-ZNC]]="",0,timeseries_access_key_fqeas14oitk235763mntlb1c0brnk9w3fenzqbk313q5kvxyf52kukw1pa[[#This Row],[Value.LME-ZNC]])</f>
        <v>11.040762362637</v>
      </c>
      <c r="F219" s="2">
        <f t="shared" si="3"/>
        <v>0.32403764269138868</v>
      </c>
    </row>
    <row r="220" spans="1:6" x14ac:dyDescent="0.25">
      <c r="A220" s="1">
        <v>44895</v>
      </c>
      <c r="B220">
        <f>MONTH(timeseries_access_key_fqeas14oitk235763mntlb1c0brnk9w3fenzqbk313q5kvxyf52kukw1pa[[#This Row],[Name]])</f>
        <v>11</v>
      </c>
      <c r="C220">
        <f>YEAR(timeseries_access_key_fqeas14oitk235763mntlb1c0brnk9w3fenzqbk313q5kvxyf52kukw1pa[[#This Row],[Name]])</f>
        <v>2022</v>
      </c>
      <c r="D220">
        <v>10.876420838972001</v>
      </c>
      <c r="E220">
        <f>IF(timeseries_access_key_fqeas14oitk235763mntlb1c0brnk9w3fenzqbk313q5kvxyf52kukw1pa[[#This Row],[Value.LME-ZNC]]="",0,timeseries_access_key_fqeas14oitk235763mntlb1c0brnk9w3fenzqbk313q5kvxyf52kukw1pa[[#This Row],[Value.LME-ZNC]])</f>
        <v>10.876420838972001</v>
      </c>
      <c r="F220" s="2">
        <f t="shared" si="3"/>
        <v>0.31382392575408213</v>
      </c>
    </row>
    <row r="221" spans="1:6" x14ac:dyDescent="0.25">
      <c r="A221" s="1">
        <v>44896</v>
      </c>
      <c r="B221">
        <f>MONTH(timeseries_access_key_fqeas14oitk235763mntlb1c0brnk9w3fenzqbk313q5kvxyf52kukw1pa[[#This Row],[Name]])</f>
        <v>12</v>
      </c>
      <c r="C221">
        <f>YEAR(timeseries_access_key_fqeas14oitk235763mntlb1c0brnk9w3fenzqbk313q5kvxyf52kukw1pa[[#This Row],[Name]])</f>
        <v>2022</v>
      </c>
      <c r="D221">
        <v>10.810591795562001</v>
      </c>
      <c r="E221">
        <f>IF(timeseries_access_key_fqeas14oitk235763mntlb1c0brnk9w3fenzqbk313q5kvxyf52kukw1pa[[#This Row],[Value.LME-ZNC]]="",0,timeseries_access_key_fqeas14oitk235763mntlb1c0brnk9w3fenzqbk313q5kvxyf52kukw1pa[[#This Row],[Value.LME-ZNC]])</f>
        <v>10.810591795562001</v>
      </c>
      <c r="F221" s="2">
        <f t="shared" si="3"/>
        <v>0.30964558700698586</v>
      </c>
    </row>
    <row r="222" spans="1:6" x14ac:dyDescent="0.25">
      <c r="A222" s="1">
        <v>44897</v>
      </c>
      <c r="B222">
        <f>MONTH(timeseries_access_key_fqeas14oitk235763mntlb1c0brnk9w3fenzqbk313q5kvxyf52kukw1pa[[#This Row],[Name]])</f>
        <v>12</v>
      </c>
      <c r="C222">
        <f>YEAR(timeseries_access_key_fqeas14oitk235763mntlb1c0brnk9w3fenzqbk313q5kvxyf52kukw1pa[[#This Row],[Name]])</f>
        <v>2022</v>
      </c>
      <c r="D222">
        <v>10.518796008505999</v>
      </c>
      <c r="E222">
        <f>IF(timeseries_access_key_fqeas14oitk235763mntlb1c0brnk9w3fenzqbk313q5kvxyf52kukw1pa[[#This Row],[Value.LME-ZNC]]="",0,timeseries_access_key_fqeas14oitk235763mntlb1c0brnk9w3fenzqbk313q5kvxyf52kukw1pa[[#This Row],[Value.LME-ZNC]])</f>
        <v>10.518796008505999</v>
      </c>
      <c r="F222" s="2">
        <f t="shared" si="3"/>
        <v>0.29049486774938416</v>
      </c>
    </row>
    <row r="223" spans="1:6" x14ac:dyDescent="0.25">
      <c r="A223" s="1">
        <v>44898</v>
      </c>
      <c r="B223">
        <f>MONTH(timeseries_access_key_fqeas14oitk235763mntlb1c0brnk9w3fenzqbk313q5kvxyf52kukw1pa[[#This Row],[Name]])</f>
        <v>12</v>
      </c>
      <c r="C223">
        <f>YEAR(timeseries_access_key_fqeas14oitk235763mntlb1c0brnk9w3fenzqbk313q5kvxyf52kukw1pa[[#This Row],[Name]])</f>
        <v>2022</v>
      </c>
      <c r="D223">
        <v>10.484493722485</v>
      </c>
      <c r="E223">
        <f>IF(timeseries_access_key_fqeas14oitk235763mntlb1c0brnk9w3fenzqbk313q5kvxyf52kukw1pa[[#This Row],[Value.LME-ZNC]]="",0,timeseries_access_key_fqeas14oitk235763mntlb1c0brnk9w3fenzqbk313q5kvxyf52kukw1pa[[#This Row],[Value.LME-ZNC]])</f>
        <v>10.484493722485</v>
      </c>
      <c r="F223" s="2">
        <f t="shared" si="3"/>
        <v>0.28817356844547659</v>
      </c>
    </row>
    <row r="224" spans="1:6" x14ac:dyDescent="0.25">
      <c r="A224" s="1">
        <v>44899</v>
      </c>
      <c r="B224">
        <f>MONTH(timeseries_access_key_fqeas14oitk235763mntlb1c0brnk9w3fenzqbk313q5kvxyf52kukw1pa[[#This Row],[Name]])</f>
        <v>12</v>
      </c>
      <c r="C224">
        <f>YEAR(timeseries_access_key_fqeas14oitk235763mntlb1c0brnk9w3fenzqbk313q5kvxyf52kukw1pa[[#This Row],[Name]])</f>
        <v>2022</v>
      </c>
      <c r="D224">
        <v>10.484493722485</v>
      </c>
      <c r="E224">
        <f>IF(timeseries_access_key_fqeas14oitk235763mntlb1c0brnk9w3fenzqbk313q5kvxyf52kukw1pa[[#This Row],[Value.LME-ZNC]]="",0,timeseries_access_key_fqeas14oitk235763mntlb1c0brnk9w3fenzqbk313q5kvxyf52kukw1pa[[#This Row],[Value.LME-ZNC]])</f>
        <v>10.484493722485</v>
      </c>
      <c r="F224" s="2">
        <f t="shared" si="3"/>
        <v>0.28817356844547659</v>
      </c>
    </row>
    <row r="225" spans="1:6" x14ac:dyDescent="0.25">
      <c r="A225" s="1">
        <v>44900</v>
      </c>
      <c r="B225">
        <f>MONTH(timeseries_access_key_fqeas14oitk235763mntlb1c0brnk9w3fenzqbk313q5kvxyf52kukw1pa[[#This Row],[Name]])</f>
        <v>12</v>
      </c>
      <c r="C225">
        <f>YEAR(timeseries_access_key_fqeas14oitk235763mntlb1c0brnk9w3fenzqbk313q5kvxyf52kukw1pa[[#This Row],[Name]])</f>
        <v>2022</v>
      </c>
      <c r="D225">
        <v>10.484493722485</v>
      </c>
      <c r="E225">
        <f>IF(timeseries_access_key_fqeas14oitk235763mntlb1c0brnk9w3fenzqbk313q5kvxyf52kukw1pa[[#This Row],[Value.LME-ZNC]]="",0,timeseries_access_key_fqeas14oitk235763mntlb1c0brnk9w3fenzqbk313q5kvxyf52kukw1pa[[#This Row],[Value.LME-ZNC]])</f>
        <v>10.484493722485</v>
      </c>
      <c r="F225" s="2">
        <f t="shared" si="3"/>
        <v>0.28817356844547659</v>
      </c>
    </row>
    <row r="226" spans="1:6" x14ac:dyDescent="0.25">
      <c r="A226" s="1">
        <v>44901</v>
      </c>
      <c r="B226">
        <f>MONTH(timeseries_access_key_fqeas14oitk235763mntlb1c0brnk9w3fenzqbk313q5kvxyf52kukw1pa[[#This Row],[Name]])</f>
        <v>12</v>
      </c>
      <c r="C226">
        <f>YEAR(timeseries_access_key_fqeas14oitk235763mntlb1c0brnk9w3fenzqbk313q5kvxyf52kukw1pa[[#This Row],[Name]])</f>
        <v>2022</v>
      </c>
      <c r="D226">
        <v>10.303060406986001</v>
      </c>
      <c r="E226">
        <f>IF(timeseries_access_key_fqeas14oitk235763mntlb1c0brnk9w3fenzqbk313q5kvxyf52kukw1pa[[#This Row],[Value.LME-ZNC]]="",0,timeseries_access_key_fqeas14oitk235763mntlb1c0brnk9w3fenzqbk313q5kvxyf52kukw1pa[[#This Row],[Value.LME-ZNC]])</f>
        <v>10.303060406986001</v>
      </c>
      <c r="F226" s="2">
        <f t="shared" si="3"/>
        <v>0.27563855220416744</v>
      </c>
    </row>
    <row r="227" spans="1:6" x14ac:dyDescent="0.25">
      <c r="A227" s="1">
        <v>44902</v>
      </c>
      <c r="B227">
        <f>MONTH(timeseries_access_key_fqeas14oitk235763mntlb1c0brnk9w3fenzqbk313q5kvxyf52kukw1pa[[#This Row],[Name]])</f>
        <v>12</v>
      </c>
      <c r="C227">
        <f>YEAR(timeseries_access_key_fqeas14oitk235763mntlb1c0brnk9w3fenzqbk313q5kvxyf52kukw1pa[[#This Row],[Name]])</f>
        <v>2022</v>
      </c>
      <c r="D227">
        <v>10.088076561029</v>
      </c>
      <c r="E227">
        <f>IF(timeseries_access_key_fqeas14oitk235763mntlb1c0brnk9w3fenzqbk313q5kvxyf52kukw1pa[[#This Row],[Value.LME-ZNC]]="",0,timeseries_access_key_fqeas14oitk235763mntlb1c0brnk9w3fenzqbk313q5kvxyf52kukw1pa[[#This Row],[Value.LME-ZNC]])</f>
        <v>10.088076561029</v>
      </c>
      <c r="F227" s="2">
        <f t="shared" si="3"/>
        <v>0.26020191183292851</v>
      </c>
    </row>
    <row r="228" spans="1:6" x14ac:dyDescent="0.25">
      <c r="A228" s="1">
        <v>44903</v>
      </c>
      <c r="B228">
        <f>MONTH(timeseries_access_key_fqeas14oitk235763mntlb1c0brnk9w3fenzqbk313q5kvxyf52kukw1pa[[#This Row],[Name]])</f>
        <v>12</v>
      </c>
      <c r="C228">
        <f>YEAR(timeseries_access_key_fqeas14oitk235763mntlb1c0brnk9w3fenzqbk313q5kvxyf52kukw1pa[[#This Row],[Name]])</f>
        <v>2022</v>
      </c>
      <c r="D228">
        <v>10.239076433120999</v>
      </c>
      <c r="E228">
        <f>IF(timeseries_access_key_fqeas14oitk235763mntlb1c0brnk9w3fenzqbk313q5kvxyf52kukw1pa[[#This Row],[Value.LME-ZNC]]="",0,timeseries_access_key_fqeas14oitk235763mntlb1c0brnk9w3fenzqbk313q5kvxyf52kukw1pa[[#This Row],[Value.LME-ZNC]])</f>
        <v>10.239076433120999</v>
      </c>
      <c r="F228" s="2">
        <f t="shared" si="3"/>
        <v>0.27111201856147871</v>
      </c>
    </row>
    <row r="229" spans="1:6" x14ac:dyDescent="0.25">
      <c r="A229" s="1">
        <v>44904</v>
      </c>
      <c r="B229">
        <f>MONTH(timeseries_access_key_fqeas14oitk235763mntlb1c0brnk9w3fenzqbk313q5kvxyf52kukw1pa[[#This Row],[Name]])</f>
        <v>12</v>
      </c>
      <c r="C229">
        <f>YEAR(timeseries_access_key_fqeas14oitk235763mntlb1c0brnk9w3fenzqbk313q5kvxyf52kukw1pa[[#This Row],[Name]])</f>
        <v>2022</v>
      </c>
      <c r="D229">
        <v>9.9169339913634005</v>
      </c>
      <c r="E229">
        <f>IF(timeseries_access_key_fqeas14oitk235763mntlb1c0brnk9w3fenzqbk313q5kvxyf52kukw1pa[[#This Row],[Value.LME-ZNC]]="",0,timeseries_access_key_fqeas14oitk235763mntlb1c0brnk9w3fenzqbk313q5kvxyf52kukw1pa[[#This Row],[Value.LME-ZNC]])</f>
        <v>9.9169339913634005</v>
      </c>
      <c r="F229" s="2">
        <f t="shared" si="3"/>
        <v>0.24743476566125133</v>
      </c>
    </row>
    <row r="230" spans="1:6" x14ac:dyDescent="0.25">
      <c r="A230" s="1">
        <v>44905</v>
      </c>
      <c r="B230">
        <f>MONTH(timeseries_access_key_fqeas14oitk235763mntlb1c0brnk9w3fenzqbk313q5kvxyf52kukw1pa[[#This Row],[Name]])</f>
        <v>12</v>
      </c>
      <c r="C230">
        <f>YEAR(timeseries_access_key_fqeas14oitk235763mntlb1c0brnk9w3fenzqbk313q5kvxyf52kukw1pa[[#This Row],[Name]])</f>
        <v>2022</v>
      </c>
      <c r="D230">
        <v>9.9016630736064002</v>
      </c>
      <c r="E230">
        <f>IF(timeseries_access_key_fqeas14oitk235763mntlb1c0brnk9w3fenzqbk313q5kvxyf52kukw1pa[[#This Row],[Value.LME-ZNC]]="",0,timeseries_access_key_fqeas14oitk235763mntlb1c0brnk9w3fenzqbk313q5kvxyf52kukw1pa[[#This Row],[Value.LME-ZNC]])</f>
        <v>9.9016630736064002</v>
      </c>
      <c r="F230" s="2">
        <f t="shared" si="3"/>
        <v>0.2462741160092754</v>
      </c>
    </row>
    <row r="231" spans="1:6" x14ac:dyDescent="0.25">
      <c r="A231" s="1">
        <v>44906</v>
      </c>
      <c r="B231">
        <f>MONTH(timeseries_access_key_fqeas14oitk235763mntlb1c0brnk9w3fenzqbk313q5kvxyf52kukw1pa[[#This Row],[Name]])</f>
        <v>12</v>
      </c>
      <c r="C231">
        <f>YEAR(timeseries_access_key_fqeas14oitk235763mntlb1c0brnk9w3fenzqbk313q5kvxyf52kukw1pa[[#This Row],[Name]])</f>
        <v>2022</v>
      </c>
      <c r="D231">
        <v>9.9016630736064002</v>
      </c>
      <c r="E231">
        <f>IF(timeseries_access_key_fqeas14oitk235763mntlb1c0brnk9w3fenzqbk313q5kvxyf52kukw1pa[[#This Row],[Value.LME-ZNC]]="",0,timeseries_access_key_fqeas14oitk235763mntlb1c0brnk9w3fenzqbk313q5kvxyf52kukw1pa[[#This Row],[Value.LME-ZNC]])</f>
        <v>9.9016630736064002</v>
      </c>
      <c r="F231" s="2">
        <f t="shared" si="3"/>
        <v>0.2462741160092754</v>
      </c>
    </row>
    <row r="232" spans="1:6" x14ac:dyDescent="0.25">
      <c r="A232" s="1">
        <v>44907</v>
      </c>
      <c r="B232">
        <f>MONTH(timeseries_access_key_fqeas14oitk235763mntlb1c0brnk9w3fenzqbk313q5kvxyf52kukw1pa[[#This Row],[Name]])</f>
        <v>12</v>
      </c>
      <c r="C232">
        <f>YEAR(timeseries_access_key_fqeas14oitk235763mntlb1c0brnk9w3fenzqbk313q5kvxyf52kukw1pa[[#This Row],[Name]])</f>
        <v>2022</v>
      </c>
      <c r="D232">
        <v>9.9016630736064002</v>
      </c>
      <c r="E232">
        <f>IF(timeseries_access_key_fqeas14oitk235763mntlb1c0brnk9w3fenzqbk313q5kvxyf52kukw1pa[[#This Row],[Value.LME-ZNC]]="",0,timeseries_access_key_fqeas14oitk235763mntlb1c0brnk9w3fenzqbk313q5kvxyf52kukw1pa[[#This Row],[Value.LME-ZNC]])</f>
        <v>9.9016630736064002</v>
      </c>
      <c r="F232" s="2">
        <f t="shared" si="3"/>
        <v>0.2462741160092754</v>
      </c>
    </row>
    <row r="233" spans="1:6" x14ac:dyDescent="0.25">
      <c r="A233" s="1">
        <v>44908</v>
      </c>
      <c r="B233">
        <f>MONTH(timeseries_access_key_fqeas14oitk235763mntlb1c0brnk9w3fenzqbk313q5kvxyf52kukw1pa[[#This Row],[Name]])</f>
        <v>12</v>
      </c>
      <c r="C233">
        <f>YEAR(timeseries_access_key_fqeas14oitk235763mntlb1c0brnk9w3fenzqbk313q5kvxyf52kukw1pa[[#This Row],[Name]])</f>
        <v>2022</v>
      </c>
      <c r="D233">
        <v>9.7901035322776995</v>
      </c>
      <c r="E233">
        <f>IF(timeseries_access_key_fqeas14oitk235763mntlb1c0brnk9w3fenzqbk313q5kvxyf52kukw1pa[[#This Row],[Value.LME-ZNC]]="",0,timeseries_access_key_fqeas14oitk235763mntlb1c0brnk9w3fenzqbk313q5kvxyf52kukw1pa[[#This Row],[Value.LME-ZNC]])</f>
        <v>9.7901035322776995</v>
      </c>
      <c r="F233" s="2">
        <f t="shared" si="3"/>
        <v>0.23768530858468095</v>
      </c>
    </row>
    <row r="234" spans="1:6" x14ac:dyDescent="0.25">
      <c r="A234" s="1">
        <v>44909</v>
      </c>
      <c r="B234">
        <f>MONTH(timeseries_access_key_fqeas14oitk235763mntlb1c0brnk9w3fenzqbk313q5kvxyf52kukw1pa[[#This Row],[Name]])</f>
        <v>12</v>
      </c>
      <c r="C234">
        <f>YEAR(timeseries_access_key_fqeas14oitk235763mntlb1c0brnk9w3fenzqbk313q5kvxyf52kukw1pa[[#This Row],[Name]])</f>
        <v>2022</v>
      </c>
      <c r="D234">
        <v>9.7752204317422002</v>
      </c>
      <c r="E234">
        <f>IF(timeseries_access_key_fqeas14oitk235763mntlb1c0brnk9w3fenzqbk313q5kvxyf52kukw1pa[[#This Row],[Value.LME-ZNC]]="",0,timeseries_access_key_fqeas14oitk235763mntlb1c0brnk9w3fenzqbk313q5kvxyf52kukw1pa[[#This Row],[Value.LME-ZNC]])</f>
        <v>9.7752204317422002</v>
      </c>
      <c r="F234" s="2">
        <f t="shared" si="3"/>
        <v>0.23652465893271191</v>
      </c>
    </row>
    <row r="235" spans="1:6" x14ac:dyDescent="0.25">
      <c r="A235" s="1">
        <v>44910</v>
      </c>
      <c r="B235">
        <f>MONTH(timeseries_access_key_fqeas14oitk235763mntlb1c0brnk9w3fenzqbk313q5kvxyf52kukw1pa[[#This Row],[Name]])</f>
        <v>12</v>
      </c>
      <c r="C235">
        <f>YEAR(timeseries_access_key_fqeas14oitk235763mntlb1c0brnk9w3fenzqbk313q5kvxyf52kukw1pa[[#This Row],[Name]])</f>
        <v>2022</v>
      </c>
      <c r="D235">
        <v>9.8110161733292998</v>
      </c>
      <c r="E235">
        <f>IF(timeseries_access_key_fqeas14oitk235763mntlb1c0brnk9w3fenzqbk313q5kvxyf52kukw1pa[[#This Row],[Value.LME-ZNC]]="",0,timeseries_access_key_fqeas14oitk235763mntlb1c0brnk9w3fenzqbk313q5kvxyf52kukw1pa[[#This Row],[Value.LME-ZNC]])</f>
        <v>9.8110161733292998</v>
      </c>
      <c r="F235" s="2">
        <f t="shared" si="3"/>
        <v>0.23931021809744557</v>
      </c>
    </row>
    <row r="236" spans="1:6" x14ac:dyDescent="0.25">
      <c r="A236" s="1">
        <v>44911</v>
      </c>
      <c r="B236">
        <f>MONTH(timeseries_access_key_fqeas14oitk235763mntlb1c0brnk9w3fenzqbk313q5kvxyf52kukw1pa[[#This Row],[Name]])</f>
        <v>12</v>
      </c>
      <c r="C236">
        <f>YEAR(timeseries_access_key_fqeas14oitk235763mntlb1c0brnk9w3fenzqbk313q5kvxyf52kukw1pa[[#This Row],[Name]])</f>
        <v>2022</v>
      </c>
      <c r="D236">
        <v>9.9383925811437006</v>
      </c>
      <c r="E236">
        <f>IF(timeseries_access_key_fqeas14oitk235763mntlb1c0brnk9w3fenzqbk313q5kvxyf52kukw1pa[[#This Row],[Value.LME-ZNC]]="",0,timeseries_access_key_fqeas14oitk235763mntlb1c0brnk9w3fenzqbk313q5kvxyf52kukw1pa[[#This Row],[Value.LME-ZNC]])</f>
        <v>9.9383925811437006</v>
      </c>
      <c r="F236" s="2">
        <f t="shared" si="3"/>
        <v>0.24905967517400596</v>
      </c>
    </row>
    <row r="237" spans="1:6" x14ac:dyDescent="0.25">
      <c r="A237" s="1">
        <v>44912</v>
      </c>
      <c r="B237">
        <f>MONTH(timeseries_access_key_fqeas14oitk235763mntlb1c0brnk9w3fenzqbk313q5kvxyf52kukw1pa[[#This Row],[Name]])</f>
        <v>12</v>
      </c>
      <c r="C237">
        <f>YEAR(timeseries_access_key_fqeas14oitk235763mntlb1c0brnk9w3fenzqbk313q5kvxyf52kukw1pa[[#This Row],[Name]])</f>
        <v>2022</v>
      </c>
      <c r="D237">
        <v>10.281643748001001</v>
      </c>
      <c r="E237">
        <f>IF(timeseries_access_key_fqeas14oitk235763mntlb1c0brnk9w3fenzqbk313q5kvxyf52kukw1pa[[#This Row],[Value.LME-ZNC]]="",0,timeseries_access_key_fqeas14oitk235763mntlb1c0brnk9w3fenzqbk313q5kvxyf52kukw1pa[[#This Row],[Value.LME-ZNC]])</f>
        <v>10.281643748001001</v>
      </c>
      <c r="F237" s="2">
        <f t="shared" si="3"/>
        <v>0.27412970765658806</v>
      </c>
    </row>
    <row r="238" spans="1:6" x14ac:dyDescent="0.25">
      <c r="A238" s="1">
        <v>44913</v>
      </c>
      <c r="B238">
        <f>MONTH(timeseries_access_key_fqeas14oitk235763mntlb1c0brnk9w3fenzqbk313q5kvxyf52kukw1pa[[#This Row],[Name]])</f>
        <v>12</v>
      </c>
      <c r="C238">
        <f>YEAR(timeseries_access_key_fqeas14oitk235763mntlb1c0brnk9w3fenzqbk313q5kvxyf52kukw1pa[[#This Row],[Name]])</f>
        <v>2022</v>
      </c>
      <c r="D238">
        <v>10.281643748001001</v>
      </c>
      <c r="E238">
        <f>IF(timeseries_access_key_fqeas14oitk235763mntlb1c0brnk9w3fenzqbk313q5kvxyf52kukw1pa[[#This Row],[Value.LME-ZNC]]="",0,timeseries_access_key_fqeas14oitk235763mntlb1c0brnk9w3fenzqbk313q5kvxyf52kukw1pa[[#This Row],[Value.LME-ZNC]])</f>
        <v>10.281643748001001</v>
      </c>
      <c r="F238" s="2">
        <f t="shared" si="3"/>
        <v>0.27412970765658806</v>
      </c>
    </row>
    <row r="239" spans="1:6" x14ac:dyDescent="0.25">
      <c r="A239" s="1">
        <v>44914</v>
      </c>
      <c r="B239">
        <f>MONTH(timeseries_access_key_fqeas14oitk235763mntlb1c0brnk9w3fenzqbk313q5kvxyf52kukw1pa[[#This Row],[Name]])</f>
        <v>12</v>
      </c>
      <c r="C239">
        <f>YEAR(timeseries_access_key_fqeas14oitk235763mntlb1c0brnk9w3fenzqbk313q5kvxyf52kukw1pa[[#This Row],[Name]])</f>
        <v>2022</v>
      </c>
      <c r="D239">
        <v>10.281643748001001</v>
      </c>
      <c r="E239">
        <f>IF(timeseries_access_key_fqeas14oitk235763mntlb1c0brnk9w3fenzqbk313q5kvxyf52kukw1pa[[#This Row],[Value.LME-ZNC]]="",0,timeseries_access_key_fqeas14oitk235763mntlb1c0brnk9w3fenzqbk313q5kvxyf52kukw1pa[[#This Row],[Value.LME-ZNC]])</f>
        <v>10.281643748001001</v>
      </c>
      <c r="F239" s="2">
        <f t="shared" si="3"/>
        <v>0.27412970765658806</v>
      </c>
    </row>
    <row r="240" spans="1:6" x14ac:dyDescent="0.25">
      <c r="A240" s="1">
        <v>44915</v>
      </c>
      <c r="B240">
        <f>MONTH(timeseries_access_key_fqeas14oitk235763mntlb1c0brnk9w3fenzqbk313q5kvxyf52kukw1pa[[#This Row],[Name]])</f>
        <v>12</v>
      </c>
      <c r="C240">
        <f>YEAR(timeseries_access_key_fqeas14oitk235763mntlb1c0brnk9w3fenzqbk313q5kvxyf52kukw1pa[[#This Row],[Name]])</f>
        <v>2022</v>
      </c>
      <c r="D240">
        <v>10.506764705882</v>
      </c>
      <c r="E240">
        <f>IF(timeseries_access_key_fqeas14oitk235763mntlb1c0brnk9w3fenzqbk313q5kvxyf52kukw1pa[[#This Row],[Value.LME-ZNC]]="",0,timeseries_access_key_fqeas14oitk235763mntlb1c0brnk9w3fenzqbk313q5kvxyf52kukw1pa[[#This Row],[Value.LME-ZNC]])</f>
        <v>10.506764705882</v>
      </c>
      <c r="F240" s="2">
        <f t="shared" si="3"/>
        <v>0.2896824129930109</v>
      </c>
    </row>
    <row r="241" spans="1:6" x14ac:dyDescent="0.25">
      <c r="A241" s="1">
        <v>44916</v>
      </c>
      <c r="B241">
        <f>MONTH(timeseries_access_key_fqeas14oitk235763mntlb1c0brnk9w3fenzqbk313q5kvxyf52kukw1pa[[#This Row],[Name]])</f>
        <v>12</v>
      </c>
      <c r="C241">
        <f>YEAR(timeseries_access_key_fqeas14oitk235763mntlb1c0brnk9w3fenzqbk313q5kvxyf52kukw1pa[[#This Row],[Name]])</f>
        <v>2022</v>
      </c>
      <c r="D241">
        <v>10.455512195121999</v>
      </c>
      <c r="E241">
        <f>IF(timeseries_access_key_fqeas14oitk235763mntlb1c0brnk9w3fenzqbk313q5kvxyf52kukw1pa[[#This Row],[Value.LME-ZNC]]="",0,timeseries_access_key_fqeas14oitk235763mntlb1c0brnk9w3fenzqbk313q5kvxyf52kukw1pa[[#This Row],[Value.LME-ZNC]])</f>
        <v>10.455512195121999</v>
      </c>
      <c r="F241" s="2">
        <f t="shared" si="3"/>
        <v>0.28620046403712152</v>
      </c>
    </row>
    <row r="242" spans="1:6" x14ac:dyDescent="0.25">
      <c r="A242" s="1">
        <v>44917</v>
      </c>
      <c r="B242">
        <f>MONTH(timeseries_access_key_fqeas14oitk235763mntlb1c0brnk9w3fenzqbk313q5kvxyf52kukw1pa[[#This Row],[Name]])</f>
        <v>12</v>
      </c>
      <c r="C242">
        <f>YEAR(timeseries_access_key_fqeas14oitk235763mntlb1c0brnk9w3fenzqbk313q5kvxyf52kukw1pa[[#This Row],[Name]])</f>
        <v>2022</v>
      </c>
      <c r="D242">
        <v>10.487913880281001</v>
      </c>
      <c r="E242">
        <f>IF(timeseries_access_key_fqeas14oitk235763mntlb1c0brnk9w3fenzqbk313q5kvxyf52kukw1pa[[#This Row],[Value.LME-ZNC]]="",0,timeseries_access_key_fqeas14oitk235763mntlb1c0brnk9w3fenzqbk313q5kvxyf52kukw1pa[[#This Row],[Value.LME-ZNC]])</f>
        <v>10.487913880281001</v>
      </c>
      <c r="F242" s="2">
        <f t="shared" si="3"/>
        <v>0.28840569837589658</v>
      </c>
    </row>
    <row r="243" spans="1:6" x14ac:dyDescent="0.25">
      <c r="A243" s="1">
        <v>44919</v>
      </c>
      <c r="B243">
        <f>MONTH(timeseries_access_key_fqeas14oitk235763mntlb1c0brnk9w3fenzqbk313q5kvxyf52kukw1pa[[#This Row],[Name]])</f>
        <v>12</v>
      </c>
      <c r="C243">
        <f>YEAR(timeseries_access_key_fqeas14oitk235763mntlb1c0brnk9w3fenzqbk313q5kvxyf52kukw1pa[[#This Row],[Name]])</f>
        <v>2022</v>
      </c>
      <c r="D243">
        <v>10.770753768843999</v>
      </c>
      <c r="E243">
        <f>IF(timeseries_access_key_fqeas14oitk235763mntlb1c0brnk9w3fenzqbk313q5kvxyf52kukw1pa[[#This Row],[Value.LME-ZNC]]="",0,timeseries_access_key_fqeas14oitk235763mntlb1c0brnk9w3fenzqbk313q5kvxyf52kukw1pa[[#This Row],[Value.LME-ZNC]])</f>
        <v>10.770753768843999</v>
      </c>
      <c r="F243" s="2">
        <f t="shared" si="3"/>
        <v>0.30709215777260301</v>
      </c>
    </row>
    <row r="244" spans="1:6" x14ac:dyDescent="0.25">
      <c r="A244" s="1">
        <v>44920</v>
      </c>
      <c r="B244">
        <f>MONTH(timeseries_access_key_fqeas14oitk235763mntlb1c0brnk9w3fenzqbk313q5kvxyf52kukw1pa[[#This Row],[Name]])</f>
        <v>12</v>
      </c>
      <c r="C244">
        <f>YEAR(timeseries_access_key_fqeas14oitk235763mntlb1c0brnk9w3fenzqbk313q5kvxyf52kukw1pa[[#This Row],[Name]])</f>
        <v>2022</v>
      </c>
      <c r="D244">
        <v>10.770753768843999</v>
      </c>
      <c r="E244">
        <f>IF(timeseries_access_key_fqeas14oitk235763mntlb1c0brnk9w3fenzqbk313q5kvxyf52kukw1pa[[#This Row],[Value.LME-ZNC]]="",0,timeseries_access_key_fqeas14oitk235763mntlb1c0brnk9w3fenzqbk313q5kvxyf52kukw1pa[[#This Row],[Value.LME-ZNC]])</f>
        <v>10.770753768843999</v>
      </c>
      <c r="F244" s="2">
        <f t="shared" si="3"/>
        <v>0.30709215777260301</v>
      </c>
    </row>
    <row r="245" spans="1:6" x14ac:dyDescent="0.25">
      <c r="A245" s="1">
        <v>44921</v>
      </c>
      <c r="B245">
        <f>MONTH(timeseries_access_key_fqeas14oitk235763mntlb1c0brnk9w3fenzqbk313q5kvxyf52kukw1pa[[#This Row],[Name]])</f>
        <v>12</v>
      </c>
      <c r="C245">
        <f>YEAR(timeseries_access_key_fqeas14oitk235763mntlb1c0brnk9w3fenzqbk313q5kvxyf52kukw1pa[[#This Row],[Name]])</f>
        <v>2022</v>
      </c>
      <c r="D245">
        <v>10.770753768843999</v>
      </c>
      <c r="E245">
        <f>IF(timeseries_access_key_fqeas14oitk235763mntlb1c0brnk9w3fenzqbk313q5kvxyf52kukw1pa[[#This Row],[Value.LME-ZNC]]="",0,timeseries_access_key_fqeas14oitk235763mntlb1c0brnk9w3fenzqbk313q5kvxyf52kukw1pa[[#This Row],[Value.LME-ZNC]])</f>
        <v>10.770753768843999</v>
      </c>
      <c r="F245" s="2">
        <f t="shared" si="3"/>
        <v>0.30709215777260301</v>
      </c>
    </row>
    <row r="246" spans="1:6" x14ac:dyDescent="0.25">
      <c r="A246" s="1">
        <v>44922</v>
      </c>
      <c r="B246">
        <f>MONTH(timeseries_access_key_fqeas14oitk235763mntlb1c0brnk9w3fenzqbk313q5kvxyf52kukw1pa[[#This Row],[Name]])</f>
        <v>12</v>
      </c>
      <c r="C246">
        <f>YEAR(timeseries_access_key_fqeas14oitk235763mntlb1c0brnk9w3fenzqbk313q5kvxyf52kukw1pa[[#This Row],[Name]])</f>
        <v>2022</v>
      </c>
      <c r="E246">
        <f>IF(timeseries_access_key_fqeas14oitk235763mntlb1c0brnk9w3fenzqbk313q5kvxyf52kukw1pa[[#This Row],[Value.LME-ZNC]]="",0,timeseries_access_key_fqeas14oitk235763mntlb1c0brnk9w3fenzqbk313q5kvxyf52kukw1pa[[#This Row],[Value.LME-ZNC]])</f>
        <v>0</v>
      </c>
      <c r="F246" s="2">
        <f t="shared" si="3"/>
        <v>0</v>
      </c>
    </row>
    <row r="247" spans="1:6" x14ac:dyDescent="0.25">
      <c r="A247" s="1">
        <v>44923</v>
      </c>
      <c r="B247">
        <f>MONTH(timeseries_access_key_fqeas14oitk235763mntlb1c0brnk9w3fenzqbk313q5kvxyf52kukw1pa[[#This Row],[Name]])</f>
        <v>12</v>
      </c>
      <c r="C247">
        <f>YEAR(timeseries_access_key_fqeas14oitk235763mntlb1c0brnk9w3fenzqbk313q5kvxyf52kukw1pa[[#This Row],[Name]])</f>
        <v>2022</v>
      </c>
      <c r="E247">
        <f>IF(timeseries_access_key_fqeas14oitk235763mntlb1c0brnk9w3fenzqbk313q5kvxyf52kukw1pa[[#This Row],[Value.LME-ZNC]]="",0,timeseries_access_key_fqeas14oitk235763mntlb1c0brnk9w3fenzqbk313q5kvxyf52kukw1pa[[#This Row],[Value.LME-ZNC]])</f>
        <v>0</v>
      </c>
      <c r="F247" s="2">
        <f t="shared" si="3"/>
        <v>0</v>
      </c>
    </row>
    <row r="248" spans="1:6" x14ac:dyDescent="0.25">
      <c r="A248" s="1">
        <v>44924</v>
      </c>
      <c r="B248">
        <f>MONTH(timeseries_access_key_fqeas14oitk235763mntlb1c0brnk9w3fenzqbk313q5kvxyf52kukw1pa[[#This Row],[Name]])</f>
        <v>12</v>
      </c>
      <c r="C248">
        <f>YEAR(timeseries_access_key_fqeas14oitk235763mntlb1c0brnk9w3fenzqbk313q5kvxyf52kukw1pa[[#This Row],[Name]])</f>
        <v>2022</v>
      </c>
      <c r="D248">
        <v>10.520517015707</v>
      </c>
      <c r="E248">
        <f>IF(timeseries_access_key_fqeas14oitk235763mntlb1c0brnk9w3fenzqbk313q5kvxyf52kukw1pa[[#This Row],[Value.LME-ZNC]]="",0,timeseries_access_key_fqeas14oitk235763mntlb1c0brnk9w3fenzqbk313q5kvxyf52kukw1pa[[#This Row],[Value.LME-ZNC]])</f>
        <v>10.520517015707</v>
      </c>
      <c r="F248" s="2">
        <f t="shared" si="3"/>
        <v>0.29061093271462557</v>
      </c>
    </row>
    <row r="249" spans="1:6" x14ac:dyDescent="0.25">
      <c r="A249" s="1">
        <v>44925</v>
      </c>
      <c r="B249">
        <f>MONTH(timeseries_access_key_fqeas14oitk235763mntlb1c0brnk9w3fenzqbk313q5kvxyf52kukw1pa[[#This Row],[Name]])</f>
        <v>12</v>
      </c>
      <c r="C249">
        <f>YEAR(timeseries_access_key_fqeas14oitk235763mntlb1c0brnk9w3fenzqbk313q5kvxyf52kukw1pa[[#This Row],[Name]])</f>
        <v>2022</v>
      </c>
      <c r="D249">
        <v>10.649453461410999</v>
      </c>
      <c r="E249">
        <f>IF(timeseries_access_key_fqeas14oitk235763mntlb1c0brnk9w3fenzqbk313q5kvxyf52kukw1pa[[#This Row],[Value.LME-ZNC]]="",0,timeseries_access_key_fqeas14oitk235763mntlb1c0brnk9w3fenzqbk313q5kvxyf52kukw1pa[[#This Row],[Value.LME-ZNC]])</f>
        <v>10.649453461410999</v>
      </c>
      <c r="F249" s="2">
        <f t="shared" si="3"/>
        <v>0.29919974013920236</v>
      </c>
    </row>
    <row r="250" spans="1:6" x14ac:dyDescent="0.25">
      <c r="A250" s="1">
        <v>44926</v>
      </c>
      <c r="B250">
        <f>MONTH(timeseries_access_key_fqeas14oitk235763mntlb1c0brnk9w3fenzqbk313q5kvxyf52kukw1pa[[#This Row],[Name]])</f>
        <v>12</v>
      </c>
      <c r="C250">
        <f>YEAR(timeseries_access_key_fqeas14oitk235763mntlb1c0brnk9w3fenzqbk313q5kvxyf52kukw1pa[[#This Row],[Name]])</f>
        <v>2022</v>
      </c>
      <c r="D250">
        <v>10.649453461410999</v>
      </c>
      <c r="E250">
        <f>IF(timeseries_access_key_fqeas14oitk235763mntlb1c0brnk9w3fenzqbk313q5kvxyf52kukw1pa[[#This Row],[Value.LME-ZNC]]="",0,timeseries_access_key_fqeas14oitk235763mntlb1c0brnk9w3fenzqbk313q5kvxyf52kukw1pa[[#This Row],[Value.LME-ZNC]])</f>
        <v>10.649453461410999</v>
      </c>
      <c r="F250" s="2">
        <f t="shared" si="3"/>
        <v>0.29919974013920236</v>
      </c>
    </row>
    <row r="251" spans="1:6" x14ac:dyDescent="0.25">
      <c r="A251" s="1">
        <v>44927</v>
      </c>
      <c r="B251">
        <f>MONTH(timeseries_access_key_fqeas14oitk235763mntlb1c0brnk9w3fenzqbk313q5kvxyf52kukw1pa[[#This Row],[Name]])</f>
        <v>1</v>
      </c>
      <c r="C251">
        <f>YEAR(timeseries_access_key_fqeas14oitk235763mntlb1c0brnk9w3fenzqbk313q5kvxyf52kukw1pa[[#This Row],[Name]])</f>
        <v>2023</v>
      </c>
      <c r="D251">
        <v>10.649453461410999</v>
      </c>
      <c r="E251">
        <f>IF(timeseries_access_key_fqeas14oitk235763mntlb1c0brnk9w3fenzqbk313q5kvxyf52kukw1pa[[#This Row],[Value.LME-ZNC]]="",0,timeseries_access_key_fqeas14oitk235763mntlb1c0brnk9w3fenzqbk313q5kvxyf52kukw1pa[[#This Row],[Value.LME-ZNC]])</f>
        <v>10.649453461410999</v>
      </c>
      <c r="F251" s="2">
        <f t="shared" si="3"/>
        <v>0.29919974013920236</v>
      </c>
    </row>
    <row r="252" spans="1:6" x14ac:dyDescent="0.25">
      <c r="A252" s="1">
        <v>44928</v>
      </c>
      <c r="B252">
        <f>MONTH(timeseries_access_key_fqeas14oitk235763mntlb1c0brnk9w3fenzqbk313q5kvxyf52kukw1pa[[#This Row],[Name]])</f>
        <v>1</v>
      </c>
      <c r="C252">
        <f>YEAR(timeseries_access_key_fqeas14oitk235763mntlb1c0brnk9w3fenzqbk313q5kvxyf52kukw1pa[[#This Row],[Name]])</f>
        <v>2023</v>
      </c>
      <c r="D252">
        <v>10.649453461410999</v>
      </c>
      <c r="E252">
        <f>IF(timeseries_access_key_fqeas14oitk235763mntlb1c0brnk9w3fenzqbk313q5kvxyf52kukw1pa[[#This Row],[Value.LME-ZNC]]="",0,timeseries_access_key_fqeas14oitk235763mntlb1c0brnk9w3fenzqbk313q5kvxyf52kukw1pa[[#This Row],[Value.LME-ZNC]])</f>
        <v>10.649453461410999</v>
      </c>
      <c r="F252" s="2">
        <f t="shared" si="3"/>
        <v>0.29919974013920236</v>
      </c>
    </row>
    <row r="253" spans="1:6" x14ac:dyDescent="0.25">
      <c r="A253" s="1">
        <v>44929</v>
      </c>
      <c r="B253">
        <f>MONTH(timeseries_access_key_fqeas14oitk235763mntlb1c0brnk9w3fenzqbk313q5kvxyf52kukw1pa[[#This Row],[Name]])</f>
        <v>1</v>
      </c>
      <c r="C253">
        <f>YEAR(timeseries_access_key_fqeas14oitk235763mntlb1c0brnk9w3fenzqbk313q5kvxyf52kukw1pa[[#This Row],[Name]])</f>
        <v>2023</v>
      </c>
      <c r="E253">
        <f>IF(timeseries_access_key_fqeas14oitk235763mntlb1c0brnk9w3fenzqbk313q5kvxyf52kukw1pa[[#This Row],[Value.LME-ZNC]]="",0,timeseries_access_key_fqeas14oitk235763mntlb1c0brnk9w3fenzqbk313q5kvxyf52kukw1pa[[#This Row],[Value.LME-ZNC]])</f>
        <v>0</v>
      </c>
      <c r="F253" s="2">
        <f t="shared" si="3"/>
        <v>0</v>
      </c>
    </row>
    <row r="254" spans="1:6" x14ac:dyDescent="0.25">
      <c r="A254" s="1">
        <v>44930</v>
      </c>
      <c r="B254">
        <f>MONTH(timeseries_access_key_fqeas14oitk235763mntlb1c0brnk9w3fenzqbk313q5kvxyf52kukw1pa[[#This Row],[Name]])</f>
        <v>1</v>
      </c>
      <c r="C254">
        <f>YEAR(timeseries_access_key_fqeas14oitk235763mntlb1c0brnk9w3fenzqbk313q5kvxyf52kukw1pa[[#This Row],[Name]])</f>
        <v>2023</v>
      </c>
      <c r="D254">
        <v>10.702629826897001</v>
      </c>
      <c r="E254">
        <f>IF(timeseries_access_key_fqeas14oitk235763mntlb1c0brnk9w3fenzqbk313q5kvxyf52kukw1pa[[#This Row],[Value.LME-ZNC]]="",0,timeseries_access_key_fqeas14oitk235763mntlb1c0brnk9w3fenzqbk313q5kvxyf52kukw1pa[[#This Row],[Value.LME-ZNC]])</f>
        <v>10.702629826897001</v>
      </c>
      <c r="F254" s="2">
        <f t="shared" si="3"/>
        <v>0.30268168909509241</v>
      </c>
    </row>
    <row r="255" spans="1:6" x14ac:dyDescent="0.25">
      <c r="A255" s="1">
        <v>44931</v>
      </c>
      <c r="B255">
        <f>MONTH(timeseries_access_key_fqeas14oitk235763mntlb1c0brnk9w3fenzqbk313q5kvxyf52kukw1pa[[#This Row],[Name]])</f>
        <v>1</v>
      </c>
      <c r="C255">
        <f>YEAR(timeseries_access_key_fqeas14oitk235763mntlb1c0brnk9w3fenzqbk313q5kvxyf52kukw1pa[[#This Row],[Name]])</f>
        <v>2023</v>
      </c>
      <c r="D255">
        <v>10.799697682230001</v>
      </c>
      <c r="E255">
        <f>IF(timeseries_access_key_fqeas14oitk235763mntlb1c0brnk9w3fenzqbk313q5kvxyf52kukw1pa[[#This Row],[Value.LME-ZNC]]="",0,timeseries_access_key_fqeas14oitk235763mntlb1c0brnk9w3fenzqbk313q5kvxyf52kukw1pa[[#This Row],[Value.LME-ZNC]])</f>
        <v>10.799697682230001</v>
      </c>
      <c r="F255" s="2">
        <f t="shared" si="3"/>
        <v>0.30894919721574499</v>
      </c>
    </row>
    <row r="256" spans="1:6" x14ac:dyDescent="0.25">
      <c r="A256" s="1">
        <v>44932</v>
      </c>
      <c r="B256">
        <f>MONTH(timeseries_access_key_fqeas14oitk235763mntlb1c0brnk9w3fenzqbk313q5kvxyf52kukw1pa[[#This Row],[Name]])</f>
        <v>1</v>
      </c>
      <c r="C256">
        <f>YEAR(timeseries_access_key_fqeas14oitk235763mntlb1c0brnk9w3fenzqbk313q5kvxyf52kukw1pa[[#This Row],[Name]])</f>
        <v>2023</v>
      </c>
      <c r="D256">
        <v>10.575888157894999</v>
      </c>
      <c r="E256">
        <f>IF(timeseries_access_key_fqeas14oitk235763mntlb1c0brnk9w3fenzqbk313q5kvxyf52kukw1pa[[#This Row],[Value.LME-ZNC]]="",0,timeseries_access_key_fqeas14oitk235763mntlb1c0brnk9w3fenzqbk313q5kvxyf52kukw1pa[[#This Row],[Value.LME-ZNC]])</f>
        <v>10.575888157894999</v>
      </c>
      <c r="F256" s="2">
        <f t="shared" si="3"/>
        <v>0.29432501160094093</v>
      </c>
    </row>
    <row r="257" spans="1:6" x14ac:dyDescent="0.25">
      <c r="A257" s="1">
        <v>44933</v>
      </c>
      <c r="B257">
        <f>MONTH(timeseries_access_key_fqeas14oitk235763mntlb1c0brnk9w3fenzqbk313q5kvxyf52kukw1pa[[#This Row],[Name]])</f>
        <v>1</v>
      </c>
      <c r="C257">
        <f>YEAR(timeseries_access_key_fqeas14oitk235763mntlb1c0brnk9w3fenzqbk313q5kvxyf52kukw1pa[[#This Row],[Name]])</f>
        <v>2023</v>
      </c>
      <c r="D257">
        <v>10.738376753507</v>
      </c>
      <c r="E257">
        <f>IF(timeseries_access_key_fqeas14oitk235763mntlb1c0brnk9w3fenzqbk313q5kvxyf52kukw1pa[[#This Row],[Value.LME-ZNC]]="",0,timeseries_access_key_fqeas14oitk235763mntlb1c0brnk9w3fenzqbk313q5kvxyf52kukw1pa[[#This Row],[Value.LME-ZNC]])</f>
        <v>10.738376753507</v>
      </c>
      <c r="F257" s="2">
        <f t="shared" si="3"/>
        <v>0.30500298839906648</v>
      </c>
    </row>
    <row r="258" spans="1:6" x14ac:dyDescent="0.25">
      <c r="A258" s="1">
        <v>44934</v>
      </c>
      <c r="B258">
        <f>MONTH(timeseries_access_key_fqeas14oitk235763mntlb1c0brnk9w3fenzqbk313q5kvxyf52kukw1pa[[#This Row],[Name]])</f>
        <v>1</v>
      </c>
      <c r="C258">
        <f>YEAR(timeseries_access_key_fqeas14oitk235763mntlb1c0brnk9w3fenzqbk313q5kvxyf52kukw1pa[[#This Row],[Name]])</f>
        <v>2023</v>
      </c>
      <c r="D258">
        <v>10.738376753507</v>
      </c>
      <c r="E258">
        <f>IF(timeseries_access_key_fqeas14oitk235763mntlb1c0brnk9w3fenzqbk313q5kvxyf52kukw1pa[[#This Row],[Value.LME-ZNC]]="",0,timeseries_access_key_fqeas14oitk235763mntlb1c0brnk9w3fenzqbk313q5kvxyf52kukw1pa[[#This Row],[Value.LME-ZNC]])</f>
        <v>10.738376753507</v>
      </c>
      <c r="F258" s="2">
        <f t="shared" ref="F258:F321" si="4">IFERROR(1-(D$2/D258),0)</f>
        <v>0.30500298839906648</v>
      </c>
    </row>
    <row r="259" spans="1:6" x14ac:dyDescent="0.25">
      <c r="A259" s="1">
        <v>44935</v>
      </c>
      <c r="B259">
        <f>MONTH(timeseries_access_key_fqeas14oitk235763mntlb1c0brnk9w3fenzqbk313q5kvxyf52kukw1pa[[#This Row],[Name]])</f>
        <v>1</v>
      </c>
      <c r="C259">
        <f>YEAR(timeseries_access_key_fqeas14oitk235763mntlb1c0brnk9w3fenzqbk313q5kvxyf52kukw1pa[[#This Row],[Name]])</f>
        <v>2023</v>
      </c>
      <c r="D259">
        <v>10.738376753507</v>
      </c>
      <c r="E259">
        <f>IF(timeseries_access_key_fqeas14oitk235763mntlb1c0brnk9w3fenzqbk313q5kvxyf52kukw1pa[[#This Row],[Value.LME-ZNC]]="",0,timeseries_access_key_fqeas14oitk235763mntlb1c0brnk9w3fenzqbk313q5kvxyf52kukw1pa[[#This Row],[Value.LME-ZNC]])</f>
        <v>10.738376753507</v>
      </c>
      <c r="F259" s="2">
        <f t="shared" si="4"/>
        <v>0.30500298839906648</v>
      </c>
    </row>
    <row r="260" spans="1:6" x14ac:dyDescent="0.25">
      <c r="A260" s="1">
        <v>44936</v>
      </c>
      <c r="B260">
        <f>MONTH(timeseries_access_key_fqeas14oitk235763mntlb1c0brnk9w3fenzqbk313q5kvxyf52kukw1pa[[#This Row],[Name]])</f>
        <v>1</v>
      </c>
      <c r="C260">
        <f>YEAR(timeseries_access_key_fqeas14oitk235763mntlb1c0brnk9w3fenzqbk313q5kvxyf52kukw1pa[[#This Row],[Name]])</f>
        <v>2023</v>
      </c>
      <c r="D260">
        <v>10.19362714014</v>
      </c>
      <c r="E260">
        <f>IF(timeseries_access_key_fqeas14oitk235763mntlb1c0brnk9w3fenzqbk313q5kvxyf52kukw1pa[[#This Row],[Value.LME-ZNC]]="",0,timeseries_access_key_fqeas14oitk235763mntlb1c0brnk9w3fenzqbk313q5kvxyf52kukw1pa[[#This Row],[Value.LME-ZNC]])</f>
        <v>10.19362714014</v>
      </c>
      <c r="F260" s="2">
        <f t="shared" si="4"/>
        <v>0.26786219953599366</v>
      </c>
    </row>
    <row r="261" spans="1:6" x14ac:dyDescent="0.25">
      <c r="A261" s="1">
        <v>44937</v>
      </c>
      <c r="B261">
        <f>MONTH(timeseries_access_key_fqeas14oitk235763mntlb1c0brnk9w3fenzqbk313q5kvxyf52kukw1pa[[#This Row],[Name]])</f>
        <v>1</v>
      </c>
      <c r="C261">
        <f>YEAR(timeseries_access_key_fqeas14oitk235763mntlb1c0brnk9w3fenzqbk313q5kvxyf52kukw1pa[[#This Row],[Name]])</f>
        <v>2023</v>
      </c>
      <c r="D261">
        <v>10.06911994989</v>
      </c>
      <c r="E261">
        <f>IF(timeseries_access_key_fqeas14oitk235763mntlb1c0brnk9w3fenzqbk313q5kvxyf52kukw1pa[[#This Row],[Value.LME-ZNC]]="",0,timeseries_access_key_fqeas14oitk235763mntlb1c0brnk9w3fenzqbk313q5kvxyf52kukw1pa[[#This Row],[Value.LME-ZNC]])</f>
        <v>10.06911994989</v>
      </c>
      <c r="F261" s="2">
        <f t="shared" si="4"/>
        <v>0.2588091322505468</v>
      </c>
    </row>
    <row r="262" spans="1:6" x14ac:dyDescent="0.25">
      <c r="A262" s="1">
        <v>44938</v>
      </c>
      <c r="B262">
        <f>MONTH(timeseries_access_key_fqeas14oitk235763mntlb1c0brnk9w3fenzqbk313q5kvxyf52kukw1pa[[#This Row],[Name]])</f>
        <v>1</v>
      </c>
      <c r="C262">
        <f>YEAR(timeseries_access_key_fqeas14oitk235763mntlb1c0brnk9w3fenzqbk313q5kvxyf52kukw1pa[[#This Row],[Name]])</f>
        <v>2023</v>
      </c>
      <c r="D262">
        <v>10.124610297591</v>
      </c>
      <c r="E262">
        <f>IF(timeseries_access_key_fqeas14oitk235763mntlb1c0brnk9w3fenzqbk313q5kvxyf52kukw1pa[[#This Row],[Value.LME-ZNC]]="",0,timeseries_access_key_fqeas14oitk235763mntlb1c0brnk9w3fenzqbk313q5kvxyf52kukw1pa[[#This Row],[Value.LME-ZNC]])</f>
        <v>10.124610297591</v>
      </c>
      <c r="F262" s="2">
        <f t="shared" si="4"/>
        <v>0.26287140603248282</v>
      </c>
    </row>
    <row r="263" spans="1:6" x14ac:dyDescent="0.25">
      <c r="A263" s="1">
        <v>44939</v>
      </c>
      <c r="B263">
        <f>MONTH(timeseries_access_key_fqeas14oitk235763mntlb1c0brnk9w3fenzqbk313q5kvxyf52kukw1pa[[#This Row],[Name]])</f>
        <v>1</v>
      </c>
      <c r="C263">
        <f>YEAR(timeseries_access_key_fqeas14oitk235763mntlb1c0brnk9w3fenzqbk313q5kvxyf52kukw1pa[[#This Row],[Name]])</f>
        <v>2023</v>
      </c>
      <c r="D263">
        <v>10.000217729393</v>
      </c>
      <c r="E263">
        <f>IF(timeseries_access_key_fqeas14oitk235763mntlb1c0brnk9w3fenzqbk313q5kvxyf52kukw1pa[[#This Row],[Value.LME-ZNC]]="",0,timeseries_access_key_fqeas14oitk235763mntlb1c0brnk9w3fenzqbk313q5kvxyf52kukw1pa[[#This Row],[Value.LME-ZNC]])</f>
        <v>10.000217729393</v>
      </c>
      <c r="F263" s="2">
        <f t="shared" si="4"/>
        <v>0.25370227378186272</v>
      </c>
    </row>
    <row r="264" spans="1:6" x14ac:dyDescent="0.25">
      <c r="A264" s="1">
        <v>44940</v>
      </c>
      <c r="B264">
        <f>MONTH(timeseries_access_key_fqeas14oitk235763mntlb1c0brnk9w3fenzqbk313q5kvxyf52kukw1pa[[#This Row],[Name]])</f>
        <v>1</v>
      </c>
      <c r="C264">
        <f>YEAR(timeseries_access_key_fqeas14oitk235763mntlb1c0brnk9w3fenzqbk313q5kvxyf52kukw1pa[[#This Row],[Name]])</f>
        <v>2023</v>
      </c>
      <c r="D264">
        <v>9.7382099045887998</v>
      </c>
      <c r="E264">
        <f>IF(timeseries_access_key_fqeas14oitk235763mntlb1c0brnk9w3fenzqbk313q5kvxyf52kukw1pa[[#This Row],[Value.LME-ZNC]]="",0,timeseries_access_key_fqeas14oitk235763mntlb1c0brnk9w3fenzqbk313q5kvxyf52kukw1pa[[#This Row],[Value.LME-ZNC]])</f>
        <v>9.7382099045887998</v>
      </c>
      <c r="F264" s="2">
        <f t="shared" si="4"/>
        <v>0.23362303480277735</v>
      </c>
    </row>
    <row r="265" spans="1:6" x14ac:dyDescent="0.25">
      <c r="A265" s="1">
        <v>44941</v>
      </c>
      <c r="B265">
        <f>MONTH(timeseries_access_key_fqeas14oitk235763mntlb1c0brnk9w3fenzqbk313q5kvxyf52kukw1pa[[#This Row],[Name]])</f>
        <v>1</v>
      </c>
      <c r="C265">
        <f>YEAR(timeseries_access_key_fqeas14oitk235763mntlb1c0brnk9w3fenzqbk313q5kvxyf52kukw1pa[[#This Row],[Name]])</f>
        <v>2023</v>
      </c>
      <c r="D265">
        <v>9.7382099045887998</v>
      </c>
      <c r="E265">
        <f>IF(timeseries_access_key_fqeas14oitk235763mntlb1c0brnk9w3fenzqbk313q5kvxyf52kukw1pa[[#This Row],[Value.LME-ZNC]]="",0,timeseries_access_key_fqeas14oitk235763mntlb1c0brnk9w3fenzqbk313q5kvxyf52kukw1pa[[#This Row],[Value.LME-ZNC]])</f>
        <v>9.7382099045887998</v>
      </c>
      <c r="F265" s="2">
        <f t="shared" si="4"/>
        <v>0.23362303480277735</v>
      </c>
    </row>
    <row r="266" spans="1:6" x14ac:dyDescent="0.25">
      <c r="A266" s="1">
        <v>44942</v>
      </c>
      <c r="B266">
        <f>MONTH(timeseries_access_key_fqeas14oitk235763mntlb1c0brnk9w3fenzqbk313q5kvxyf52kukw1pa[[#This Row],[Name]])</f>
        <v>1</v>
      </c>
      <c r="C266">
        <f>YEAR(timeseries_access_key_fqeas14oitk235763mntlb1c0brnk9w3fenzqbk313q5kvxyf52kukw1pa[[#This Row],[Name]])</f>
        <v>2023</v>
      </c>
      <c r="D266">
        <v>9.7382099045887998</v>
      </c>
      <c r="E266">
        <f>IF(timeseries_access_key_fqeas14oitk235763mntlb1c0brnk9w3fenzqbk313q5kvxyf52kukw1pa[[#This Row],[Value.LME-ZNC]]="",0,timeseries_access_key_fqeas14oitk235763mntlb1c0brnk9w3fenzqbk313q5kvxyf52kukw1pa[[#This Row],[Value.LME-ZNC]])</f>
        <v>9.7382099045887998</v>
      </c>
      <c r="F266" s="2">
        <f t="shared" si="4"/>
        <v>0.23362303480277735</v>
      </c>
    </row>
    <row r="267" spans="1:6" x14ac:dyDescent="0.25">
      <c r="A267" s="1">
        <v>44943</v>
      </c>
      <c r="B267">
        <f>MONTH(timeseries_access_key_fqeas14oitk235763mntlb1c0brnk9w3fenzqbk313q5kvxyf52kukw1pa[[#This Row],[Name]])</f>
        <v>1</v>
      </c>
      <c r="C267">
        <f>YEAR(timeseries_access_key_fqeas14oitk235763mntlb1c0brnk9w3fenzqbk313q5kvxyf52kukw1pa[[#This Row],[Name]])</f>
        <v>2023</v>
      </c>
      <c r="D267">
        <v>9.5914976133652008</v>
      </c>
      <c r="E267">
        <f>IF(timeseries_access_key_fqeas14oitk235763mntlb1c0brnk9w3fenzqbk313q5kvxyf52kukw1pa[[#This Row],[Value.LME-ZNC]]="",0,timeseries_access_key_fqeas14oitk235763mntlb1c0brnk9w3fenzqbk313q5kvxyf52kukw1pa[[#This Row],[Value.LME-ZNC]])</f>
        <v>9.5914976133652008</v>
      </c>
      <c r="F267" s="2">
        <f t="shared" si="4"/>
        <v>0.221900473317864</v>
      </c>
    </row>
    <row r="268" spans="1:6" x14ac:dyDescent="0.25">
      <c r="A268" s="1">
        <v>44944</v>
      </c>
      <c r="B268">
        <f>MONTH(timeseries_access_key_fqeas14oitk235763mntlb1c0brnk9w3fenzqbk313q5kvxyf52kukw1pa[[#This Row],[Name]])</f>
        <v>1</v>
      </c>
      <c r="C268">
        <f>YEAR(timeseries_access_key_fqeas14oitk235763mntlb1c0brnk9w3fenzqbk313q5kvxyf52kukw1pa[[#This Row],[Name]])</f>
        <v>2023</v>
      </c>
      <c r="D268">
        <v>9.7841448569690002</v>
      </c>
      <c r="E268">
        <f>IF(timeseries_access_key_fqeas14oitk235763mntlb1c0brnk9w3fenzqbk313q5kvxyf52kukw1pa[[#This Row],[Value.LME-ZNC]]="",0,timeseries_access_key_fqeas14oitk235763mntlb1c0brnk9w3fenzqbk313q5kvxyf52kukw1pa[[#This Row],[Value.LME-ZNC]])</f>
        <v>9.7841448569690002</v>
      </c>
      <c r="F268" s="2">
        <f t="shared" si="4"/>
        <v>0.23722104872389604</v>
      </c>
    </row>
    <row r="269" spans="1:6" x14ac:dyDescent="0.25">
      <c r="A269" s="1">
        <v>44945</v>
      </c>
      <c r="B269">
        <f>MONTH(timeseries_access_key_fqeas14oitk235763mntlb1c0brnk9w3fenzqbk313q5kvxyf52kukw1pa[[#This Row],[Name]])</f>
        <v>1</v>
      </c>
      <c r="C269">
        <f>YEAR(timeseries_access_key_fqeas14oitk235763mntlb1c0brnk9w3fenzqbk313q5kvxyf52kukw1pa[[#This Row],[Name]])</f>
        <v>2023</v>
      </c>
      <c r="D269">
        <v>9.4145534407028002</v>
      </c>
      <c r="E269">
        <f>IF(timeseries_access_key_fqeas14oitk235763mntlb1c0brnk9w3fenzqbk313q5kvxyf52kukw1pa[[#This Row],[Value.LME-ZNC]]="",0,timeseries_access_key_fqeas14oitk235763mntlb1c0brnk9w3fenzqbk313q5kvxyf52kukw1pa[[#This Row],[Value.LME-ZNC]])</f>
        <v>9.4145534407028002</v>
      </c>
      <c r="F269" s="2">
        <f t="shared" si="4"/>
        <v>0.20727628770301254</v>
      </c>
    </row>
    <row r="270" spans="1:6" x14ac:dyDescent="0.25">
      <c r="A270" s="1">
        <v>44946</v>
      </c>
      <c r="B270">
        <f>MONTH(timeseries_access_key_fqeas14oitk235763mntlb1c0brnk9w3fenzqbk313q5kvxyf52kukw1pa[[#This Row],[Name]])</f>
        <v>1</v>
      </c>
      <c r="C270">
        <f>YEAR(timeseries_access_key_fqeas14oitk235763mntlb1c0brnk9w3fenzqbk313q5kvxyf52kukw1pa[[#This Row],[Name]])</f>
        <v>2023</v>
      </c>
      <c r="D270">
        <v>9.5346085409252996</v>
      </c>
      <c r="E270">
        <f>IF(timeseries_access_key_fqeas14oitk235763mntlb1c0brnk9w3fenzqbk313q5kvxyf52kukw1pa[[#This Row],[Value.LME-ZNC]]="",0,timeseries_access_key_fqeas14oitk235763mntlb1c0brnk9w3fenzqbk313q5kvxyf52kukw1pa[[#This Row],[Value.LME-ZNC]])</f>
        <v>9.5346085409252996</v>
      </c>
      <c r="F270" s="2">
        <f t="shared" si="4"/>
        <v>0.21725787470997437</v>
      </c>
    </row>
    <row r="271" spans="1:6" x14ac:dyDescent="0.25">
      <c r="A271" s="1">
        <v>44947</v>
      </c>
      <c r="B271">
        <f>MONTH(timeseries_access_key_fqeas14oitk235763mntlb1c0brnk9w3fenzqbk313q5kvxyf52kukw1pa[[#This Row],[Name]])</f>
        <v>1</v>
      </c>
      <c r="C271">
        <f>YEAR(timeseries_access_key_fqeas14oitk235763mntlb1c0brnk9w3fenzqbk313q5kvxyf52kukw1pa[[#This Row],[Name]])</f>
        <v>2023</v>
      </c>
      <c r="D271">
        <v>9.3325689404935002</v>
      </c>
      <c r="E271">
        <f>IF(timeseries_access_key_fqeas14oitk235763mntlb1c0brnk9w3fenzqbk313q5kvxyf52kukw1pa[[#This Row],[Value.LME-ZNC]]="",0,timeseries_access_key_fqeas14oitk235763mntlb1c0brnk9w3fenzqbk313q5kvxyf52kukw1pa[[#This Row],[Value.LME-ZNC]])</f>
        <v>9.3325689404935002</v>
      </c>
      <c r="F271" s="2">
        <f t="shared" si="4"/>
        <v>0.20031238979118071</v>
      </c>
    </row>
    <row r="272" spans="1:6" x14ac:dyDescent="0.25">
      <c r="A272" s="1">
        <v>44948</v>
      </c>
      <c r="B272">
        <f>MONTH(timeseries_access_key_fqeas14oitk235763mntlb1c0brnk9w3fenzqbk313q5kvxyf52kukw1pa[[#This Row],[Name]])</f>
        <v>1</v>
      </c>
      <c r="C272">
        <f>YEAR(timeseries_access_key_fqeas14oitk235763mntlb1c0brnk9w3fenzqbk313q5kvxyf52kukw1pa[[#This Row],[Name]])</f>
        <v>2023</v>
      </c>
      <c r="D272">
        <v>9.3325689404935002</v>
      </c>
      <c r="E272">
        <f>IF(timeseries_access_key_fqeas14oitk235763mntlb1c0brnk9w3fenzqbk313q5kvxyf52kukw1pa[[#This Row],[Value.LME-ZNC]]="",0,timeseries_access_key_fqeas14oitk235763mntlb1c0brnk9w3fenzqbk313q5kvxyf52kukw1pa[[#This Row],[Value.LME-ZNC]])</f>
        <v>9.3325689404935002</v>
      </c>
      <c r="F272" s="2">
        <f t="shared" si="4"/>
        <v>0.20031238979118071</v>
      </c>
    </row>
    <row r="273" spans="1:6" x14ac:dyDescent="0.25">
      <c r="A273" s="1">
        <v>44949</v>
      </c>
      <c r="B273">
        <f>MONTH(timeseries_access_key_fqeas14oitk235763mntlb1c0brnk9w3fenzqbk313q5kvxyf52kukw1pa[[#This Row],[Name]])</f>
        <v>1</v>
      </c>
      <c r="C273">
        <f>YEAR(timeseries_access_key_fqeas14oitk235763mntlb1c0brnk9w3fenzqbk313q5kvxyf52kukw1pa[[#This Row],[Name]])</f>
        <v>2023</v>
      </c>
      <c r="D273">
        <v>9.3325689404935002</v>
      </c>
      <c r="E273">
        <f>IF(timeseries_access_key_fqeas14oitk235763mntlb1c0brnk9w3fenzqbk313q5kvxyf52kukw1pa[[#This Row],[Value.LME-ZNC]]="",0,timeseries_access_key_fqeas14oitk235763mntlb1c0brnk9w3fenzqbk313q5kvxyf52kukw1pa[[#This Row],[Value.LME-ZNC]])</f>
        <v>9.3325689404935002</v>
      </c>
      <c r="F273" s="2">
        <f t="shared" si="4"/>
        <v>0.20031238979118071</v>
      </c>
    </row>
    <row r="274" spans="1:6" x14ac:dyDescent="0.25">
      <c r="A274" s="1">
        <v>44950</v>
      </c>
      <c r="B274">
        <f>MONTH(timeseries_access_key_fqeas14oitk235763mntlb1c0brnk9w3fenzqbk313q5kvxyf52kukw1pa[[#This Row],[Name]])</f>
        <v>1</v>
      </c>
      <c r="C274">
        <f>YEAR(timeseries_access_key_fqeas14oitk235763mntlb1c0brnk9w3fenzqbk313q5kvxyf52kukw1pa[[#This Row],[Name]])</f>
        <v>2023</v>
      </c>
      <c r="D274">
        <v>9.3556525534700992</v>
      </c>
      <c r="E274">
        <f>IF(timeseries_access_key_fqeas14oitk235763mntlb1c0brnk9w3fenzqbk313q5kvxyf52kukw1pa[[#This Row],[Value.LME-ZNC]]="",0,timeseries_access_key_fqeas14oitk235763mntlb1c0brnk9w3fenzqbk313q5kvxyf52kukw1pa[[#This Row],[Value.LME-ZNC]])</f>
        <v>9.3556525534700992</v>
      </c>
      <c r="F274" s="2">
        <f t="shared" si="4"/>
        <v>0.20228549419953057</v>
      </c>
    </row>
    <row r="275" spans="1:6" x14ac:dyDescent="0.25">
      <c r="A275" s="1">
        <v>44951</v>
      </c>
      <c r="B275">
        <f>MONTH(timeseries_access_key_fqeas14oitk235763mntlb1c0brnk9w3fenzqbk313q5kvxyf52kukw1pa[[#This Row],[Name]])</f>
        <v>1</v>
      </c>
      <c r="C275">
        <f>YEAR(timeseries_access_key_fqeas14oitk235763mntlb1c0brnk9w3fenzqbk313q5kvxyf52kukw1pa[[#This Row],[Name]])</f>
        <v>2023</v>
      </c>
      <c r="D275">
        <v>9.3994152901623007</v>
      </c>
      <c r="E275">
        <f>IF(timeseries_access_key_fqeas14oitk235763mntlb1c0brnk9w3fenzqbk313q5kvxyf52kukw1pa[[#This Row],[Value.LME-ZNC]]="",0,timeseries_access_key_fqeas14oitk235763mntlb1c0brnk9w3fenzqbk313q5kvxyf52kukw1pa[[#This Row],[Value.LME-ZNC]])</f>
        <v>9.3994152901623007</v>
      </c>
      <c r="F275" s="2">
        <f t="shared" si="4"/>
        <v>0.20599957308584538</v>
      </c>
    </row>
    <row r="276" spans="1:6" x14ac:dyDescent="0.25">
      <c r="A276" s="1">
        <v>44952</v>
      </c>
      <c r="B276">
        <f>MONTH(timeseries_access_key_fqeas14oitk235763mntlb1c0brnk9w3fenzqbk313q5kvxyf52kukw1pa[[#This Row],[Name]])</f>
        <v>1</v>
      </c>
      <c r="C276">
        <f>YEAR(timeseries_access_key_fqeas14oitk235763mntlb1c0brnk9w3fenzqbk313q5kvxyf52kukw1pa[[#This Row],[Name]])</f>
        <v>2023</v>
      </c>
      <c r="D276">
        <v>9.3461337209301991</v>
      </c>
      <c r="E276">
        <f>IF(timeseries_access_key_fqeas14oitk235763mntlb1c0brnk9w3fenzqbk313q5kvxyf52kukw1pa[[#This Row],[Value.LME-ZNC]]="",0,timeseries_access_key_fqeas14oitk235763mntlb1c0brnk9w3fenzqbk313q5kvxyf52kukw1pa[[#This Row],[Value.LME-ZNC]])</f>
        <v>9.3461337209301991</v>
      </c>
      <c r="F276" s="2">
        <f t="shared" si="4"/>
        <v>0.20147303944314732</v>
      </c>
    </row>
    <row r="277" spans="1:6" x14ac:dyDescent="0.25">
      <c r="A277" s="1">
        <v>44953</v>
      </c>
      <c r="B277">
        <f>MONTH(timeseries_access_key_fqeas14oitk235763mntlb1c0brnk9w3fenzqbk313q5kvxyf52kukw1pa[[#This Row],[Name]])</f>
        <v>1</v>
      </c>
      <c r="C277">
        <f>YEAR(timeseries_access_key_fqeas14oitk235763mntlb1c0brnk9w3fenzqbk313q5kvxyf52kukw1pa[[#This Row],[Name]])</f>
        <v>2023</v>
      </c>
      <c r="D277">
        <v>9.2175172018348999</v>
      </c>
      <c r="E277">
        <f>IF(timeseries_access_key_fqeas14oitk235763mntlb1c0brnk9w3fenzqbk313q5kvxyf52kukw1pa[[#This Row],[Value.LME-ZNC]]="",0,timeseries_access_key_fqeas14oitk235763mntlb1c0brnk9w3fenzqbk313q5kvxyf52kukw1pa[[#This Row],[Value.LME-ZNC]])</f>
        <v>9.2175172018348999</v>
      </c>
      <c r="F277" s="2">
        <f t="shared" si="4"/>
        <v>0.19033080278422077</v>
      </c>
    </row>
    <row r="278" spans="1:6" x14ac:dyDescent="0.25">
      <c r="A278" s="1">
        <v>44954</v>
      </c>
      <c r="B278">
        <f>MONTH(timeseries_access_key_fqeas14oitk235763mntlb1c0brnk9w3fenzqbk313q5kvxyf52kukw1pa[[#This Row],[Name]])</f>
        <v>1</v>
      </c>
      <c r="C278">
        <f>YEAR(timeseries_access_key_fqeas14oitk235763mntlb1c0brnk9w3fenzqbk313q5kvxyf52kukw1pa[[#This Row],[Name]])</f>
        <v>2023</v>
      </c>
      <c r="D278">
        <v>9.1623539469934006</v>
      </c>
      <c r="E278">
        <f>IF(timeseries_access_key_fqeas14oitk235763mntlb1c0brnk9w3fenzqbk313q5kvxyf52kukw1pa[[#This Row],[Value.LME-ZNC]]="",0,timeseries_access_key_fqeas14oitk235763mntlb1c0brnk9w3fenzqbk313q5kvxyf52kukw1pa[[#This Row],[Value.LME-ZNC]])</f>
        <v>9.1623539469934006</v>
      </c>
      <c r="F278" s="2">
        <f t="shared" si="4"/>
        <v>0.18545607424593036</v>
      </c>
    </row>
    <row r="279" spans="1:6" x14ac:dyDescent="0.25">
      <c r="A279" s="1">
        <v>44955</v>
      </c>
      <c r="B279">
        <f>MONTH(timeseries_access_key_fqeas14oitk235763mntlb1c0brnk9w3fenzqbk313q5kvxyf52kukw1pa[[#This Row],[Name]])</f>
        <v>1</v>
      </c>
      <c r="C279">
        <f>YEAR(timeseries_access_key_fqeas14oitk235763mntlb1c0brnk9w3fenzqbk313q5kvxyf52kukw1pa[[#This Row],[Name]])</f>
        <v>2023</v>
      </c>
      <c r="D279">
        <v>9.1623539469934006</v>
      </c>
      <c r="E279">
        <f>IF(timeseries_access_key_fqeas14oitk235763mntlb1c0brnk9w3fenzqbk313q5kvxyf52kukw1pa[[#This Row],[Value.LME-ZNC]]="",0,timeseries_access_key_fqeas14oitk235763mntlb1c0brnk9w3fenzqbk313q5kvxyf52kukw1pa[[#This Row],[Value.LME-ZNC]])</f>
        <v>9.1623539469934006</v>
      </c>
      <c r="F279" s="2">
        <f t="shared" si="4"/>
        <v>0.18545607424593036</v>
      </c>
    </row>
    <row r="280" spans="1:6" x14ac:dyDescent="0.25">
      <c r="A280" s="1">
        <v>44956</v>
      </c>
      <c r="B280">
        <f>MONTH(timeseries_access_key_fqeas14oitk235763mntlb1c0brnk9w3fenzqbk313q5kvxyf52kukw1pa[[#This Row],[Name]])</f>
        <v>1</v>
      </c>
      <c r="C280">
        <f>YEAR(timeseries_access_key_fqeas14oitk235763mntlb1c0brnk9w3fenzqbk313q5kvxyf52kukw1pa[[#This Row],[Name]])</f>
        <v>2023</v>
      </c>
      <c r="D280">
        <v>9.1623539469934006</v>
      </c>
      <c r="E280">
        <f>IF(timeseries_access_key_fqeas14oitk235763mntlb1c0brnk9w3fenzqbk313q5kvxyf52kukw1pa[[#This Row],[Value.LME-ZNC]]="",0,timeseries_access_key_fqeas14oitk235763mntlb1c0brnk9w3fenzqbk313q5kvxyf52kukw1pa[[#This Row],[Value.LME-ZNC]])</f>
        <v>9.1623539469934006</v>
      </c>
      <c r="F280" s="2">
        <f t="shared" si="4"/>
        <v>0.18545607424593036</v>
      </c>
    </row>
    <row r="281" spans="1:6" x14ac:dyDescent="0.25">
      <c r="A281" s="1">
        <v>44957</v>
      </c>
      <c r="B281">
        <f>MONTH(timeseries_access_key_fqeas14oitk235763mntlb1c0brnk9w3fenzqbk313q5kvxyf52kukw1pa[[#This Row],[Name]])</f>
        <v>1</v>
      </c>
      <c r="C281">
        <f>YEAR(timeseries_access_key_fqeas14oitk235763mntlb1c0brnk9w3fenzqbk313q5kvxyf52kukw1pa[[#This Row],[Name]])</f>
        <v>2023</v>
      </c>
      <c r="D281">
        <v>9.3190434782609</v>
      </c>
      <c r="E281">
        <f>IF(timeseries_access_key_fqeas14oitk235763mntlb1c0brnk9w3fenzqbk313q5kvxyf52kukw1pa[[#This Row],[Value.LME-ZNC]]="",0,timeseries_access_key_fqeas14oitk235763mntlb1c0brnk9w3fenzqbk313q5kvxyf52kukw1pa[[#This Row],[Value.LME-ZNC]])</f>
        <v>9.3190434782609</v>
      </c>
      <c r="F281" s="2">
        <f t="shared" si="4"/>
        <v>0.19915174013920844</v>
      </c>
    </row>
    <row r="282" spans="1:6" x14ac:dyDescent="0.25">
      <c r="A282" s="1">
        <v>44958</v>
      </c>
      <c r="B282">
        <f>MONTH(timeseries_access_key_fqeas14oitk235763mntlb1c0brnk9w3fenzqbk313q5kvxyf52kukw1pa[[#This Row],[Name]])</f>
        <v>2</v>
      </c>
      <c r="C282">
        <f>YEAR(timeseries_access_key_fqeas14oitk235763mntlb1c0brnk9w3fenzqbk313q5kvxyf52kukw1pa[[#This Row],[Name]])</f>
        <v>2023</v>
      </c>
      <c r="D282">
        <v>9.4311234966266007</v>
      </c>
      <c r="E282">
        <f>IF(timeseries_access_key_fqeas14oitk235763mntlb1c0brnk9w3fenzqbk313q5kvxyf52kukw1pa[[#This Row],[Value.LME-ZNC]]="",0,timeseries_access_key_fqeas14oitk235763mntlb1c0brnk9w3fenzqbk313q5kvxyf52kukw1pa[[#This Row],[Value.LME-ZNC]])</f>
        <v>9.4311234966266007</v>
      </c>
      <c r="F282" s="2">
        <f t="shared" si="4"/>
        <v>0.20866906728537959</v>
      </c>
    </row>
    <row r="283" spans="1:6" x14ac:dyDescent="0.25">
      <c r="A283" s="1">
        <v>44959</v>
      </c>
      <c r="B283">
        <f>MONTH(timeseries_access_key_fqeas14oitk235763mntlb1c0brnk9w3fenzqbk313q5kvxyf52kukw1pa[[#This Row],[Name]])</f>
        <v>2</v>
      </c>
      <c r="C283">
        <f>YEAR(timeseries_access_key_fqeas14oitk235763mntlb1c0brnk9w3fenzqbk313q5kvxyf52kukw1pa[[#This Row],[Name]])</f>
        <v>2023</v>
      </c>
      <c r="D283">
        <v>9.3474923680768001</v>
      </c>
      <c r="E283">
        <f>IF(timeseries_access_key_fqeas14oitk235763mntlb1c0brnk9w3fenzqbk313q5kvxyf52kukw1pa[[#This Row],[Value.LME-ZNC]]="",0,timeseries_access_key_fqeas14oitk235763mntlb1c0brnk9w3fenzqbk313q5kvxyf52kukw1pa[[#This Row],[Value.LME-ZNC]])</f>
        <v>9.3474923680768001</v>
      </c>
      <c r="F283" s="2">
        <f t="shared" si="4"/>
        <v>0.20158910440835121</v>
      </c>
    </row>
    <row r="284" spans="1:6" x14ac:dyDescent="0.25">
      <c r="A284" s="1">
        <v>44960</v>
      </c>
      <c r="B284">
        <f>MONTH(timeseries_access_key_fqeas14oitk235763mntlb1c0brnk9w3fenzqbk313q5kvxyf52kukw1pa[[#This Row],[Name]])</f>
        <v>2</v>
      </c>
      <c r="C284">
        <f>YEAR(timeseries_access_key_fqeas14oitk235763mntlb1c0brnk9w3fenzqbk313q5kvxyf52kukw1pa[[#This Row],[Name]])</f>
        <v>2023</v>
      </c>
      <c r="D284">
        <v>9.5972238805969994</v>
      </c>
      <c r="E284">
        <f>IF(timeseries_access_key_fqeas14oitk235763mntlb1c0brnk9w3fenzqbk313q5kvxyf52kukw1pa[[#This Row],[Value.LME-ZNC]]="",0,timeseries_access_key_fqeas14oitk235763mntlb1c0brnk9w3fenzqbk313q5kvxyf52kukw1pa[[#This Row],[Value.LME-ZNC]])</f>
        <v>9.5972238805969994</v>
      </c>
      <c r="F284" s="2">
        <f t="shared" si="4"/>
        <v>0.22236473317864791</v>
      </c>
    </row>
    <row r="285" spans="1:6" x14ac:dyDescent="0.25">
      <c r="A285" s="1">
        <v>44961</v>
      </c>
      <c r="B285">
        <f>MONTH(timeseries_access_key_fqeas14oitk235763mntlb1c0brnk9w3fenzqbk313q5kvxyf52kukw1pa[[#This Row],[Name]])</f>
        <v>2</v>
      </c>
      <c r="C285">
        <f>YEAR(timeseries_access_key_fqeas14oitk235763mntlb1c0brnk9w3fenzqbk313q5kvxyf52kukw1pa[[#This Row],[Name]])</f>
        <v>2023</v>
      </c>
      <c r="D285">
        <v>9.5658137459090007</v>
      </c>
      <c r="E285">
        <f>IF(timeseries_access_key_fqeas14oitk235763mntlb1c0brnk9w3fenzqbk313q5kvxyf52kukw1pa[[#This Row],[Value.LME-ZNC]]="",0,timeseries_access_key_fqeas14oitk235763mntlb1c0brnk9w3fenzqbk313q5kvxyf52kukw1pa[[#This Row],[Value.LME-ZNC]])</f>
        <v>9.5658137459090007</v>
      </c>
      <c r="F285" s="2">
        <f t="shared" si="4"/>
        <v>0.21981130394431414</v>
      </c>
    </row>
    <row r="286" spans="1:6" x14ac:dyDescent="0.25">
      <c r="A286" s="1">
        <v>44962</v>
      </c>
      <c r="B286">
        <f>MONTH(timeseries_access_key_fqeas14oitk235763mntlb1c0brnk9w3fenzqbk313q5kvxyf52kukw1pa[[#This Row],[Name]])</f>
        <v>2</v>
      </c>
      <c r="C286">
        <f>YEAR(timeseries_access_key_fqeas14oitk235763mntlb1c0brnk9w3fenzqbk313q5kvxyf52kukw1pa[[#This Row],[Name]])</f>
        <v>2023</v>
      </c>
      <c r="D286">
        <v>9.5658137459090007</v>
      </c>
      <c r="E286">
        <f>IF(timeseries_access_key_fqeas14oitk235763mntlb1c0brnk9w3fenzqbk313q5kvxyf52kukw1pa[[#This Row],[Value.LME-ZNC]]="",0,timeseries_access_key_fqeas14oitk235763mntlb1c0brnk9w3fenzqbk313q5kvxyf52kukw1pa[[#This Row],[Value.LME-ZNC]])</f>
        <v>9.5658137459090007</v>
      </c>
      <c r="F286" s="2">
        <f t="shared" si="4"/>
        <v>0.21981130394431414</v>
      </c>
    </row>
    <row r="287" spans="1:6" x14ac:dyDescent="0.25">
      <c r="A287" s="1">
        <v>44963</v>
      </c>
      <c r="B287">
        <f>MONTH(timeseries_access_key_fqeas14oitk235763mntlb1c0brnk9w3fenzqbk313q5kvxyf52kukw1pa[[#This Row],[Name]])</f>
        <v>2</v>
      </c>
      <c r="C287">
        <f>YEAR(timeseries_access_key_fqeas14oitk235763mntlb1c0brnk9w3fenzqbk313q5kvxyf52kukw1pa[[#This Row],[Name]])</f>
        <v>2023</v>
      </c>
      <c r="D287">
        <v>9.5658137459090007</v>
      </c>
      <c r="E287">
        <f>IF(timeseries_access_key_fqeas14oitk235763mntlb1c0brnk9w3fenzqbk313q5kvxyf52kukw1pa[[#This Row],[Value.LME-ZNC]]="",0,timeseries_access_key_fqeas14oitk235763mntlb1c0brnk9w3fenzqbk313q5kvxyf52kukw1pa[[#This Row],[Value.LME-ZNC]])</f>
        <v>9.5658137459090007</v>
      </c>
      <c r="F287" s="2">
        <f t="shared" si="4"/>
        <v>0.21981130394431414</v>
      </c>
    </row>
    <row r="288" spans="1:6" x14ac:dyDescent="0.25">
      <c r="A288" s="1">
        <v>44964</v>
      </c>
      <c r="B288">
        <f>MONTH(timeseries_access_key_fqeas14oitk235763mntlb1c0brnk9w3fenzqbk313q5kvxyf52kukw1pa[[#This Row],[Name]])</f>
        <v>2</v>
      </c>
      <c r="C288">
        <f>YEAR(timeseries_access_key_fqeas14oitk235763mntlb1c0brnk9w3fenzqbk313q5kvxyf52kukw1pa[[#This Row],[Name]])</f>
        <v>2023</v>
      </c>
      <c r="D288">
        <v>10.04709375</v>
      </c>
      <c r="E288">
        <f>IF(timeseries_access_key_fqeas14oitk235763mntlb1c0brnk9w3fenzqbk313q5kvxyf52kukw1pa[[#This Row],[Value.LME-ZNC]]="",0,timeseries_access_key_fqeas14oitk235763mntlb1c0brnk9w3fenzqbk313q5kvxyf52kukw1pa[[#This Row],[Value.LME-ZNC]])</f>
        <v>10.04709375</v>
      </c>
      <c r="F288" s="2">
        <f t="shared" si="4"/>
        <v>0.25718422273781416</v>
      </c>
    </row>
    <row r="289" spans="1:6" x14ac:dyDescent="0.25">
      <c r="A289" s="1">
        <v>44965</v>
      </c>
      <c r="B289">
        <f>MONTH(timeseries_access_key_fqeas14oitk235763mntlb1c0brnk9w3fenzqbk313q5kvxyf52kukw1pa[[#This Row],[Name]])</f>
        <v>2</v>
      </c>
      <c r="C289">
        <f>YEAR(timeseries_access_key_fqeas14oitk235763mntlb1c0brnk9w3fenzqbk313q5kvxyf52kukw1pa[[#This Row],[Name]])</f>
        <v>2023</v>
      </c>
      <c r="D289">
        <v>10.248868345552999</v>
      </c>
      <c r="E289">
        <f>IF(timeseries_access_key_fqeas14oitk235763mntlb1c0brnk9w3fenzqbk313q5kvxyf52kukw1pa[[#This Row],[Value.LME-ZNC]]="",0,timeseries_access_key_fqeas14oitk235763mntlb1c0brnk9w3fenzqbk313q5kvxyf52kukw1pa[[#This Row],[Value.LME-ZNC]])</f>
        <v>10.248868345552999</v>
      </c>
      <c r="F289" s="2">
        <f t="shared" si="4"/>
        <v>0.27180840835265796</v>
      </c>
    </row>
    <row r="290" spans="1:6" x14ac:dyDescent="0.25">
      <c r="A290" s="1">
        <v>44966</v>
      </c>
      <c r="B290">
        <f>MONTH(timeseries_access_key_fqeas14oitk235763mntlb1c0brnk9w3fenzqbk313q5kvxyf52kukw1pa[[#This Row],[Name]])</f>
        <v>2</v>
      </c>
      <c r="C290">
        <f>YEAR(timeseries_access_key_fqeas14oitk235763mntlb1c0brnk9w3fenzqbk313q5kvxyf52kukw1pa[[#This Row],[Name]])</f>
        <v>2023</v>
      </c>
      <c r="D290">
        <v>10.040818238601</v>
      </c>
      <c r="E290">
        <f>IF(timeseries_access_key_fqeas14oitk235763mntlb1c0brnk9w3fenzqbk313q5kvxyf52kukw1pa[[#This Row],[Value.LME-ZNC]]="",0,timeseries_access_key_fqeas14oitk235763mntlb1c0brnk9w3fenzqbk313q5kvxyf52kukw1pa[[#This Row],[Value.LME-ZNC]])</f>
        <v>10.040818238601</v>
      </c>
      <c r="F290" s="2">
        <f t="shared" si="4"/>
        <v>0.25671996287703458</v>
      </c>
    </row>
    <row r="291" spans="1:6" x14ac:dyDescent="0.25">
      <c r="A291" s="1">
        <v>44967</v>
      </c>
      <c r="B291">
        <f>MONTH(timeseries_access_key_fqeas14oitk235763mntlb1c0brnk9w3fenzqbk313q5kvxyf52kukw1pa[[#This Row],[Name]])</f>
        <v>2</v>
      </c>
      <c r="C291">
        <f>YEAR(timeseries_access_key_fqeas14oitk235763mntlb1c0brnk9w3fenzqbk313q5kvxyf52kukw1pa[[#This Row],[Name]])</f>
        <v>2023</v>
      </c>
      <c r="D291">
        <v>10.110283018868</v>
      </c>
      <c r="E291">
        <f>IF(timeseries_access_key_fqeas14oitk235763mntlb1c0brnk9w3fenzqbk313q5kvxyf52kukw1pa[[#This Row],[Value.LME-ZNC]]="",0,timeseries_access_key_fqeas14oitk235763mntlb1c0brnk9w3fenzqbk313q5kvxyf52kukw1pa[[#This Row],[Value.LME-ZNC]])</f>
        <v>10.110283018868</v>
      </c>
      <c r="F291" s="2">
        <f t="shared" si="4"/>
        <v>0.26182682134570834</v>
      </c>
    </row>
    <row r="292" spans="1:6" x14ac:dyDescent="0.25">
      <c r="A292" s="1">
        <v>44968</v>
      </c>
      <c r="B292">
        <f>MONTH(timeseries_access_key_fqeas14oitk235763mntlb1c0brnk9w3fenzqbk313q5kvxyf52kukw1pa[[#This Row],[Name]])</f>
        <v>2</v>
      </c>
      <c r="C292">
        <f>YEAR(timeseries_access_key_fqeas14oitk235763mntlb1c0brnk9w3fenzqbk313q5kvxyf52kukw1pa[[#This Row],[Name]])</f>
        <v>2023</v>
      </c>
      <c r="D292">
        <v>10.308015389548</v>
      </c>
      <c r="E292">
        <f>IF(timeseries_access_key_fqeas14oitk235763mntlb1c0brnk9w3fenzqbk313q5kvxyf52kukw1pa[[#This Row],[Value.LME-ZNC]]="",0,timeseries_access_key_fqeas14oitk235763mntlb1c0brnk9w3fenzqbk313q5kvxyf52kukw1pa[[#This Row],[Value.LME-ZNC]])</f>
        <v>10.308015389548</v>
      </c>
      <c r="F292" s="2">
        <f t="shared" si="4"/>
        <v>0.275986747099768</v>
      </c>
    </row>
    <row r="293" spans="1:6" x14ac:dyDescent="0.25">
      <c r="A293" s="1">
        <v>44969</v>
      </c>
      <c r="B293">
        <f>MONTH(timeseries_access_key_fqeas14oitk235763mntlb1c0brnk9w3fenzqbk313q5kvxyf52kukw1pa[[#This Row],[Name]])</f>
        <v>2</v>
      </c>
      <c r="C293">
        <f>YEAR(timeseries_access_key_fqeas14oitk235763mntlb1c0brnk9w3fenzqbk313q5kvxyf52kukw1pa[[#This Row],[Name]])</f>
        <v>2023</v>
      </c>
      <c r="D293">
        <v>10.308015389548</v>
      </c>
      <c r="E293">
        <f>IF(timeseries_access_key_fqeas14oitk235763mntlb1c0brnk9w3fenzqbk313q5kvxyf52kukw1pa[[#This Row],[Value.LME-ZNC]]="",0,timeseries_access_key_fqeas14oitk235763mntlb1c0brnk9w3fenzqbk313q5kvxyf52kukw1pa[[#This Row],[Value.LME-ZNC]])</f>
        <v>10.308015389548</v>
      </c>
      <c r="F293" s="2">
        <f t="shared" si="4"/>
        <v>0.275986747099768</v>
      </c>
    </row>
    <row r="294" spans="1:6" x14ac:dyDescent="0.25">
      <c r="A294" s="1">
        <v>44971</v>
      </c>
      <c r="B294">
        <f>MONTH(timeseries_access_key_fqeas14oitk235763mntlb1c0brnk9w3fenzqbk313q5kvxyf52kukw1pa[[#This Row],[Name]])</f>
        <v>2</v>
      </c>
      <c r="C294">
        <f>YEAR(timeseries_access_key_fqeas14oitk235763mntlb1c0brnk9w3fenzqbk313q5kvxyf52kukw1pa[[#This Row],[Name]])</f>
        <v>2023</v>
      </c>
      <c r="D294">
        <v>10.568934911243</v>
      </c>
      <c r="E294">
        <f>IF(timeseries_access_key_fqeas14oitk235763mntlb1c0brnk9w3fenzqbk313q5kvxyf52kukw1pa[[#This Row],[Value.LME-ZNC]]="",0,timeseries_access_key_fqeas14oitk235763mntlb1c0brnk9w3fenzqbk313q5kvxyf52kukw1pa[[#This Row],[Value.LME-ZNC]])</f>
        <v>10.568934911243</v>
      </c>
      <c r="F294" s="2">
        <f t="shared" si="4"/>
        <v>0.29386075174016102</v>
      </c>
    </row>
    <row r="295" spans="1:6" x14ac:dyDescent="0.25">
      <c r="A295" s="1">
        <v>44972</v>
      </c>
      <c r="B295">
        <f>MONTH(timeseries_access_key_fqeas14oitk235763mntlb1c0brnk9w3fenzqbk313q5kvxyf52kukw1pa[[#This Row],[Name]])</f>
        <v>2</v>
      </c>
      <c r="C295">
        <f>YEAR(timeseries_access_key_fqeas14oitk235763mntlb1c0brnk9w3fenzqbk313q5kvxyf52kukw1pa[[#This Row],[Name]])</f>
        <v>2023</v>
      </c>
      <c r="D295">
        <v>10.258679004467</v>
      </c>
      <c r="E295">
        <f>IF(timeseries_access_key_fqeas14oitk235763mntlb1c0brnk9w3fenzqbk313q5kvxyf52kukw1pa[[#This Row],[Value.LME-ZNC]]="",0,timeseries_access_key_fqeas14oitk235763mntlb1c0brnk9w3fenzqbk313q5kvxyf52kukw1pa[[#This Row],[Value.LME-ZNC]])</f>
        <v>10.258679004467</v>
      </c>
      <c r="F295" s="2">
        <f t="shared" si="4"/>
        <v>0.27250479814383721</v>
      </c>
    </row>
    <row r="296" spans="1:6" x14ac:dyDescent="0.25">
      <c r="A296" s="1">
        <v>44973</v>
      </c>
      <c r="B296">
        <f>MONTH(timeseries_access_key_fqeas14oitk235763mntlb1c0brnk9w3fenzqbk313q5kvxyf52kukw1pa[[#This Row],[Name]])</f>
        <v>2</v>
      </c>
      <c r="C296">
        <f>YEAR(timeseries_access_key_fqeas14oitk235763mntlb1c0brnk9w3fenzqbk313q5kvxyf52kukw1pa[[#This Row],[Name]])</f>
        <v>2023</v>
      </c>
      <c r="D296">
        <v>10.482784479948</v>
      </c>
      <c r="E296">
        <f>IF(timeseries_access_key_fqeas14oitk235763mntlb1c0brnk9w3fenzqbk313q5kvxyf52kukw1pa[[#This Row],[Value.LME-ZNC]]="",0,timeseries_access_key_fqeas14oitk235763mntlb1c0brnk9w3fenzqbk313q5kvxyf52kukw1pa[[#This Row],[Value.LME-ZNC]])</f>
        <v>10.482784479948</v>
      </c>
      <c r="F296" s="2">
        <f t="shared" si="4"/>
        <v>0.28805750348028514</v>
      </c>
    </row>
    <row r="297" spans="1:6" x14ac:dyDescent="0.25">
      <c r="A297" s="1">
        <v>44974</v>
      </c>
      <c r="B297">
        <f>MONTH(timeseries_access_key_fqeas14oitk235763mntlb1c0brnk9w3fenzqbk313q5kvxyf52kukw1pa[[#This Row],[Name]])</f>
        <v>2</v>
      </c>
      <c r="C297">
        <f>YEAR(timeseries_access_key_fqeas14oitk235763mntlb1c0brnk9w3fenzqbk313q5kvxyf52kukw1pa[[#This Row],[Name]])</f>
        <v>2023</v>
      </c>
      <c r="D297">
        <v>10.593311367381</v>
      </c>
      <c r="E297">
        <f>IF(timeseries_access_key_fqeas14oitk235763mntlb1c0brnk9w3fenzqbk313q5kvxyf52kukw1pa[[#This Row],[Value.LME-ZNC]]="",0,timeseries_access_key_fqeas14oitk235763mntlb1c0brnk9w3fenzqbk313q5kvxyf52kukw1pa[[#This Row],[Value.LME-ZNC]])</f>
        <v>10.593311367381</v>
      </c>
      <c r="F297" s="2">
        <f t="shared" si="4"/>
        <v>0.29548566125292486</v>
      </c>
    </row>
    <row r="298" spans="1:6" x14ac:dyDescent="0.25">
      <c r="A298" s="1">
        <v>44975</v>
      </c>
      <c r="B298">
        <f>MONTH(timeseries_access_key_fqeas14oitk235763mntlb1c0brnk9w3fenzqbk313q5kvxyf52kukw1pa[[#This Row],[Name]])</f>
        <v>2</v>
      </c>
      <c r="C298">
        <f>YEAR(timeseries_access_key_fqeas14oitk235763mntlb1c0brnk9w3fenzqbk313q5kvxyf52kukw1pa[[#This Row],[Name]])</f>
        <v>2023</v>
      </c>
      <c r="D298">
        <v>10.58633519921</v>
      </c>
      <c r="E298">
        <f>IF(timeseries_access_key_fqeas14oitk235763mntlb1c0brnk9w3fenzqbk313q5kvxyf52kukw1pa[[#This Row],[Value.LME-ZNC]]="",0,timeseries_access_key_fqeas14oitk235763mntlb1c0brnk9w3fenzqbk313q5kvxyf52kukw1pa[[#This Row],[Value.LME-ZNC]])</f>
        <v>10.58633519921</v>
      </c>
      <c r="F298" s="2">
        <f t="shared" si="4"/>
        <v>0.29502140139212363</v>
      </c>
    </row>
    <row r="299" spans="1:6" x14ac:dyDescent="0.25">
      <c r="A299" s="1">
        <v>44976</v>
      </c>
      <c r="B299">
        <f>MONTH(timeseries_access_key_fqeas14oitk235763mntlb1c0brnk9w3fenzqbk313q5kvxyf52kukw1pa[[#This Row],[Name]])</f>
        <v>2</v>
      </c>
      <c r="C299">
        <f>YEAR(timeseries_access_key_fqeas14oitk235763mntlb1c0brnk9w3fenzqbk313q5kvxyf52kukw1pa[[#This Row],[Name]])</f>
        <v>2023</v>
      </c>
      <c r="D299">
        <v>10.58633519921</v>
      </c>
      <c r="E299">
        <f>IF(timeseries_access_key_fqeas14oitk235763mntlb1c0brnk9w3fenzqbk313q5kvxyf52kukw1pa[[#This Row],[Value.LME-ZNC]]="",0,timeseries_access_key_fqeas14oitk235763mntlb1c0brnk9w3fenzqbk313q5kvxyf52kukw1pa[[#This Row],[Value.LME-ZNC]])</f>
        <v>10.58633519921</v>
      </c>
      <c r="F299" s="2">
        <f t="shared" si="4"/>
        <v>0.29502140139212363</v>
      </c>
    </row>
    <row r="300" spans="1:6" x14ac:dyDescent="0.25">
      <c r="A300" s="1">
        <v>44977</v>
      </c>
      <c r="B300">
        <f>MONTH(timeseries_access_key_fqeas14oitk235763mntlb1c0brnk9w3fenzqbk313q5kvxyf52kukw1pa[[#This Row],[Name]])</f>
        <v>2</v>
      </c>
      <c r="C300">
        <f>YEAR(timeseries_access_key_fqeas14oitk235763mntlb1c0brnk9w3fenzqbk313q5kvxyf52kukw1pa[[#This Row],[Name]])</f>
        <v>2023</v>
      </c>
      <c r="D300">
        <v>10.58633519921</v>
      </c>
      <c r="E300">
        <f>IF(timeseries_access_key_fqeas14oitk235763mntlb1c0brnk9w3fenzqbk313q5kvxyf52kukw1pa[[#This Row],[Value.LME-ZNC]]="",0,timeseries_access_key_fqeas14oitk235763mntlb1c0brnk9w3fenzqbk313q5kvxyf52kukw1pa[[#This Row],[Value.LME-ZNC]])</f>
        <v>10.58633519921</v>
      </c>
      <c r="F300" s="2">
        <f t="shared" si="4"/>
        <v>0.29502140139212363</v>
      </c>
    </row>
    <row r="301" spans="1:6" x14ac:dyDescent="0.25">
      <c r="A301" s="1">
        <v>44978</v>
      </c>
      <c r="B301">
        <f>MONTH(timeseries_access_key_fqeas14oitk235763mntlb1c0brnk9w3fenzqbk313q5kvxyf52kukw1pa[[#This Row],[Name]])</f>
        <v>2</v>
      </c>
      <c r="C301">
        <f>YEAR(timeseries_access_key_fqeas14oitk235763mntlb1c0brnk9w3fenzqbk313q5kvxyf52kukw1pa[[#This Row],[Name]])</f>
        <v>2023</v>
      </c>
      <c r="D301">
        <v>10.58633519921</v>
      </c>
      <c r="E301">
        <f>IF(timeseries_access_key_fqeas14oitk235763mntlb1c0brnk9w3fenzqbk313q5kvxyf52kukw1pa[[#This Row],[Value.LME-ZNC]]="",0,timeseries_access_key_fqeas14oitk235763mntlb1c0brnk9w3fenzqbk313q5kvxyf52kukw1pa[[#This Row],[Value.LME-ZNC]])</f>
        <v>10.58633519921</v>
      </c>
      <c r="F301" s="2">
        <f t="shared" si="4"/>
        <v>0.29502140139212363</v>
      </c>
    </row>
    <row r="302" spans="1:6" x14ac:dyDescent="0.25">
      <c r="A302" s="1">
        <v>44979</v>
      </c>
      <c r="B302">
        <f>MONTH(timeseries_access_key_fqeas14oitk235763mntlb1c0brnk9w3fenzqbk313q5kvxyf52kukw1pa[[#This Row],[Name]])</f>
        <v>2</v>
      </c>
      <c r="C302">
        <f>YEAR(timeseries_access_key_fqeas14oitk235763mntlb1c0brnk9w3fenzqbk313q5kvxyf52kukw1pa[[#This Row],[Name]])</f>
        <v>2023</v>
      </c>
      <c r="D302">
        <v>10.58633519921</v>
      </c>
      <c r="E302">
        <f>IF(timeseries_access_key_fqeas14oitk235763mntlb1c0brnk9w3fenzqbk313q5kvxyf52kukw1pa[[#This Row],[Value.LME-ZNC]]="",0,timeseries_access_key_fqeas14oitk235763mntlb1c0brnk9w3fenzqbk313q5kvxyf52kukw1pa[[#This Row],[Value.LME-ZNC]])</f>
        <v>10.58633519921</v>
      </c>
      <c r="F302" s="2">
        <f t="shared" si="4"/>
        <v>0.29502140139212363</v>
      </c>
    </row>
    <row r="303" spans="1:6" x14ac:dyDescent="0.25">
      <c r="A303" s="1">
        <v>44980</v>
      </c>
      <c r="B303">
        <f>MONTH(timeseries_access_key_fqeas14oitk235763mntlb1c0brnk9w3fenzqbk313q5kvxyf52kukw1pa[[#This Row],[Name]])</f>
        <v>2</v>
      </c>
      <c r="C303">
        <f>YEAR(timeseries_access_key_fqeas14oitk235763mntlb1c0brnk9w3fenzqbk313q5kvxyf52kukw1pa[[#This Row],[Name]])</f>
        <v>2023</v>
      </c>
      <c r="D303">
        <v>10.349492998551</v>
      </c>
      <c r="E303">
        <f>IF(timeseries_access_key_fqeas14oitk235763mntlb1c0brnk9w3fenzqbk313q5kvxyf52kukw1pa[[#This Row],[Value.LME-ZNC]]="",0,timeseries_access_key_fqeas14oitk235763mntlb1c0brnk9w3fenzqbk313q5kvxyf52kukw1pa[[#This Row],[Value.LME-ZNC]])</f>
        <v>10.349492998551</v>
      </c>
      <c r="F303" s="2">
        <f t="shared" si="4"/>
        <v>0.27888837122966403</v>
      </c>
    </row>
    <row r="304" spans="1:6" x14ac:dyDescent="0.25">
      <c r="A304" s="1">
        <v>44981</v>
      </c>
      <c r="B304">
        <f>MONTH(timeseries_access_key_fqeas14oitk235763mntlb1c0brnk9w3fenzqbk313q5kvxyf52kukw1pa[[#This Row],[Name]])</f>
        <v>2</v>
      </c>
      <c r="C304">
        <f>YEAR(timeseries_access_key_fqeas14oitk235763mntlb1c0brnk9w3fenzqbk313q5kvxyf52kukw1pa[[#This Row],[Name]])</f>
        <v>2023</v>
      </c>
      <c r="D304">
        <v>10.414868804665</v>
      </c>
      <c r="E304">
        <f>IF(timeseries_access_key_fqeas14oitk235763mntlb1c0brnk9w3fenzqbk313q5kvxyf52kukw1pa[[#This Row],[Value.LME-ZNC]]="",0,timeseries_access_key_fqeas14oitk235763mntlb1c0brnk9w3fenzqbk313q5kvxyf52kukw1pa[[#This Row],[Value.LME-ZNC]])</f>
        <v>10.414868804665</v>
      </c>
      <c r="F304" s="2">
        <f t="shared" si="4"/>
        <v>0.28341490487240417</v>
      </c>
    </row>
    <row r="305" spans="1:6" x14ac:dyDescent="0.25">
      <c r="A305" s="1">
        <v>44982</v>
      </c>
      <c r="B305">
        <f>MONTH(timeseries_access_key_fqeas14oitk235763mntlb1c0brnk9w3fenzqbk313q5kvxyf52kukw1pa[[#This Row],[Name]])</f>
        <v>2</v>
      </c>
      <c r="C305">
        <f>YEAR(timeseries_access_key_fqeas14oitk235763mntlb1c0brnk9w3fenzqbk313q5kvxyf52kukw1pa[[#This Row],[Name]])</f>
        <v>2023</v>
      </c>
      <c r="D305">
        <v>10.642403177756</v>
      </c>
      <c r="E305">
        <f>IF(timeseries_access_key_fqeas14oitk235763mntlb1c0brnk9w3fenzqbk313q5kvxyf52kukw1pa[[#This Row],[Value.LME-ZNC]]="",0,timeseries_access_key_fqeas14oitk235763mntlb1c0brnk9w3fenzqbk313q5kvxyf52kukw1pa[[#This Row],[Value.LME-ZNC]])</f>
        <v>10.642403177756</v>
      </c>
      <c r="F305" s="2">
        <f t="shared" si="4"/>
        <v>0.29873548027843677</v>
      </c>
    </row>
    <row r="306" spans="1:6" x14ac:dyDescent="0.25">
      <c r="A306" s="1">
        <v>44984</v>
      </c>
      <c r="B306">
        <f>MONTH(timeseries_access_key_fqeas14oitk235763mntlb1c0brnk9w3fenzqbk313q5kvxyf52kukw1pa[[#This Row],[Name]])</f>
        <v>2</v>
      </c>
      <c r="C306">
        <f>YEAR(timeseries_access_key_fqeas14oitk235763mntlb1c0brnk9w3fenzqbk313q5kvxyf52kukw1pa[[#This Row],[Name]])</f>
        <v>2023</v>
      </c>
      <c r="D306">
        <v>10.642403177756</v>
      </c>
      <c r="E306">
        <f>IF(timeseries_access_key_fqeas14oitk235763mntlb1c0brnk9w3fenzqbk313q5kvxyf52kukw1pa[[#This Row],[Value.LME-ZNC]]="",0,timeseries_access_key_fqeas14oitk235763mntlb1c0brnk9w3fenzqbk313q5kvxyf52kukw1pa[[#This Row],[Value.LME-ZNC]])</f>
        <v>10.642403177756</v>
      </c>
      <c r="F306" s="2">
        <f t="shared" si="4"/>
        <v>0.29873548027843677</v>
      </c>
    </row>
    <row r="307" spans="1:6" x14ac:dyDescent="0.25">
      <c r="A307" s="1">
        <v>44985</v>
      </c>
      <c r="B307">
        <f>MONTH(timeseries_access_key_fqeas14oitk235763mntlb1c0brnk9w3fenzqbk313q5kvxyf52kukw1pa[[#This Row],[Name]])</f>
        <v>2</v>
      </c>
      <c r="C307">
        <f>YEAR(timeseries_access_key_fqeas14oitk235763mntlb1c0brnk9w3fenzqbk313q5kvxyf52kukw1pa[[#This Row],[Name]])</f>
        <v>2023</v>
      </c>
      <c r="D307">
        <v>10.595056846267999</v>
      </c>
      <c r="E307">
        <f>IF(timeseries_access_key_fqeas14oitk235763mntlb1c0brnk9w3fenzqbk313q5kvxyf52kukw1pa[[#This Row],[Value.LME-ZNC]]="",0,timeseries_access_key_fqeas14oitk235763mntlb1c0brnk9w3fenzqbk313q5kvxyf52kukw1pa[[#This Row],[Value.LME-ZNC]])</f>
        <v>10.595056846267999</v>
      </c>
      <c r="F307" s="2">
        <f t="shared" si="4"/>
        <v>0.29560172621809822</v>
      </c>
    </row>
    <row r="308" spans="1:6" x14ac:dyDescent="0.25">
      <c r="A308" s="1">
        <v>44986</v>
      </c>
      <c r="B308">
        <f>MONTH(timeseries_access_key_fqeas14oitk235763mntlb1c0brnk9w3fenzqbk313q5kvxyf52kukw1pa[[#This Row],[Name]])</f>
        <v>3</v>
      </c>
      <c r="C308">
        <f>YEAR(timeseries_access_key_fqeas14oitk235763mntlb1c0brnk9w3fenzqbk313q5kvxyf52kukw1pa[[#This Row],[Name]])</f>
        <v>2023</v>
      </c>
      <c r="D308">
        <v>10.567198027938</v>
      </c>
      <c r="E308">
        <f>IF(timeseries_access_key_fqeas14oitk235763mntlb1c0brnk9w3fenzqbk313q5kvxyf52kukw1pa[[#This Row],[Value.LME-ZNC]]="",0,timeseries_access_key_fqeas14oitk235763mntlb1c0brnk9w3fenzqbk313q5kvxyf52kukw1pa[[#This Row],[Value.LME-ZNC]])</f>
        <v>10.567198027938</v>
      </c>
      <c r="F308" s="2">
        <f t="shared" si="4"/>
        <v>0.29374468677496735</v>
      </c>
    </row>
    <row r="309" spans="1:6" x14ac:dyDescent="0.25">
      <c r="A309" s="1">
        <v>44987</v>
      </c>
      <c r="B309">
        <f>MONTH(timeseries_access_key_fqeas14oitk235763mntlb1c0brnk9w3fenzqbk313q5kvxyf52kukw1pa[[#This Row],[Name]])</f>
        <v>3</v>
      </c>
      <c r="C309">
        <f>YEAR(timeseries_access_key_fqeas14oitk235763mntlb1c0brnk9w3fenzqbk313q5kvxyf52kukw1pa[[#This Row],[Name]])</f>
        <v>2023</v>
      </c>
      <c r="D309">
        <v>10.399708879185001</v>
      </c>
      <c r="E309">
        <f>IF(timeseries_access_key_fqeas14oitk235763mntlb1c0brnk9w3fenzqbk313q5kvxyf52kukw1pa[[#This Row],[Value.LME-ZNC]]="",0,timeseries_access_key_fqeas14oitk235763mntlb1c0brnk9w3fenzqbk313q5kvxyf52kukw1pa[[#This Row],[Value.LME-ZNC]])</f>
        <v>10.399708879185001</v>
      </c>
      <c r="F309" s="2">
        <f t="shared" si="4"/>
        <v>0.28237032018561969</v>
      </c>
    </row>
    <row r="310" spans="1:6" x14ac:dyDescent="0.25">
      <c r="A310" s="1">
        <v>44988</v>
      </c>
      <c r="B310">
        <f>MONTH(timeseries_access_key_fqeas14oitk235763mntlb1c0brnk9w3fenzqbk313q5kvxyf52kukw1pa[[#This Row],[Name]])</f>
        <v>3</v>
      </c>
      <c r="C310">
        <f>YEAR(timeseries_access_key_fqeas14oitk235763mntlb1c0brnk9w3fenzqbk313q5kvxyf52kukw1pa[[#This Row],[Name]])</f>
        <v>2023</v>
      </c>
      <c r="D310">
        <v>10.455512195121999</v>
      </c>
      <c r="E310">
        <f>IF(timeseries_access_key_fqeas14oitk235763mntlb1c0brnk9w3fenzqbk313q5kvxyf52kukw1pa[[#This Row],[Value.LME-ZNC]]="",0,timeseries_access_key_fqeas14oitk235763mntlb1c0brnk9w3fenzqbk313q5kvxyf52kukw1pa[[#This Row],[Value.LME-ZNC]])</f>
        <v>10.455512195121999</v>
      </c>
      <c r="F310" s="2">
        <f t="shared" si="4"/>
        <v>0.28620046403712152</v>
      </c>
    </row>
    <row r="311" spans="1:6" x14ac:dyDescent="0.25">
      <c r="A311" s="1">
        <v>44989</v>
      </c>
      <c r="B311">
        <f>MONTH(timeseries_access_key_fqeas14oitk235763mntlb1c0brnk9w3fenzqbk313q5kvxyf52kukw1pa[[#This Row],[Name]])</f>
        <v>3</v>
      </c>
      <c r="C311">
        <f>YEAR(timeseries_access_key_fqeas14oitk235763mntlb1c0brnk9w3fenzqbk313q5kvxyf52kukw1pa[[#This Row],[Name]])</f>
        <v>2023</v>
      </c>
      <c r="D311">
        <v>10.404757281553</v>
      </c>
      <c r="E311">
        <f>IF(timeseries_access_key_fqeas14oitk235763mntlb1c0brnk9w3fenzqbk313q5kvxyf52kukw1pa[[#This Row],[Value.LME-ZNC]]="",0,timeseries_access_key_fqeas14oitk235763mntlb1c0brnk9w3fenzqbk313q5kvxyf52kukw1pa[[#This Row],[Value.LME-ZNC]])</f>
        <v>10.404757281553</v>
      </c>
      <c r="F311" s="2">
        <f t="shared" si="4"/>
        <v>0.28271851508117429</v>
      </c>
    </row>
    <row r="312" spans="1:6" x14ac:dyDescent="0.25">
      <c r="A312" s="1">
        <v>44990</v>
      </c>
      <c r="B312">
        <f>MONTH(timeseries_access_key_fqeas14oitk235763mntlb1c0brnk9w3fenzqbk313q5kvxyf52kukw1pa[[#This Row],[Name]])</f>
        <v>3</v>
      </c>
      <c r="C312">
        <f>YEAR(timeseries_access_key_fqeas14oitk235763mntlb1c0brnk9w3fenzqbk313q5kvxyf52kukw1pa[[#This Row],[Name]])</f>
        <v>2023</v>
      </c>
      <c r="D312">
        <v>10.404757281553</v>
      </c>
      <c r="E312">
        <f>IF(timeseries_access_key_fqeas14oitk235763mntlb1c0brnk9w3fenzqbk313q5kvxyf52kukw1pa[[#This Row],[Value.LME-ZNC]]="",0,timeseries_access_key_fqeas14oitk235763mntlb1c0brnk9w3fenzqbk313q5kvxyf52kukw1pa[[#This Row],[Value.LME-ZNC]])</f>
        <v>10.404757281553</v>
      </c>
      <c r="F312" s="2">
        <f t="shared" si="4"/>
        <v>0.28271851508117429</v>
      </c>
    </row>
    <row r="313" spans="1:6" x14ac:dyDescent="0.25">
      <c r="A313" s="1">
        <v>44991</v>
      </c>
      <c r="B313">
        <f>MONTH(timeseries_access_key_fqeas14oitk235763mntlb1c0brnk9w3fenzqbk313q5kvxyf52kukw1pa[[#This Row],[Name]])</f>
        <v>3</v>
      </c>
      <c r="C313">
        <f>YEAR(timeseries_access_key_fqeas14oitk235763mntlb1c0brnk9w3fenzqbk313q5kvxyf52kukw1pa[[#This Row],[Name]])</f>
        <v>2023</v>
      </c>
      <c r="D313">
        <v>10.404757281553</v>
      </c>
      <c r="E313">
        <f>IF(timeseries_access_key_fqeas14oitk235763mntlb1c0brnk9w3fenzqbk313q5kvxyf52kukw1pa[[#This Row],[Value.LME-ZNC]]="",0,timeseries_access_key_fqeas14oitk235763mntlb1c0brnk9w3fenzqbk313q5kvxyf52kukw1pa[[#This Row],[Value.LME-ZNC]])</f>
        <v>10.404757281553</v>
      </c>
      <c r="F313" s="2">
        <f t="shared" si="4"/>
        <v>0.28271851508117429</v>
      </c>
    </row>
    <row r="314" spans="1:6" x14ac:dyDescent="0.25">
      <c r="A314" s="1">
        <v>44992</v>
      </c>
      <c r="B314">
        <f>MONTH(timeseries_access_key_fqeas14oitk235763mntlb1c0brnk9w3fenzqbk313q5kvxyf52kukw1pa[[#This Row],[Name]])</f>
        <v>3</v>
      </c>
      <c r="C314">
        <f>YEAR(timeseries_access_key_fqeas14oitk235763mntlb1c0brnk9w3fenzqbk313q5kvxyf52kukw1pa[[#This Row],[Name]])</f>
        <v>2023</v>
      </c>
      <c r="D314">
        <v>10.610792079208</v>
      </c>
      <c r="E314">
        <f>IF(timeseries_access_key_fqeas14oitk235763mntlb1c0brnk9w3fenzqbk313q5kvxyf52kukw1pa[[#This Row],[Value.LME-ZNC]]="",0,timeseries_access_key_fqeas14oitk235763mntlb1c0brnk9w3fenzqbk313q5kvxyf52kukw1pa[[#This Row],[Value.LME-ZNC]])</f>
        <v>10.610792079208</v>
      </c>
      <c r="F314" s="2">
        <f t="shared" si="4"/>
        <v>0.29664631090487303</v>
      </c>
    </row>
    <row r="315" spans="1:6" x14ac:dyDescent="0.25">
      <c r="A315" s="1">
        <v>44993</v>
      </c>
      <c r="B315">
        <f>MONTH(timeseries_access_key_fqeas14oitk235763mntlb1c0brnk9w3fenzqbk313q5kvxyf52kukw1pa[[#This Row],[Name]])</f>
        <v>3</v>
      </c>
      <c r="C315">
        <f>YEAR(timeseries_access_key_fqeas14oitk235763mntlb1c0brnk9w3fenzqbk313q5kvxyf52kukw1pa[[#This Row],[Name]])</f>
        <v>2023</v>
      </c>
      <c r="D315">
        <v>10.674203187251001</v>
      </c>
      <c r="E315">
        <f>IF(timeseries_access_key_fqeas14oitk235763mntlb1c0brnk9w3fenzqbk313q5kvxyf52kukw1pa[[#This Row],[Value.LME-ZNC]]="",0,timeseries_access_key_fqeas14oitk235763mntlb1c0brnk9w3fenzqbk313q5kvxyf52kukw1pa[[#This Row],[Value.LME-ZNC]])</f>
        <v>10.674203187251001</v>
      </c>
      <c r="F315" s="2">
        <f t="shared" si="4"/>
        <v>0.30082464965196787</v>
      </c>
    </row>
    <row r="316" spans="1:6" x14ac:dyDescent="0.25">
      <c r="A316" s="1">
        <v>44994</v>
      </c>
      <c r="B316">
        <f>MONTH(timeseries_access_key_fqeas14oitk235763mntlb1c0brnk9w3fenzqbk313q5kvxyf52kukw1pa[[#This Row],[Name]])</f>
        <v>3</v>
      </c>
      <c r="C316">
        <f>YEAR(timeseries_access_key_fqeas14oitk235763mntlb1c0brnk9w3fenzqbk313q5kvxyf52kukw1pa[[#This Row],[Name]])</f>
        <v>2023</v>
      </c>
      <c r="D316">
        <v>10.752742474915999</v>
      </c>
      <c r="E316">
        <f>IF(timeseries_access_key_fqeas14oitk235763mntlb1c0brnk9w3fenzqbk313q5kvxyf52kukw1pa[[#This Row],[Value.LME-ZNC]]="",0,timeseries_access_key_fqeas14oitk235763mntlb1c0brnk9w3fenzqbk313q5kvxyf52kukw1pa[[#This Row],[Value.LME-ZNC]])</f>
        <v>10.752742474915999</v>
      </c>
      <c r="F316" s="2">
        <f t="shared" si="4"/>
        <v>0.30593150812061998</v>
      </c>
    </row>
    <row r="317" spans="1:6" x14ac:dyDescent="0.25">
      <c r="A317" s="1">
        <v>44995</v>
      </c>
      <c r="B317">
        <f>MONTH(timeseries_access_key_fqeas14oitk235763mntlb1c0brnk9w3fenzqbk313q5kvxyf52kukw1pa[[#This Row],[Name]])</f>
        <v>3</v>
      </c>
      <c r="C317">
        <f>YEAR(timeseries_access_key_fqeas14oitk235763mntlb1c0brnk9w3fenzqbk313q5kvxyf52kukw1pa[[#This Row],[Name]])</f>
        <v>2023</v>
      </c>
      <c r="D317">
        <v>10.834271272115</v>
      </c>
      <c r="E317">
        <f>IF(timeseries_access_key_fqeas14oitk235763mntlb1c0brnk9w3fenzqbk313q5kvxyf52kukw1pa[[#This Row],[Value.LME-ZNC]]="",0,timeseries_access_key_fqeas14oitk235763mntlb1c0brnk9w3fenzqbk313q5kvxyf52kukw1pa[[#This Row],[Value.LME-ZNC]])</f>
        <v>10.834271272115</v>
      </c>
      <c r="F317" s="2">
        <f t="shared" si="4"/>
        <v>0.31115443155454692</v>
      </c>
    </row>
    <row r="318" spans="1:6" x14ac:dyDescent="0.25">
      <c r="A318" s="1">
        <v>44996</v>
      </c>
      <c r="B318">
        <f>MONTH(timeseries_access_key_fqeas14oitk235763mntlb1c0brnk9w3fenzqbk313q5kvxyf52kukw1pa[[#This Row],[Name]])</f>
        <v>3</v>
      </c>
      <c r="C318">
        <f>YEAR(timeseries_access_key_fqeas14oitk235763mntlb1c0brnk9w3fenzqbk313q5kvxyf52kukw1pa[[#This Row],[Name]])</f>
        <v>2023</v>
      </c>
      <c r="D318">
        <v>10.931893913634999</v>
      </c>
      <c r="E318">
        <f>IF(timeseries_access_key_fqeas14oitk235763mntlb1c0brnk9w3fenzqbk313q5kvxyf52kukw1pa[[#This Row],[Value.LME-ZNC]]="",0,timeseries_access_key_fqeas14oitk235763mntlb1c0brnk9w3fenzqbk313q5kvxyf52kukw1pa[[#This Row],[Value.LME-ZNC]])</f>
        <v>10.931893913634999</v>
      </c>
      <c r="F318" s="2">
        <f t="shared" si="4"/>
        <v>0.31730587470998362</v>
      </c>
    </row>
    <row r="319" spans="1:6" x14ac:dyDescent="0.25">
      <c r="A319" s="1">
        <v>44999</v>
      </c>
      <c r="B319">
        <f>MONTH(timeseries_access_key_fqeas14oitk235763mntlb1c0brnk9w3fenzqbk313q5kvxyf52kukw1pa[[#This Row],[Name]])</f>
        <v>3</v>
      </c>
      <c r="C319">
        <f>YEAR(timeseries_access_key_fqeas14oitk235763mntlb1c0brnk9w3fenzqbk313q5kvxyf52kukw1pa[[#This Row],[Name]])</f>
        <v>2023</v>
      </c>
      <c r="D319">
        <v>11.067366609294</v>
      </c>
      <c r="E319">
        <f>IF(timeseries_access_key_fqeas14oitk235763mntlb1c0brnk9w3fenzqbk313q5kvxyf52kukw1pa[[#This Row],[Value.LME-ZNC]]="",0,timeseries_access_key_fqeas14oitk235763mntlb1c0brnk9w3fenzqbk313q5kvxyf52kukw1pa[[#This Row],[Value.LME-ZNC]])</f>
        <v>11.067366609294</v>
      </c>
      <c r="F319" s="2">
        <f t="shared" si="4"/>
        <v>0.32566255220415241</v>
      </c>
    </row>
    <row r="320" spans="1:6" x14ac:dyDescent="0.25">
      <c r="A320" s="1">
        <v>45000</v>
      </c>
      <c r="B320">
        <f>MONTH(timeseries_access_key_fqeas14oitk235763mntlb1c0brnk9w3fenzqbk313q5kvxyf52kukw1pa[[#This Row],[Name]])</f>
        <v>3</v>
      </c>
      <c r="C320">
        <f>YEAR(timeseries_access_key_fqeas14oitk235763mntlb1c0brnk9w3fenzqbk313q5kvxyf52kukw1pa[[#This Row],[Name]])</f>
        <v>2023</v>
      </c>
      <c r="D320">
        <v>10.883784698714001</v>
      </c>
      <c r="E320">
        <f>IF(timeseries_access_key_fqeas14oitk235763mntlb1c0brnk9w3fenzqbk313q5kvxyf52kukw1pa[[#This Row],[Value.LME-ZNC]]="",0,timeseries_access_key_fqeas14oitk235763mntlb1c0brnk9w3fenzqbk313q5kvxyf52kukw1pa[[#This Row],[Value.LME-ZNC]])</f>
        <v>10.883784698714001</v>
      </c>
      <c r="F320" s="2">
        <f t="shared" si="4"/>
        <v>0.31428818561486938</v>
      </c>
    </row>
    <row r="321" spans="1:6" x14ac:dyDescent="0.25">
      <c r="A321" s="1">
        <v>45001</v>
      </c>
      <c r="B321">
        <f>MONTH(timeseries_access_key_fqeas14oitk235763mntlb1c0brnk9w3fenzqbk313q5kvxyf52kukw1pa[[#This Row],[Name]])</f>
        <v>3</v>
      </c>
      <c r="C321">
        <f>YEAR(timeseries_access_key_fqeas14oitk235763mntlb1c0brnk9w3fenzqbk313q5kvxyf52kukw1pa[[#This Row],[Name]])</f>
        <v>2023</v>
      </c>
      <c r="D321">
        <v>11.223843602723001</v>
      </c>
      <c r="E321">
        <f>IF(timeseries_access_key_fqeas14oitk235763mntlb1c0brnk9w3fenzqbk313q5kvxyf52kukw1pa[[#This Row],[Value.LME-ZNC]]="",0,timeseries_access_key_fqeas14oitk235763mntlb1c0brnk9w3fenzqbk313q5kvxyf52kukw1pa[[#This Row],[Value.LME-ZNC]])</f>
        <v>11.223843602723001</v>
      </c>
      <c r="F321" s="2">
        <f t="shared" si="4"/>
        <v>0.33506381438514721</v>
      </c>
    </row>
    <row r="322" spans="1:6" x14ac:dyDescent="0.25">
      <c r="A322" s="1">
        <v>45003</v>
      </c>
      <c r="B322">
        <f>MONTH(timeseries_access_key_fqeas14oitk235763mntlb1c0brnk9w3fenzqbk313q5kvxyf52kukw1pa[[#This Row],[Name]])</f>
        <v>3</v>
      </c>
      <c r="C322">
        <f>YEAR(timeseries_access_key_fqeas14oitk235763mntlb1c0brnk9w3fenzqbk313q5kvxyf52kukw1pa[[#This Row],[Name]])</f>
        <v>2023</v>
      </c>
      <c r="D322">
        <v>10.961711558132</v>
      </c>
      <c r="E322">
        <f>IF(timeseries_access_key_fqeas14oitk235763mntlb1c0brnk9w3fenzqbk313q5kvxyf52kukw1pa[[#This Row],[Value.LME-ZNC]]="",0,timeseries_access_key_fqeas14oitk235763mntlb1c0brnk9w3fenzqbk313q5kvxyf52kukw1pa[[#This Row],[Value.LME-ZNC]])</f>
        <v>10.961711558132</v>
      </c>
      <c r="F322" s="2">
        <f t="shared" ref="F322:F339" si="5">IFERROR(1-(D$2/D322),0)</f>
        <v>0.31916291415315223</v>
      </c>
    </row>
    <row r="323" spans="1:6" x14ac:dyDescent="0.25">
      <c r="A323" s="1">
        <v>45004</v>
      </c>
      <c r="B323">
        <f>MONTH(timeseries_access_key_fqeas14oitk235763mntlb1c0brnk9w3fenzqbk313q5kvxyf52kukw1pa[[#This Row],[Name]])</f>
        <v>3</v>
      </c>
      <c r="C323">
        <f>YEAR(timeseries_access_key_fqeas14oitk235763mntlb1c0brnk9w3fenzqbk313q5kvxyf52kukw1pa[[#This Row],[Name]])</f>
        <v>2023</v>
      </c>
      <c r="D323">
        <v>10.961711558132</v>
      </c>
      <c r="E323">
        <f>IF(timeseries_access_key_fqeas14oitk235763mntlb1c0brnk9w3fenzqbk313q5kvxyf52kukw1pa[[#This Row],[Value.LME-ZNC]]="",0,timeseries_access_key_fqeas14oitk235763mntlb1c0brnk9w3fenzqbk313q5kvxyf52kukw1pa[[#This Row],[Value.LME-ZNC]])</f>
        <v>10.961711558132</v>
      </c>
      <c r="F323" s="2">
        <f t="shared" si="5"/>
        <v>0.31916291415315223</v>
      </c>
    </row>
    <row r="324" spans="1:6" x14ac:dyDescent="0.25">
      <c r="A324" s="1">
        <v>45005</v>
      </c>
      <c r="B324">
        <f>MONTH(timeseries_access_key_fqeas14oitk235763mntlb1c0brnk9w3fenzqbk313q5kvxyf52kukw1pa[[#This Row],[Name]])</f>
        <v>3</v>
      </c>
      <c r="C324">
        <f>YEAR(timeseries_access_key_fqeas14oitk235763mntlb1c0brnk9w3fenzqbk313q5kvxyf52kukw1pa[[#This Row],[Name]])</f>
        <v>2023</v>
      </c>
      <c r="D324">
        <v>10.961711558132</v>
      </c>
      <c r="E324">
        <f>IF(timeseries_access_key_fqeas14oitk235763mntlb1c0brnk9w3fenzqbk313q5kvxyf52kukw1pa[[#This Row],[Value.LME-ZNC]]="",0,timeseries_access_key_fqeas14oitk235763mntlb1c0brnk9w3fenzqbk313q5kvxyf52kukw1pa[[#This Row],[Value.LME-ZNC]])</f>
        <v>10.961711558132</v>
      </c>
      <c r="F324" s="2">
        <f t="shared" si="5"/>
        <v>0.31916291415315223</v>
      </c>
    </row>
    <row r="325" spans="1:6" x14ac:dyDescent="0.25">
      <c r="A325" s="1">
        <v>45006</v>
      </c>
      <c r="B325">
        <f>MONTH(timeseries_access_key_fqeas14oitk235763mntlb1c0brnk9w3fenzqbk313q5kvxyf52kukw1pa[[#This Row],[Name]])</f>
        <v>3</v>
      </c>
      <c r="C325">
        <f>YEAR(timeseries_access_key_fqeas14oitk235763mntlb1c0brnk9w3fenzqbk313q5kvxyf52kukw1pa[[#This Row],[Name]])</f>
        <v>2023</v>
      </c>
      <c r="D325">
        <v>10.991692307692</v>
      </c>
      <c r="E325">
        <f>IF(timeseries_access_key_fqeas14oitk235763mntlb1c0brnk9w3fenzqbk313q5kvxyf52kukw1pa[[#This Row],[Value.LME-ZNC]]="",0,timeseries_access_key_fqeas14oitk235763mntlb1c0brnk9w3fenzqbk313q5kvxyf52kukw1pa[[#This Row],[Value.LME-ZNC]])</f>
        <v>10.991692307692</v>
      </c>
      <c r="F325" s="2">
        <f t="shared" si="5"/>
        <v>0.32101995359626423</v>
      </c>
    </row>
    <row r="326" spans="1:6" x14ac:dyDescent="0.25">
      <c r="A326" s="1">
        <v>45007</v>
      </c>
      <c r="B326">
        <f>MONTH(timeseries_access_key_fqeas14oitk235763mntlb1c0brnk9w3fenzqbk313q5kvxyf52kukw1pa[[#This Row],[Name]])</f>
        <v>3</v>
      </c>
      <c r="C326">
        <f>YEAR(timeseries_access_key_fqeas14oitk235763mntlb1c0brnk9w3fenzqbk313q5kvxyf52kukw1pa[[#This Row],[Name]])</f>
        <v>2023</v>
      </c>
      <c r="D326">
        <v>11.097928891957</v>
      </c>
      <c r="E326">
        <f>IF(timeseries_access_key_fqeas14oitk235763mntlb1c0brnk9w3fenzqbk313q5kvxyf52kukw1pa[[#This Row],[Value.LME-ZNC]]="",0,timeseries_access_key_fqeas14oitk235763mntlb1c0brnk9w3fenzqbk313q5kvxyf52kukw1pa[[#This Row],[Value.LME-ZNC]])</f>
        <v>11.097928891957</v>
      </c>
      <c r="F326" s="2">
        <f t="shared" si="5"/>
        <v>0.32751959164731548</v>
      </c>
    </row>
    <row r="327" spans="1:6" x14ac:dyDescent="0.25">
      <c r="A327" s="1">
        <v>45008</v>
      </c>
      <c r="B327">
        <f>MONTH(timeseries_access_key_fqeas14oitk235763mntlb1c0brnk9w3fenzqbk313q5kvxyf52kukw1pa[[#This Row],[Name]])</f>
        <v>3</v>
      </c>
      <c r="C327">
        <f>YEAR(timeseries_access_key_fqeas14oitk235763mntlb1c0brnk9w3fenzqbk313q5kvxyf52kukw1pa[[#This Row],[Name]])</f>
        <v>2023</v>
      </c>
      <c r="D327">
        <v>11.132513850416</v>
      </c>
      <c r="E327">
        <f>IF(timeseries_access_key_fqeas14oitk235763mntlb1c0brnk9w3fenzqbk313q5kvxyf52kukw1pa[[#This Row],[Value.LME-ZNC]]="",0,timeseries_access_key_fqeas14oitk235763mntlb1c0brnk9w3fenzqbk313q5kvxyf52kukw1pa[[#This Row],[Value.LME-ZNC]])</f>
        <v>11.132513850416</v>
      </c>
      <c r="F327" s="2">
        <f t="shared" si="5"/>
        <v>0.32960876102090664</v>
      </c>
    </row>
    <row r="328" spans="1:6" x14ac:dyDescent="0.25">
      <c r="A328" s="1">
        <v>45009</v>
      </c>
      <c r="B328">
        <f>MONTH(timeseries_access_key_fqeas14oitk235763mntlb1c0brnk9w3fenzqbk313q5kvxyf52kukw1pa[[#This Row],[Name]])</f>
        <v>3</v>
      </c>
      <c r="C328">
        <f>YEAR(timeseries_access_key_fqeas14oitk235763mntlb1c0brnk9w3fenzqbk313q5kvxyf52kukw1pa[[#This Row],[Name]])</f>
        <v>2023</v>
      </c>
      <c r="D328">
        <v>11.109433310297</v>
      </c>
      <c r="E328">
        <f>IF(timeseries_access_key_fqeas14oitk235763mntlb1c0brnk9w3fenzqbk313q5kvxyf52kukw1pa[[#This Row],[Value.LME-ZNC]]="",0,timeseries_access_key_fqeas14oitk235763mntlb1c0brnk9w3fenzqbk313q5kvxyf52kukw1pa[[#This Row],[Value.LME-ZNC]])</f>
        <v>11.109433310297</v>
      </c>
      <c r="F328" s="2">
        <f t="shared" si="5"/>
        <v>0.32821598143850061</v>
      </c>
    </row>
    <row r="329" spans="1:6" x14ac:dyDescent="0.25">
      <c r="A329" s="1">
        <v>45010</v>
      </c>
      <c r="B329">
        <f>MONTH(timeseries_access_key_fqeas14oitk235763mntlb1c0brnk9w3fenzqbk313q5kvxyf52kukw1pa[[#This Row],[Name]])</f>
        <v>3</v>
      </c>
      <c r="C329">
        <f>YEAR(timeseries_access_key_fqeas14oitk235763mntlb1c0brnk9w3fenzqbk313q5kvxyf52kukw1pa[[#This Row],[Name]])</f>
        <v>2023</v>
      </c>
      <c r="D329">
        <v>11.086448275862001</v>
      </c>
      <c r="E329">
        <f>IF(timeseries_access_key_fqeas14oitk235763mntlb1c0brnk9w3fenzqbk313q5kvxyf52kukw1pa[[#This Row],[Value.LME-ZNC]]="",0,timeseries_access_key_fqeas14oitk235763mntlb1c0brnk9w3fenzqbk313q5kvxyf52kukw1pa[[#This Row],[Value.LME-ZNC]])</f>
        <v>11.086448275862001</v>
      </c>
      <c r="F329" s="2">
        <f t="shared" si="5"/>
        <v>0.32682320185613989</v>
      </c>
    </row>
    <row r="330" spans="1:6" x14ac:dyDescent="0.25">
      <c r="A330" s="1">
        <v>45011</v>
      </c>
      <c r="B330">
        <f>MONTH(timeseries_access_key_fqeas14oitk235763mntlb1c0brnk9w3fenzqbk313q5kvxyf52kukw1pa[[#This Row],[Name]])</f>
        <v>3</v>
      </c>
      <c r="C330">
        <f>YEAR(timeseries_access_key_fqeas14oitk235763mntlb1c0brnk9w3fenzqbk313q5kvxyf52kukw1pa[[#This Row],[Name]])</f>
        <v>2023</v>
      </c>
      <c r="D330">
        <v>11.086448275862001</v>
      </c>
      <c r="E330">
        <f>IF(timeseries_access_key_fqeas14oitk235763mntlb1c0brnk9w3fenzqbk313q5kvxyf52kukw1pa[[#This Row],[Value.LME-ZNC]]="",0,timeseries_access_key_fqeas14oitk235763mntlb1c0brnk9w3fenzqbk313q5kvxyf52kukw1pa[[#This Row],[Value.LME-ZNC]])</f>
        <v>11.086448275862001</v>
      </c>
      <c r="F330" s="2">
        <f t="shared" si="5"/>
        <v>0.32682320185613989</v>
      </c>
    </row>
    <row r="331" spans="1:6" x14ac:dyDescent="0.25">
      <c r="A331" s="1">
        <v>45012</v>
      </c>
      <c r="B331">
        <f>MONTH(timeseries_access_key_fqeas14oitk235763mntlb1c0brnk9w3fenzqbk313q5kvxyf52kukw1pa[[#This Row],[Name]])</f>
        <v>3</v>
      </c>
      <c r="C331">
        <f>YEAR(timeseries_access_key_fqeas14oitk235763mntlb1c0brnk9w3fenzqbk313q5kvxyf52kukw1pa[[#This Row],[Name]])</f>
        <v>2023</v>
      </c>
      <c r="D331">
        <v>11.086448275862001</v>
      </c>
      <c r="E331">
        <f>IF(timeseries_access_key_fqeas14oitk235763mntlb1c0brnk9w3fenzqbk313q5kvxyf52kukw1pa[[#This Row],[Value.LME-ZNC]]="",0,timeseries_access_key_fqeas14oitk235763mntlb1c0brnk9w3fenzqbk313q5kvxyf52kukw1pa[[#This Row],[Value.LME-ZNC]])</f>
        <v>11.086448275862001</v>
      </c>
      <c r="F331" s="2">
        <f t="shared" si="5"/>
        <v>0.32682320185613989</v>
      </c>
    </row>
    <row r="332" spans="1:6" x14ac:dyDescent="0.25">
      <c r="A332" s="1">
        <v>45013</v>
      </c>
      <c r="B332">
        <f>MONTH(timeseries_access_key_fqeas14oitk235763mntlb1c0brnk9w3fenzqbk313q5kvxyf52kukw1pa[[#This Row],[Name]])</f>
        <v>3</v>
      </c>
      <c r="C332">
        <f>YEAR(timeseries_access_key_fqeas14oitk235763mntlb1c0brnk9w3fenzqbk313q5kvxyf52kukw1pa[[#This Row],[Name]])</f>
        <v>2023</v>
      </c>
      <c r="D332">
        <v>11.033184625943999</v>
      </c>
      <c r="E332">
        <f>IF(timeseries_access_key_fqeas14oitk235763mntlb1c0brnk9w3fenzqbk313q5kvxyf52kukw1pa[[#This Row],[Value.LME-ZNC]]="",0,timeseries_access_key_fqeas14oitk235763mntlb1c0brnk9w3fenzqbk313q5kvxyf52kukw1pa[[#This Row],[Value.LME-ZNC]])</f>
        <v>11.033184625943999</v>
      </c>
      <c r="F332" s="2">
        <f t="shared" si="5"/>
        <v>0.32357338283063908</v>
      </c>
    </row>
    <row r="333" spans="1:6" x14ac:dyDescent="0.25">
      <c r="A333" s="1">
        <v>45014</v>
      </c>
      <c r="B333">
        <f>MONTH(timeseries_access_key_fqeas14oitk235763mntlb1c0brnk9w3fenzqbk313q5kvxyf52kukw1pa[[#This Row],[Name]])</f>
        <v>3</v>
      </c>
      <c r="C333">
        <f>YEAR(timeseries_access_key_fqeas14oitk235763mntlb1c0brnk9w3fenzqbk313q5kvxyf52kukw1pa[[#This Row],[Name]])</f>
        <v>2023</v>
      </c>
      <c r="D333">
        <v>10.946782431052</v>
      </c>
      <c r="E333">
        <f>IF(timeseries_access_key_fqeas14oitk235763mntlb1c0brnk9w3fenzqbk313q5kvxyf52kukw1pa[[#This Row],[Value.LME-ZNC]]="",0,timeseries_access_key_fqeas14oitk235763mntlb1c0brnk9w3fenzqbk313q5kvxyf52kukw1pa[[#This Row],[Value.LME-ZNC]])</f>
        <v>10.946782431052</v>
      </c>
      <c r="F333" s="2">
        <f t="shared" si="5"/>
        <v>0.31823439443154422</v>
      </c>
    </row>
    <row r="334" spans="1:6" x14ac:dyDescent="0.25">
      <c r="A334" s="1">
        <v>45015</v>
      </c>
      <c r="B334">
        <f>MONTH(timeseries_access_key_fqeas14oitk235763mntlb1c0brnk9w3fenzqbk313q5kvxyf52kukw1pa[[#This Row],[Name]])</f>
        <v>3</v>
      </c>
      <c r="C334">
        <f>YEAR(timeseries_access_key_fqeas14oitk235763mntlb1c0brnk9w3fenzqbk313q5kvxyf52kukw1pa[[#This Row],[Name]])</f>
        <v>2023</v>
      </c>
      <c r="D334">
        <v>10.593311367381</v>
      </c>
      <c r="E334">
        <f>IF(timeseries_access_key_fqeas14oitk235763mntlb1c0brnk9w3fenzqbk313q5kvxyf52kukw1pa[[#This Row],[Value.LME-ZNC]]="",0,timeseries_access_key_fqeas14oitk235763mntlb1c0brnk9w3fenzqbk313q5kvxyf52kukw1pa[[#This Row],[Value.LME-ZNC]])</f>
        <v>10.593311367381</v>
      </c>
      <c r="F334" s="2">
        <f t="shared" si="5"/>
        <v>0.29548566125292486</v>
      </c>
    </row>
    <row r="335" spans="1:6" x14ac:dyDescent="0.25">
      <c r="A335" s="1">
        <v>45016</v>
      </c>
      <c r="B335">
        <f>MONTH(timeseries_access_key_fqeas14oitk235763mntlb1c0brnk9w3fenzqbk313q5kvxyf52kukw1pa[[#This Row],[Name]])</f>
        <v>3</v>
      </c>
      <c r="C335">
        <f>YEAR(timeseries_access_key_fqeas14oitk235763mntlb1c0brnk9w3fenzqbk313q5kvxyf52kukw1pa[[#This Row],[Name]])</f>
        <v>2023</v>
      </c>
      <c r="D335">
        <v>10.788825503356</v>
      </c>
      <c r="E335">
        <f>IF(timeseries_access_key_fqeas14oitk235763mntlb1c0brnk9w3fenzqbk313q5kvxyf52kukw1pa[[#This Row],[Value.LME-ZNC]]="",0,timeseries_access_key_fqeas14oitk235763mntlb1c0brnk9w3fenzqbk313q5kvxyf52kukw1pa[[#This Row],[Value.LME-ZNC]])</f>
        <v>10.788825503356</v>
      </c>
      <c r="F335" s="2">
        <f t="shared" si="5"/>
        <v>0.30825280742460837</v>
      </c>
    </row>
    <row r="336" spans="1:6" x14ac:dyDescent="0.25">
      <c r="A336" s="1">
        <v>45017</v>
      </c>
      <c r="B336">
        <f>MONTH(timeseries_access_key_fqeas14oitk235763mntlb1c0brnk9w3fenzqbk313q5kvxyf52kukw1pa[[#This Row],[Name]])</f>
        <v>4</v>
      </c>
      <c r="C336">
        <f>YEAR(timeseries_access_key_fqeas14oitk235763mntlb1c0brnk9w3fenzqbk313q5kvxyf52kukw1pa[[#This Row],[Name]])</f>
        <v>2023</v>
      </c>
      <c r="D336">
        <v>11.061654911405</v>
      </c>
      <c r="E336">
        <f>IF(timeseries_access_key_fqeas14oitk235763mntlb1c0brnk9w3fenzqbk313q5kvxyf52kukw1pa[[#This Row],[Value.LME-ZNC]]="",0,timeseries_access_key_fqeas14oitk235763mntlb1c0brnk9w3fenzqbk313q5kvxyf52kukw1pa[[#This Row],[Value.LME-ZNC]])</f>
        <v>11.061654911405</v>
      </c>
      <c r="F336" s="2">
        <f t="shared" si="5"/>
        <v>0.32531435730855163</v>
      </c>
    </row>
    <row r="337" spans="1:6" x14ac:dyDescent="0.25">
      <c r="A337" s="1">
        <v>45018</v>
      </c>
      <c r="B337">
        <f>MONTH(timeseries_access_key_fqeas14oitk235763mntlb1c0brnk9w3fenzqbk313q5kvxyf52kukw1pa[[#This Row],[Name]])</f>
        <v>4</v>
      </c>
      <c r="C337">
        <f>YEAR(timeseries_access_key_fqeas14oitk235763mntlb1c0brnk9w3fenzqbk313q5kvxyf52kukw1pa[[#This Row],[Name]])</f>
        <v>2023</v>
      </c>
      <c r="D337">
        <v>11.061654911405</v>
      </c>
      <c r="E337">
        <f>IF(timeseries_access_key_fqeas14oitk235763mntlb1c0brnk9w3fenzqbk313q5kvxyf52kukw1pa[[#This Row],[Value.LME-ZNC]]="",0,timeseries_access_key_fqeas14oitk235763mntlb1c0brnk9w3fenzqbk313q5kvxyf52kukw1pa[[#This Row],[Value.LME-ZNC]])</f>
        <v>11.061654911405</v>
      </c>
      <c r="F337" s="2">
        <f t="shared" si="5"/>
        <v>0.32531435730855163</v>
      </c>
    </row>
    <row r="338" spans="1:6" x14ac:dyDescent="0.25">
      <c r="A338" s="1">
        <v>45019</v>
      </c>
      <c r="B338">
        <f>MONTH(timeseries_access_key_fqeas14oitk235763mntlb1c0brnk9w3fenzqbk313q5kvxyf52kukw1pa[[#This Row],[Name]])</f>
        <v>4</v>
      </c>
      <c r="C338">
        <f>YEAR(timeseries_access_key_fqeas14oitk235763mntlb1c0brnk9w3fenzqbk313q5kvxyf52kukw1pa[[#This Row],[Name]])</f>
        <v>2023</v>
      </c>
      <c r="D338">
        <v>11.061654911405</v>
      </c>
      <c r="E338">
        <f>IF(timeseries_access_key_fqeas14oitk235763mntlb1c0brnk9w3fenzqbk313q5kvxyf52kukw1pa[[#This Row],[Value.LME-ZNC]]="",0,timeseries_access_key_fqeas14oitk235763mntlb1c0brnk9w3fenzqbk313q5kvxyf52kukw1pa[[#This Row],[Value.LME-ZNC]])</f>
        <v>11.061654911405</v>
      </c>
      <c r="F338" s="2">
        <f t="shared" si="5"/>
        <v>0.32531435730855163</v>
      </c>
    </row>
    <row r="339" spans="1:6" x14ac:dyDescent="0.25">
      <c r="A339" s="1">
        <v>45020</v>
      </c>
      <c r="B339">
        <f>MONTH(timeseries_access_key_fqeas14oitk235763mntlb1c0brnk9w3fenzqbk313q5kvxyf52kukw1pa[[#This Row],[Name]])</f>
        <v>4</v>
      </c>
      <c r="C339">
        <f>YEAR(timeseries_access_key_fqeas14oitk235763mntlb1c0brnk9w3fenzqbk313q5kvxyf52kukw1pa[[#This Row],[Name]])</f>
        <v>2023</v>
      </c>
      <c r="D339">
        <v>10.946782431052</v>
      </c>
      <c r="E339">
        <f>IF(timeseries_access_key_fqeas14oitk235763mntlb1c0brnk9w3fenzqbk313q5kvxyf52kukw1pa[[#This Row],[Value.LME-ZNC]]="",0,timeseries_access_key_fqeas14oitk235763mntlb1c0brnk9w3fenzqbk313q5kvxyf52kukw1pa[[#This Row],[Value.LME-ZNC]])</f>
        <v>10.946782431052</v>
      </c>
      <c r="F339" s="2">
        <f t="shared" si="5"/>
        <v>0.31823439443154422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F502-B0D2-4BBC-AF02-91504199770C}">
  <sheetPr codeName="Sheet6">
    <tabColor theme="2" tint="-0.249977111117893"/>
  </sheetPr>
  <dimension ref="A1:C628"/>
  <sheetViews>
    <sheetView workbookViewId="0">
      <selection activeCell="I29" sqref="I29"/>
    </sheetView>
  </sheetViews>
  <sheetFormatPr defaultRowHeight="15" x14ac:dyDescent="0.25"/>
  <cols>
    <col min="1" max="1" width="15.85546875" bestFit="1" customWidth="1"/>
    <col min="2" max="2" width="16.7109375" bestFit="1" customWidth="1"/>
    <col min="3" max="3" width="11.140625" bestFit="1" customWidth="1"/>
  </cols>
  <sheetData>
    <row r="1" spans="1:3" x14ac:dyDescent="0.25">
      <c r="A1" t="s">
        <v>0</v>
      </c>
      <c r="B1" t="s">
        <v>1</v>
      </c>
      <c r="C1" t="s">
        <v>5</v>
      </c>
    </row>
    <row r="2" spans="1:3" x14ac:dyDescent="0.25">
      <c r="A2" s="1">
        <v>25934</v>
      </c>
      <c r="B2" s="9">
        <v>358.02</v>
      </c>
      <c r="C2" s="2">
        <f t="shared" ref="C2:C65" si="0">1-(B$2/B2)</f>
        <v>0</v>
      </c>
    </row>
    <row r="3" spans="1:3" x14ac:dyDescent="0.25">
      <c r="A3" s="1">
        <v>25965</v>
      </c>
      <c r="B3" s="9">
        <v>357.54500000000002</v>
      </c>
      <c r="C3" s="2">
        <f t="shared" si="0"/>
        <v>-1.3285041043784585E-3</v>
      </c>
    </row>
    <row r="4" spans="1:3" x14ac:dyDescent="0.25">
      <c r="A4" s="1">
        <v>25993</v>
      </c>
      <c r="B4" s="9">
        <v>357.51870000000002</v>
      </c>
      <c r="C4" s="2">
        <f t="shared" si="0"/>
        <v>-1.4021644182526938E-3</v>
      </c>
    </row>
    <row r="5" spans="1:3" x14ac:dyDescent="0.25">
      <c r="A5" s="1">
        <v>26024</v>
      </c>
      <c r="B5" s="9">
        <v>357.50319999999999</v>
      </c>
      <c r="C5" s="2">
        <f t="shared" si="0"/>
        <v>-1.4455814661238353E-3</v>
      </c>
    </row>
    <row r="6" spans="1:3" x14ac:dyDescent="0.25">
      <c r="A6" s="1">
        <v>26054</v>
      </c>
      <c r="B6" s="9">
        <v>357.41300000000001</v>
      </c>
      <c r="C6" s="2">
        <f t="shared" si="0"/>
        <v>-1.6983153942358165E-3</v>
      </c>
    </row>
    <row r="7" spans="1:3" x14ac:dyDescent="0.25">
      <c r="A7" s="1">
        <v>26085</v>
      </c>
      <c r="B7" s="9">
        <v>357.41180000000003</v>
      </c>
      <c r="C7" s="2">
        <f t="shared" si="0"/>
        <v>-1.7016785679710988E-3</v>
      </c>
    </row>
    <row r="8" spans="1:3" x14ac:dyDescent="0.25">
      <c r="A8" s="1">
        <v>26115</v>
      </c>
      <c r="B8" s="9">
        <v>357.40429999999998</v>
      </c>
      <c r="C8" s="2">
        <f t="shared" si="0"/>
        <v>-1.7226989154859318E-3</v>
      </c>
    </row>
    <row r="9" spans="1:3" x14ac:dyDescent="0.25">
      <c r="A9" s="1">
        <v>26146</v>
      </c>
      <c r="B9" s="9">
        <v>355.78</v>
      </c>
      <c r="C9" s="2">
        <f t="shared" si="0"/>
        <v>-6.2960256338187026E-3</v>
      </c>
    </row>
    <row r="10" spans="1:3" x14ac:dyDescent="0.25">
      <c r="A10" s="1">
        <v>26177</v>
      </c>
      <c r="B10" s="9">
        <v>338.02100000000002</v>
      </c>
      <c r="C10" s="2">
        <f t="shared" si="0"/>
        <v>-5.9164963123592873E-2</v>
      </c>
    </row>
    <row r="11" spans="1:3" x14ac:dyDescent="0.25">
      <c r="A11" s="1">
        <v>26207</v>
      </c>
      <c r="B11" s="9">
        <v>331.1105</v>
      </c>
      <c r="C11" s="2">
        <f t="shared" si="0"/>
        <v>-8.1270452009223337E-2</v>
      </c>
    </row>
    <row r="12" spans="1:3" x14ac:dyDescent="0.25">
      <c r="A12" s="1">
        <v>26238</v>
      </c>
      <c r="B12" s="9">
        <v>328.75200000000001</v>
      </c>
      <c r="C12" s="2">
        <f t="shared" si="0"/>
        <v>-8.9027595269382198E-2</v>
      </c>
    </row>
    <row r="13" spans="1:3" x14ac:dyDescent="0.25">
      <c r="A13" s="1">
        <v>26268</v>
      </c>
      <c r="B13" s="9">
        <v>320.0727</v>
      </c>
      <c r="C13" s="2">
        <f t="shared" si="0"/>
        <v>-0.11855837751860743</v>
      </c>
    </row>
    <row r="14" spans="1:3" x14ac:dyDescent="0.25">
      <c r="A14" s="1">
        <v>26299</v>
      </c>
      <c r="B14" s="9">
        <v>312.72000000000003</v>
      </c>
      <c r="C14" s="2">
        <f t="shared" si="0"/>
        <v>-0.1448580199539522</v>
      </c>
    </row>
    <row r="15" spans="1:3" x14ac:dyDescent="0.25">
      <c r="A15" s="1">
        <v>26330</v>
      </c>
      <c r="B15" s="9">
        <v>305.18700000000001</v>
      </c>
      <c r="C15" s="2">
        <f t="shared" si="0"/>
        <v>-0.17311681034906456</v>
      </c>
    </row>
    <row r="16" spans="1:3" x14ac:dyDescent="0.25">
      <c r="A16" s="1">
        <v>26359</v>
      </c>
      <c r="B16" s="9">
        <v>302.53649999999999</v>
      </c>
      <c r="C16" s="2">
        <f t="shared" si="0"/>
        <v>-0.18339440034508225</v>
      </c>
    </row>
    <row r="17" spans="1:3" x14ac:dyDescent="0.25">
      <c r="A17" s="1">
        <v>26390</v>
      </c>
      <c r="B17" s="9">
        <v>303.56049999999999</v>
      </c>
      <c r="C17" s="2">
        <f t="shared" si="0"/>
        <v>-0.17940245848850567</v>
      </c>
    </row>
    <row r="18" spans="1:3" x14ac:dyDescent="0.25">
      <c r="A18" s="1">
        <v>26420</v>
      </c>
      <c r="B18" s="9">
        <v>304.37950000000001</v>
      </c>
      <c r="C18" s="2">
        <f t="shared" si="0"/>
        <v>-0.17622901673732949</v>
      </c>
    </row>
    <row r="19" spans="1:3" x14ac:dyDescent="0.25">
      <c r="A19" s="1">
        <v>26451</v>
      </c>
      <c r="B19" s="9">
        <v>302.41449999999998</v>
      </c>
      <c r="C19" s="2">
        <f t="shared" si="0"/>
        <v>-0.18387180508871115</v>
      </c>
    </row>
    <row r="20" spans="1:3" x14ac:dyDescent="0.25">
      <c r="A20" s="1">
        <v>26481</v>
      </c>
      <c r="B20" s="9">
        <v>301.03050000000002</v>
      </c>
      <c r="C20" s="2">
        <f t="shared" si="0"/>
        <v>-0.18931470399178818</v>
      </c>
    </row>
    <row r="21" spans="1:3" x14ac:dyDescent="0.25">
      <c r="A21" s="1">
        <v>26512</v>
      </c>
      <c r="B21" s="9">
        <v>301.16090000000003</v>
      </c>
      <c r="C21" s="2">
        <f t="shared" si="0"/>
        <v>-0.18879974126787369</v>
      </c>
    </row>
    <row r="22" spans="1:3" x14ac:dyDescent="0.25">
      <c r="A22" s="1">
        <v>26543</v>
      </c>
      <c r="B22" s="9">
        <v>301.11900000000003</v>
      </c>
      <c r="C22" s="2">
        <f t="shared" si="0"/>
        <v>-0.18896515995337371</v>
      </c>
    </row>
    <row r="23" spans="1:3" x14ac:dyDescent="0.25">
      <c r="A23" s="1">
        <v>26573</v>
      </c>
      <c r="B23" s="9">
        <v>301.01100000000002</v>
      </c>
      <c r="C23" s="2">
        <f t="shared" si="0"/>
        <v>-0.1893917498031632</v>
      </c>
    </row>
    <row r="24" spans="1:3" x14ac:dyDescent="0.25">
      <c r="A24" s="1">
        <v>26604</v>
      </c>
      <c r="B24" s="9">
        <v>300.98849999999999</v>
      </c>
      <c r="C24" s="2">
        <f t="shared" si="0"/>
        <v>-0.18948066122127583</v>
      </c>
    </row>
    <row r="25" spans="1:3" x14ac:dyDescent="0.25">
      <c r="A25" s="1">
        <v>26634</v>
      </c>
      <c r="B25" s="9">
        <v>301.2405</v>
      </c>
      <c r="C25" s="2">
        <f t="shared" si="0"/>
        <v>-0.18848561199440317</v>
      </c>
    </row>
    <row r="26" spans="1:3" x14ac:dyDescent="0.25">
      <c r="A26" s="1">
        <v>26665</v>
      </c>
      <c r="B26" s="9">
        <v>301.78820000000002</v>
      </c>
      <c r="C26" s="2">
        <f t="shared" si="0"/>
        <v>-0.18632869012108477</v>
      </c>
    </row>
    <row r="27" spans="1:3" x14ac:dyDescent="0.25">
      <c r="A27" s="1">
        <v>26696</v>
      </c>
      <c r="B27" s="9">
        <v>278.42059999999998</v>
      </c>
      <c r="C27" s="2">
        <f t="shared" si="0"/>
        <v>-0.28589623037950496</v>
      </c>
    </row>
    <row r="28" spans="1:3" x14ac:dyDescent="0.25">
      <c r="A28" s="1">
        <v>26724</v>
      </c>
      <c r="B28" s="9">
        <v>261.90140000000002</v>
      </c>
      <c r="C28" s="2">
        <f t="shared" si="0"/>
        <v>-0.36700300189307855</v>
      </c>
    </row>
    <row r="29" spans="1:3" x14ac:dyDescent="0.25">
      <c r="A29" s="1">
        <v>26755</v>
      </c>
      <c r="B29" s="9">
        <v>265.4914</v>
      </c>
      <c r="C29" s="2">
        <f t="shared" si="0"/>
        <v>-0.34851825708855344</v>
      </c>
    </row>
    <row r="30" spans="1:3" x14ac:dyDescent="0.25">
      <c r="A30" s="1">
        <v>26785</v>
      </c>
      <c r="B30" s="9">
        <v>264.65050000000002</v>
      </c>
      <c r="C30" s="2">
        <f t="shared" si="0"/>
        <v>-0.35280303645751654</v>
      </c>
    </row>
    <row r="31" spans="1:3" x14ac:dyDescent="0.25">
      <c r="A31" s="1">
        <v>26816</v>
      </c>
      <c r="B31" s="9">
        <v>264.49810000000002</v>
      </c>
      <c r="C31" s="2">
        <f t="shared" si="0"/>
        <v>-0.35358250210492992</v>
      </c>
    </row>
    <row r="32" spans="1:3" x14ac:dyDescent="0.25">
      <c r="A32" s="1">
        <v>26846</v>
      </c>
      <c r="B32" s="9">
        <v>264.55380000000002</v>
      </c>
      <c r="C32" s="2">
        <f t="shared" si="0"/>
        <v>-0.35329751453201563</v>
      </c>
    </row>
    <row r="33" spans="1:3" x14ac:dyDescent="0.25">
      <c r="A33" s="1">
        <v>26877</v>
      </c>
      <c r="B33" s="9">
        <v>265.22000000000003</v>
      </c>
      <c r="C33" s="2">
        <f t="shared" si="0"/>
        <v>-0.34989819772264519</v>
      </c>
    </row>
    <row r="34" spans="1:3" x14ac:dyDescent="0.25">
      <c r="A34" s="1">
        <v>26908</v>
      </c>
      <c r="B34" s="9">
        <v>265.47469999999998</v>
      </c>
      <c r="C34" s="2">
        <f t="shared" si="0"/>
        <v>-0.34860308722450761</v>
      </c>
    </row>
    <row r="35" spans="1:3" x14ac:dyDescent="0.25">
      <c r="A35" s="1">
        <v>26938</v>
      </c>
      <c r="B35" s="9">
        <v>266.33479999999997</v>
      </c>
      <c r="C35" s="2">
        <f t="shared" si="0"/>
        <v>-0.34424791653212439</v>
      </c>
    </row>
    <row r="36" spans="1:3" x14ac:dyDescent="0.25">
      <c r="A36" s="1">
        <v>26969</v>
      </c>
      <c r="B36" s="9">
        <v>278.26249999999999</v>
      </c>
      <c r="C36" s="2">
        <f t="shared" si="0"/>
        <v>-0.28662683617088169</v>
      </c>
    </row>
    <row r="37" spans="1:3" x14ac:dyDescent="0.25">
      <c r="A37" s="1">
        <v>26999</v>
      </c>
      <c r="B37" s="9">
        <v>280.17750000000001</v>
      </c>
      <c r="C37" s="2">
        <f t="shared" si="0"/>
        <v>-0.27783280241989439</v>
      </c>
    </row>
    <row r="38" spans="1:3" x14ac:dyDescent="0.25">
      <c r="A38" s="1">
        <v>27030</v>
      </c>
      <c r="B38" s="9">
        <v>298.1336</v>
      </c>
      <c r="C38" s="2">
        <f t="shared" si="0"/>
        <v>-0.20087101889890979</v>
      </c>
    </row>
    <row r="39" spans="1:3" x14ac:dyDescent="0.25">
      <c r="A39" s="1">
        <v>27061</v>
      </c>
      <c r="B39" s="9">
        <v>291.0872</v>
      </c>
      <c r="C39" s="2">
        <f t="shared" si="0"/>
        <v>-0.22994071879491784</v>
      </c>
    </row>
    <row r="40" spans="1:3" x14ac:dyDescent="0.25">
      <c r="A40" s="1">
        <v>27089</v>
      </c>
      <c r="B40" s="9">
        <v>282.16480000000001</v>
      </c>
      <c r="C40" s="2">
        <f t="shared" si="0"/>
        <v>-0.26883296569947768</v>
      </c>
    </row>
    <row r="41" spans="1:3" x14ac:dyDescent="0.25">
      <c r="A41" s="1">
        <v>27120</v>
      </c>
      <c r="B41" s="9">
        <v>277.77409999999998</v>
      </c>
      <c r="C41" s="2">
        <f t="shared" si="0"/>
        <v>-0.28888906489121924</v>
      </c>
    </row>
    <row r="42" spans="1:3" x14ac:dyDescent="0.25">
      <c r="A42" s="1">
        <v>27150</v>
      </c>
      <c r="B42" s="9">
        <v>278.96640000000002</v>
      </c>
      <c r="C42" s="2">
        <f t="shared" si="0"/>
        <v>-0.28338036408685752</v>
      </c>
    </row>
    <row r="43" spans="1:3" x14ac:dyDescent="0.25">
      <c r="A43" s="1">
        <v>27181</v>
      </c>
      <c r="B43" s="9">
        <v>282.97000000000003</v>
      </c>
      <c r="C43" s="2">
        <f t="shared" si="0"/>
        <v>-0.26522246174506114</v>
      </c>
    </row>
    <row r="44" spans="1:3" x14ac:dyDescent="0.25">
      <c r="A44" s="1">
        <v>27211</v>
      </c>
      <c r="B44" s="9">
        <v>290.98</v>
      </c>
      <c r="C44" s="2">
        <f t="shared" si="0"/>
        <v>-0.23039384150113396</v>
      </c>
    </row>
    <row r="45" spans="1:3" x14ac:dyDescent="0.25">
      <c r="A45" s="1">
        <v>27242</v>
      </c>
      <c r="B45" s="9">
        <v>302.28359999999998</v>
      </c>
      <c r="C45" s="2">
        <f t="shared" si="0"/>
        <v>-0.18438446544900211</v>
      </c>
    </row>
    <row r="46" spans="1:3" x14ac:dyDescent="0.25">
      <c r="A46" s="1">
        <v>27273</v>
      </c>
      <c r="B46" s="9">
        <v>299.084</v>
      </c>
      <c r="C46" s="2">
        <f t="shared" si="0"/>
        <v>-0.19705500795763053</v>
      </c>
    </row>
    <row r="47" spans="1:3" x14ac:dyDescent="0.25">
      <c r="A47" s="1">
        <v>27303</v>
      </c>
      <c r="B47" s="9">
        <v>299.36450000000002</v>
      </c>
      <c r="C47" s="2">
        <f t="shared" si="0"/>
        <v>-0.19593338555506734</v>
      </c>
    </row>
    <row r="48" spans="1:3" x14ac:dyDescent="0.25">
      <c r="A48" s="1">
        <v>27334</v>
      </c>
      <c r="B48" s="9">
        <v>300.07499999999999</v>
      </c>
      <c r="C48" s="2">
        <f t="shared" si="0"/>
        <v>-0.19310172456885777</v>
      </c>
    </row>
    <row r="49" spans="1:3" x14ac:dyDescent="0.25">
      <c r="A49" s="1">
        <v>27364</v>
      </c>
      <c r="B49" s="9">
        <v>300.41140000000001</v>
      </c>
      <c r="C49" s="2">
        <f t="shared" si="0"/>
        <v>-0.19176569198106308</v>
      </c>
    </row>
    <row r="50" spans="1:3" x14ac:dyDescent="0.25">
      <c r="A50" s="1">
        <v>27395</v>
      </c>
      <c r="B50" s="9">
        <v>299.68450000000001</v>
      </c>
      <c r="C50" s="2">
        <f t="shared" si="0"/>
        <v>-0.19465638029327503</v>
      </c>
    </row>
    <row r="51" spans="1:3" x14ac:dyDescent="0.25">
      <c r="A51" s="1">
        <v>27426</v>
      </c>
      <c r="B51" s="9">
        <v>291.6583</v>
      </c>
      <c r="C51" s="2">
        <f t="shared" si="0"/>
        <v>-0.22753235549956918</v>
      </c>
    </row>
    <row r="52" spans="1:3" x14ac:dyDescent="0.25">
      <c r="A52" s="1">
        <v>27454</v>
      </c>
      <c r="B52" s="9">
        <v>287.9486</v>
      </c>
      <c r="C52" s="2">
        <f t="shared" si="0"/>
        <v>-0.2433469028847508</v>
      </c>
    </row>
    <row r="53" spans="1:3" x14ac:dyDescent="0.25">
      <c r="A53" s="1">
        <v>27485</v>
      </c>
      <c r="B53" s="9">
        <v>292.1968</v>
      </c>
      <c r="C53" s="2">
        <f t="shared" si="0"/>
        <v>-0.22527009193803615</v>
      </c>
    </row>
    <row r="54" spans="1:3" x14ac:dyDescent="0.25">
      <c r="A54" s="1">
        <v>27515</v>
      </c>
      <c r="B54" s="9">
        <v>291.43049999999999</v>
      </c>
      <c r="C54" s="2">
        <f t="shared" si="0"/>
        <v>-0.22849187027438789</v>
      </c>
    </row>
    <row r="55" spans="1:3" x14ac:dyDescent="0.25">
      <c r="A55" s="1">
        <v>27546</v>
      </c>
      <c r="B55" s="9">
        <v>293.46620000000001</v>
      </c>
      <c r="C55" s="2">
        <f t="shared" si="0"/>
        <v>-0.21997013625419193</v>
      </c>
    </row>
    <row r="56" spans="1:3" x14ac:dyDescent="0.25">
      <c r="A56" s="1">
        <v>27576</v>
      </c>
      <c r="B56" s="9">
        <v>296.3741</v>
      </c>
      <c r="C56" s="2">
        <f t="shared" si="0"/>
        <v>-0.2080002942227408</v>
      </c>
    </row>
    <row r="57" spans="1:3" x14ac:dyDescent="0.25">
      <c r="A57" s="1">
        <v>27607</v>
      </c>
      <c r="B57" s="9">
        <v>297.97620000000001</v>
      </c>
      <c r="C57" s="2">
        <f t="shared" si="0"/>
        <v>-0.2015053551256778</v>
      </c>
    </row>
    <row r="58" spans="1:3" x14ac:dyDescent="0.25">
      <c r="A58" s="1">
        <v>27638</v>
      </c>
      <c r="B58" s="9">
        <v>299.90899999999999</v>
      </c>
      <c r="C58" s="2">
        <f t="shared" si="0"/>
        <v>-0.19376210783937786</v>
      </c>
    </row>
    <row r="59" spans="1:3" x14ac:dyDescent="0.25">
      <c r="A59" s="1">
        <v>27668</v>
      </c>
      <c r="B59" s="9">
        <v>302.33640000000003</v>
      </c>
      <c r="C59" s="2">
        <f t="shared" si="0"/>
        <v>-0.18417762465915444</v>
      </c>
    </row>
    <row r="60" spans="1:3" x14ac:dyDescent="0.25">
      <c r="A60" s="1">
        <v>27699</v>
      </c>
      <c r="B60" s="9">
        <v>302.5453</v>
      </c>
      <c r="C60" s="2">
        <f t="shared" si="0"/>
        <v>-0.18335997948075877</v>
      </c>
    </row>
    <row r="61" spans="1:3" x14ac:dyDescent="0.25">
      <c r="A61" s="1">
        <v>27729</v>
      </c>
      <c r="B61" s="9">
        <v>305.67</v>
      </c>
      <c r="C61" s="2">
        <f t="shared" si="0"/>
        <v>-0.17126312690156031</v>
      </c>
    </row>
    <row r="62" spans="1:3" x14ac:dyDescent="0.25">
      <c r="A62" s="1">
        <v>27760</v>
      </c>
      <c r="B62" s="9">
        <v>304.63569999999999</v>
      </c>
      <c r="C62" s="2">
        <f t="shared" si="0"/>
        <v>-0.17523980282022089</v>
      </c>
    </row>
    <row r="63" spans="1:3" x14ac:dyDescent="0.25">
      <c r="A63" s="1">
        <v>27791</v>
      </c>
      <c r="B63" s="9">
        <v>301.59440000000001</v>
      </c>
      <c r="C63" s="2">
        <f t="shared" si="0"/>
        <v>-0.18709100699482484</v>
      </c>
    </row>
    <row r="64" spans="1:3" x14ac:dyDescent="0.25">
      <c r="A64" s="1">
        <v>27820</v>
      </c>
      <c r="B64" s="9">
        <v>300.51830000000001</v>
      </c>
      <c r="C64" s="2">
        <f t="shared" si="0"/>
        <v>-0.19134175855513624</v>
      </c>
    </row>
    <row r="65" spans="1:3" x14ac:dyDescent="0.25">
      <c r="A65" s="1">
        <v>27851</v>
      </c>
      <c r="B65" s="9">
        <v>299.10860000000002</v>
      </c>
      <c r="C65" s="2">
        <f t="shared" si="0"/>
        <v>-0.19695655691611669</v>
      </c>
    </row>
    <row r="66" spans="1:3" x14ac:dyDescent="0.25">
      <c r="A66" s="1">
        <v>27881</v>
      </c>
      <c r="B66" s="9">
        <v>299.00400000000002</v>
      </c>
      <c r="C66" s="2">
        <f t="shared" ref="C66:C129" si="1">1-(B$2/B66)</f>
        <v>-0.19737528594935161</v>
      </c>
    </row>
    <row r="67" spans="1:3" x14ac:dyDescent="0.25">
      <c r="A67" s="1">
        <v>27912</v>
      </c>
      <c r="B67" s="9">
        <v>299.1909</v>
      </c>
      <c r="C67" s="2">
        <f t="shared" si="1"/>
        <v>-0.19662730383845228</v>
      </c>
    </row>
    <row r="68" spans="1:3" x14ac:dyDescent="0.25">
      <c r="A68" s="1">
        <v>27942</v>
      </c>
      <c r="B68" s="9">
        <v>294.64100000000002</v>
      </c>
      <c r="C68" s="2">
        <f t="shared" si="1"/>
        <v>-0.21510584066711669</v>
      </c>
    </row>
    <row r="69" spans="1:3" x14ac:dyDescent="0.25">
      <c r="A69" s="1">
        <v>27973</v>
      </c>
      <c r="B69" s="9">
        <v>290.6259</v>
      </c>
      <c r="C69" s="2">
        <f t="shared" si="1"/>
        <v>-0.23189295929922271</v>
      </c>
    </row>
    <row r="70" spans="1:3" x14ac:dyDescent="0.25">
      <c r="A70" s="1">
        <v>28004</v>
      </c>
      <c r="B70" s="9">
        <v>287.36099999999999</v>
      </c>
      <c r="C70" s="2">
        <f t="shared" si="1"/>
        <v>-0.24588931692192051</v>
      </c>
    </row>
    <row r="71" spans="1:3" x14ac:dyDescent="0.25">
      <c r="A71" s="1">
        <v>28034</v>
      </c>
      <c r="B71" s="9">
        <v>291.18900000000002</v>
      </c>
      <c r="C71" s="2">
        <f t="shared" si="1"/>
        <v>-0.22951073014433909</v>
      </c>
    </row>
    <row r="72" spans="1:3" x14ac:dyDescent="0.25">
      <c r="A72" s="1">
        <v>28065</v>
      </c>
      <c r="B72" s="9">
        <v>295.1653</v>
      </c>
      <c r="C72" s="2">
        <f t="shared" si="1"/>
        <v>-0.21294745689957462</v>
      </c>
    </row>
    <row r="73" spans="1:3" x14ac:dyDescent="0.25">
      <c r="A73" s="1">
        <v>28095</v>
      </c>
      <c r="B73" s="9">
        <v>294.70170000000002</v>
      </c>
      <c r="C73" s="2">
        <f t="shared" si="1"/>
        <v>-0.21485556411788576</v>
      </c>
    </row>
    <row r="74" spans="1:3" x14ac:dyDescent="0.25">
      <c r="A74" s="1">
        <v>28126</v>
      </c>
      <c r="B74" s="9">
        <v>291.05239999999998</v>
      </c>
      <c r="C74" s="2">
        <f t="shared" si="1"/>
        <v>-0.23008777800835856</v>
      </c>
    </row>
    <row r="75" spans="1:3" x14ac:dyDescent="0.25">
      <c r="A75" s="1">
        <v>28157</v>
      </c>
      <c r="B75" s="9">
        <v>285.02210000000002</v>
      </c>
      <c r="C75" s="2">
        <f t="shared" si="1"/>
        <v>-0.25611312245611817</v>
      </c>
    </row>
    <row r="76" spans="1:3" x14ac:dyDescent="0.25">
      <c r="A76" s="1">
        <v>28185</v>
      </c>
      <c r="B76" s="9">
        <v>280.22649999999999</v>
      </c>
      <c r="C76" s="2">
        <f t="shared" si="1"/>
        <v>-0.27760936242646572</v>
      </c>
    </row>
    <row r="77" spans="1:3" x14ac:dyDescent="0.25">
      <c r="A77" s="1">
        <v>28216</v>
      </c>
      <c r="B77" s="9">
        <v>275.20710000000003</v>
      </c>
      <c r="C77" s="2">
        <f t="shared" si="1"/>
        <v>-0.30091120468912291</v>
      </c>
    </row>
    <row r="78" spans="1:3" x14ac:dyDescent="0.25">
      <c r="A78" s="1">
        <v>28246</v>
      </c>
      <c r="B78" s="9">
        <v>277.42619999999999</v>
      </c>
      <c r="C78" s="2">
        <f t="shared" si="1"/>
        <v>-0.29050536683269268</v>
      </c>
    </row>
    <row r="79" spans="1:3" x14ac:dyDescent="0.25">
      <c r="A79" s="1">
        <v>28277</v>
      </c>
      <c r="B79" s="9">
        <v>272.86090000000002</v>
      </c>
      <c r="C79" s="2">
        <f t="shared" si="1"/>
        <v>-0.31209711614965707</v>
      </c>
    </row>
    <row r="80" spans="1:3" x14ac:dyDescent="0.25">
      <c r="A80" s="1">
        <v>28307</v>
      </c>
      <c r="B80" s="9">
        <v>264.86320000000001</v>
      </c>
      <c r="C80" s="2">
        <f t="shared" si="1"/>
        <v>-0.35171665977002453</v>
      </c>
    </row>
    <row r="81" spans="1:3" x14ac:dyDescent="0.25">
      <c r="A81" s="1">
        <v>28338</v>
      </c>
      <c r="B81" s="9">
        <v>266.67739999999998</v>
      </c>
      <c r="C81" s="2">
        <f t="shared" si="1"/>
        <v>-0.34252096353121786</v>
      </c>
    </row>
    <row r="82" spans="1:3" x14ac:dyDescent="0.25">
      <c r="A82" s="1">
        <v>28369</v>
      </c>
      <c r="B82" s="9">
        <v>266.77</v>
      </c>
      <c r="C82" s="2">
        <f t="shared" si="1"/>
        <v>-0.34205495370543915</v>
      </c>
    </row>
    <row r="83" spans="1:3" x14ac:dyDescent="0.25">
      <c r="A83" s="1">
        <v>28399</v>
      </c>
      <c r="B83" s="9">
        <v>254.74449999999999</v>
      </c>
      <c r="C83" s="2">
        <f t="shared" si="1"/>
        <v>-0.4054081638661482</v>
      </c>
    </row>
    <row r="84" spans="1:3" x14ac:dyDescent="0.25">
      <c r="A84" s="1">
        <v>28430</v>
      </c>
      <c r="B84" s="9">
        <v>244.70259999999999</v>
      </c>
      <c r="C84" s="2">
        <f t="shared" si="1"/>
        <v>-0.46308212499581125</v>
      </c>
    </row>
    <row r="85" spans="1:3" x14ac:dyDescent="0.25">
      <c r="A85" s="1">
        <v>28460</v>
      </c>
      <c r="B85" s="9">
        <v>241.02289999999999</v>
      </c>
      <c r="C85" s="2">
        <f t="shared" si="1"/>
        <v>-0.48541902035034834</v>
      </c>
    </row>
    <row r="86" spans="1:3" x14ac:dyDescent="0.25">
      <c r="A86" s="1">
        <v>28491</v>
      </c>
      <c r="B86" s="9">
        <v>241.08099999999999</v>
      </c>
      <c r="C86" s="2">
        <f t="shared" si="1"/>
        <v>-0.48506103757658203</v>
      </c>
    </row>
    <row r="87" spans="1:3" x14ac:dyDescent="0.25">
      <c r="A87" s="1">
        <v>28522</v>
      </c>
      <c r="B87" s="9">
        <v>240.37219999999999</v>
      </c>
      <c r="C87" s="2">
        <f t="shared" si="1"/>
        <v>-0.48944012660365876</v>
      </c>
    </row>
    <row r="88" spans="1:3" x14ac:dyDescent="0.25">
      <c r="A88" s="1">
        <v>28550</v>
      </c>
      <c r="B88" s="9">
        <v>231.85740000000001</v>
      </c>
      <c r="C88" s="2">
        <f t="shared" si="1"/>
        <v>-0.54413876805312222</v>
      </c>
    </row>
    <row r="89" spans="1:3" x14ac:dyDescent="0.25">
      <c r="A89" s="1">
        <v>28581</v>
      </c>
      <c r="B89" s="9">
        <v>221.857</v>
      </c>
      <c r="C89" s="2">
        <f t="shared" si="1"/>
        <v>-0.61374218528151014</v>
      </c>
    </row>
    <row r="90" spans="1:3" x14ac:dyDescent="0.25">
      <c r="A90" s="1">
        <v>28611</v>
      </c>
      <c r="B90" s="9">
        <v>226.17859999999999</v>
      </c>
      <c r="C90" s="2">
        <f t="shared" si="1"/>
        <v>-0.58290837417863584</v>
      </c>
    </row>
    <row r="91" spans="1:3" x14ac:dyDescent="0.25">
      <c r="A91" s="1">
        <v>28642</v>
      </c>
      <c r="B91" s="9">
        <v>214.10640000000001</v>
      </c>
      <c r="C91" s="2">
        <f t="shared" si="1"/>
        <v>-0.67215926287117056</v>
      </c>
    </row>
    <row r="92" spans="1:3" x14ac:dyDescent="0.25">
      <c r="A92" s="1">
        <v>28672</v>
      </c>
      <c r="B92" s="9">
        <v>199.69550000000001</v>
      </c>
      <c r="C92" s="2">
        <f t="shared" si="1"/>
        <v>-0.79282958304017859</v>
      </c>
    </row>
    <row r="93" spans="1:3" x14ac:dyDescent="0.25">
      <c r="A93" s="1">
        <v>28703</v>
      </c>
      <c r="B93" s="9">
        <v>188.70959999999999</v>
      </c>
      <c r="C93" s="2">
        <f t="shared" si="1"/>
        <v>-0.89720077833878076</v>
      </c>
    </row>
    <row r="94" spans="1:3" x14ac:dyDescent="0.25">
      <c r="A94" s="1">
        <v>28734</v>
      </c>
      <c r="B94" s="9">
        <v>189.9195</v>
      </c>
      <c r="C94" s="2">
        <f t="shared" si="1"/>
        <v>-0.885114482715045</v>
      </c>
    </row>
    <row r="95" spans="1:3" x14ac:dyDescent="0.25">
      <c r="A95" s="1">
        <v>28764</v>
      </c>
      <c r="B95" s="9">
        <v>183.631</v>
      </c>
      <c r="C95" s="2">
        <f t="shared" si="1"/>
        <v>-0.94967080721664643</v>
      </c>
    </row>
    <row r="96" spans="1:3" x14ac:dyDescent="0.25">
      <c r="A96" s="1">
        <v>28795</v>
      </c>
      <c r="B96" s="9">
        <v>192.14250000000001</v>
      </c>
      <c r="C96" s="2">
        <f t="shared" si="1"/>
        <v>-0.86330457863304555</v>
      </c>
    </row>
    <row r="97" spans="1:3" x14ac:dyDescent="0.25">
      <c r="A97" s="1">
        <v>28825</v>
      </c>
      <c r="B97" s="9">
        <v>195.95500000000001</v>
      </c>
      <c r="C97" s="2">
        <f t="shared" si="1"/>
        <v>-0.82705212931540384</v>
      </c>
    </row>
    <row r="98" spans="1:3" x14ac:dyDescent="0.25">
      <c r="A98" s="1">
        <v>28856</v>
      </c>
      <c r="B98" s="9">
        <v>197.755</v>
      </c>
      <c r="C98" s="2">
        <f t="shared" si="1"/>
        <v>-0.81042198680185074</v>
      </c>
    </row>
    <row r="99" spans="1:3" x14ac:dyDescent="0.25">
      <c r="A99" s="1">
        <v>28887</v>
      </c>
      <c r="B99" s="9">
        <v>200.50720000000001</v>
      </c>
      <c r="C99" s="2">
        <f t="shared" si="1"/>
        <v>-0.7855717899407102</v>
      </c>
    </row>
    <row r="100" spans="1:3" x14ac:dyDescent="0.25">
      <c r="A100" s="1">
        <v>28915</v>
      </c>
      <c r="B100" s="9">
        <v>206.3236</v>
      </c>
      <c r="C100" s="2">
        <f t="shared" si="1"/>
        <v>-0.7352353293564089</v>
      </c>
    </row>
    <row r="101" spans="1:3" x14ac:dyDescent="0.25">
      <c r="A101" s="1">
        <v>28946</v>
      </c>
      <c r="B101" s="9">
        <v>216.2852</v>
      </c>
      <c r="C101" s="2">
        <f t="shared" si="1"/>
        <v>-0.65531437194962927</v>
      </c>
    </row>
    <row r="102" spans="1:3" x14ac:dyDescent="0.25">
      <c r="A102" s="1">
        <v>28976</v>
      </c>
      <c r="B102" s="9">
        <v>218.41409999999999</v>
      </c>
      <c r="C102" s="2">
        <f t="shared" si="1"/>
        <v>-0.63917988811161908</v>
      </c>
    </row>
    <row r="103" spans="1:3" x14ac:dyDescent="0.25">
      <c r="A103" s="1">
        <v>29007</v>
      </c>
      <c r="B103" s="9">
        <v>218.5967</v>
      </c>
      <c r="C103" s="2">
        <f t="shared" si="1"/>
        <v>-0.63781063483574996</v>
      </c>
    </row>
    <row r="104" spans="1:3" x14ac:dyDescent="0.25">
      <c r="A104" s="1">
        <v>29037</v>
      </c>
      <c r="B104" s="9">
        <v>216.51</v>
      </c>
      <c r="C104" s="2">
        <f t="shared" si="1"/>
        <v>-0.6535956768740474</v>
      </c>
    </row>
    <row r="105" spans="1:3" x14ac:dyDescent="0.25">
      <c r="A105" s="1">
        <v>29068</v>
      </c>
      <c r="B105" s="9">
        <v>217.92570000000001</v>
      </c>
      <c r="C105" s="2">
        <f t="shared" si="1"/>
        <v>-0.64285350465778013</v>
      </c>
    </row>
    <row r="106" spans="1:3" x14ac:dyDescent="0.25">
      <c r="A106" s="1">
        <v>29099</v>
      </c>
      <c r="B106" s="9">
        <v>222.41370000000001</v>
      </c>
      <c r="C106" s="2">
        <f t="shared" si="1"/>
        <v>-0.60970299941055783</v>
      </c>
    </row>
    <row r="107" spans="1:3" x14ac:dyDescent="0.25">
      <c r="A107" s="1">
        <v>29129</v>
      </c>
      <c r="B107" s="9">
        <v>230.4845</v>
      </c>
      <c r="C107" s="2">
        <f t="shared" si="1"/>
        <v>-0.55333655842366825</v>
      </c>
    </row>
    <row r="108" spans="1:3" x14ac:dyDescent="0.25">
      <c r="A108" s="1">
        <v>29160</v>
      </c>
      <c r="B108" s="9">
        <v>244.98419999999999</v>
      </c>
      <c r="C108" s="2">
        <f t="shared" si="1"/>
        <v>-0.46140036786045791</v>
      </c>
    </row>
    <row r="109" spans="1:3" x14ac:dyDescent="0.25">
      <c r="A109" s="1">
        <v>29190</v>
      </c>
      <c r="B109" s="9">
        <v>240.37450000000001</v>
      </c>
      <c r="C109" s="2">
        <f t="shared" si="1"/>
        <v>-0.48942587504082158</v>
      </c>
    </row>
    <row r="110" spans="1:3" x14ac:dyDescent="0.25">
      <c r="A110" s="1">
        <v>29221</v>
      </c>
      <c r="B110" s="9">
        <v>237.8886</v>
      </c>
      <c r="C110" s="2">
        <f t="shared" si="1"/>
        <v>-0.50499015085212151</v>
      </c>
    </row>
    <row r="111" spans="1:3" x14ac:dyDescent="0.25">
      <c r="A111" s="1">
        <v>29252</v>
      </c>
      <c r="B111" s="9">
        <v>244.35</v>
      </c>
      <c r="C111" s="2">
        <f t="shared" si="1"/>
        <v>-0.4651933701657458</v>
      </c>
    </row>
    <row r="112" spans="1:3" x14ac:dyDescent="0.25">
      <c r="A112" s="1">
        <v>29281</v>
      </c>
      <c r="B112" s="9">
        <v>248.4786</v>
      </c>
      <c r="C112" s="2">
        <f t="shared" si="1"/>
        <v>-0.44084842718849826</v>
      </c>
    </row>
    <row r="113" spans="1:3" x14ac:dyDescent="0.25">
      <c r="A113" s="1">
        <v>29312</v>
      </c>
      <c r="B113" s="9">
        <v>250.27500000000001</v>
      </c>
      <c r="C113" s="2">
        <f t="shared" si="1"/>
        <v>-0.43050644291279583</v>
      </c>
    </row>
    <row r="114" spans="1:3" x14ac:dyDescent="0.25">
      <c r="A114" s="1">
        <v>29342</v>
      </c>
      <c r="B114" s="9">
        <v>228.62860000000001</v>
      </c>
      <c r="C114" s="2">
        <f t="shared" si="1"/>
        <v>-0.565945817802322</v>
      </c>
    </row>
    <row r="115" spans="1:3" x14ac:dyDescent="0.25">
      <c r="A115" s="1">
        <v>29373</v>
      </c>
      <c r="B115" s="9">
        <v>217.91759999999999</v>
      </c>
      <c r="C115" s="2">
        <f t="shared" si="1"/>
        <v>-0.64291456954371751</v>
      </c>
    </row>
    <row r="116" spans="1:3" x14ac:dyDescent="0.25">
      <c r="A116" s="1">
        <v>29403</v>
      </c>
      <c r="B116" s="9">
        <v>221.13640000000001</v>
      </c>
      <c r="C116" s="2">
        <f t="shared" si="1"/>
        <v>-0.61900076152094341</v>
      </c>
    </row>
    <row r="117" spans="1:3" x14ac:dyDescent="0.25">
      <c r="A117" s="1">
        <v>29434</v>
      </c>
      <c r="B117" s="9">
        <v>223.91380000000001</v>
      </c>
      <c r="C117" s="2">
        <f t="shared" si="1"/>
        <v>-0.59891886967216834</v>
      </c>
    </row>
    <row r="118" spans="1:3" x14ac:dyDescent="0.25">
      <c r="A118" s="1">
        <v>29465</v>
      </c>
      <c r="B118" s="9">
        <v>214.41669999999999</v>
      </c>
      <c r="C118" s="2">
        <f t="shared" si="1"/>
        <v>-0.66973934399699275</v>
      </c>
    </row>
    <row r="119" spans="1:3" x14ac:dyDescent="0.25">
      <c r="A119" s="1">
        <v>29495</v>
      </c>
      <c r="B119" s="9">
        <v>209.3227</v>
      </c>
      <c r="C119" s="2">
        <f t="shared" si="1"/>
        <v>-0.71037350464139815</v>
      </c>
    </row>
    <row r="120" spans="1:3" x14ac:dyDescent="0.25">
      <c r="A120" s="1">
        <v>29526</v>
      </c>
      <c r="B120" s="9">
        <v>213.10589999999999</v>
      </c>
      <c r="C120" s="2">
        <f t="shared" si="1"/>
        <v>-0.6800097979455284</v>
      </c>
    </row>
    <row r="121" spans="1:3" x14ac:dyDescent="0.25">
      <c r="A121" s="1">
        <v>29556</v>
      </c>
      <c r="B121" s="9">
        <v>209.48859999999999</v>
      </c>
      <c r="C121" s="2">
        <f t="shared" si="1"/>
        <v>-0.70901901105835829</v>
      </c>
    </row>
    <row r="122" spans="1:3" x14ac:dyDescent="0.25">
      <c r="A122" s="1">
        <v>29587</v>
      </c>
      <c r="B122" s="9">
        <v>202.36670000000001</v>
      </c>
      <c r="C122" s="2">
        <f t="shared" si="1"/>
        <v>-0.76916459081459543</v>
      </c>
    </row>
    <row r="123" spans="1:3" x14ac:dyDescent="0.25">
      <c r="A123" s="1">
        <v>29618</v>
      </c>
      <c r="B123" s="9">
        <v>205.7167</v>
      </c>
      <c r="C123" s="2">
        <f t="shared" si="1"/>
        <v>-0.74035457500533486</v>
      </c>
    </row>
    <row r="124" spans="1:3" x14ac:dyDescent="0.25">
      <c r="A124" s="1">
        <v>29646</v>
      </c>
      <c r="B124" s="9">
        <v>208.79179999999999</v>
      </c>
      <c r="C124" s="2">
        <f t="shared" si="1"/>
        <v>-0.71472251304888412</v>
      </c>
    </row>
    <row r="125" spans="1:3" x14ac:dyDescent="0.25">
      <c r="A125" s="1">
        <v>29677</v>
      </c>
      <c r="B125" s="9">
        <v>214.9759</v>
      </c>
      <c r="C125" s="2">
        <f t="shared" si="1"/>
        <v>-0.6653959815960766</v>
      </c>
    </row>
    <row r="126" spans="1:3" x14ac:dyDescent="0.25">
      <c r="A126" s="1">
        <v>29707</v>
      </c>
      <c r="B126" s="9">
        <v>220.6285</v>
      </c>
      <c r="C126" s="2">
        <f t="shared" si="1"/>
        <v>-0.62272779808592271</v>
      </c>
    </row>
    <row r="127" spans="1:3" x14ac:dyDescent="0.25">
      <c r="A127" s="1">
        <v>29738</v>
      </c>
      <c r="B127" s="9">
        <v>224.18049999999999</v>
      </c>
      <c r="C127" s="2">
        <f t="shared" si="1"/>
        <v>-0.59701668967639909</v>
      </c>
    </row>
    <row r="128" spans="1:3" x14ac:dyDescent="0.25">
      <c r="A128" s="1">
        <v>29768</v>
      </c>
      <c r="B128" s="9">
        <v>232.3261</v>
      </c>
      <c r="C128" s="2">
        <f t="shared" si="1"/>
        <v>-0.54102358710450527</v>
      </c>
    </row>
    <row r="129" spans="1:3" x14ac:dyDescent="0.25">
      <c r="A129" s="1">
        <v>29799</v>
      </c>
      <c r="B129" s="9">
        <v>233.3262</v>
      </c>
      <c r="C129" s="2">
        <f t="shared" si="1"/>
        <v>-0.5344183379320453</v>
      </c>
    </row>
    <row r="130" spans="1:3" x14ac:dyDescent="0.25">
      <c r="A130" s="1">
        <v>29830</v>
      </c>
      <c r="B130" s="9">
        <v>229.48099999999999</v>
      </c>
      <c r="C130" s="2">
        <f t="shared" ref="C130:C193" si="2">1-(B$2/B130)</f>
        <v>-0.56012916101986643</v>
      </c>
    </row>
    <row r="131" spans="1:3" x14ac:dyDescent="0.25">
      <c r="A131" s="1">
        <v>29860</v>
      </c>
      <c r="B131" s="9">
        <v>231.51900000000001</v>
      </c>
      <c r="C131" s="2">
        <f t="shared" si="2"/>
        <v>-0.54639576017519076</v>
      </c>
    </row>
    <row r="132" spans="1:3" x14ac:dyDescent="0.25">
      <c r="A132" s="1">
        <v>29891</v>
      </c>
      <c r="B132" s="9">
        <v>223.1267</v>
      </c>
      <c r="C132" s="2">
        <f t="shared" si="2"/>
        <v>-0.60455920335845059</v>
      </c>
    </row>
    <row r="133" spans="1:3" x14ac:dyDescent="0.25">
      <c r="A133" s="1">
        <v>29921</v>
      </c>
      <c r="B133" s="9">
        <v>218.9545</v>
      </c>
      <c r="C133" s="2">
        <f t="shared" si="2"/>
        <v>-0.63513424021885823</v>
      </c>
    </row>
    <row r="134" spans="1:3" x14ac:dyDescent="0.25">
      <c r="A134" s="1">
        <v>29952</v>
      </c>
      <c r="B134" s="9">
        <v>224.80500000000001</v>
      </c>
      <c r="C134" s="2">
        <f t="shared" si="2"/>
        <v>-0.59258023620471056</v>
      </c>
    </row>
    <row r="135" spans="1:3" x14ac:dyDescent="0.25">
      <c r="A135" s="1">
        <v>29983</v>
      </c>
      <c r="B135" s="9">
        <v>235.3056</v>
      </c>
      <c r="C135" s="2">
        <f t="shared" si="2"/>
        <v>-0.5215107502753864</v>
      </c>
    </row>
    <row r="136" spans="1:3" x14ac:dyDescent="0.25">
      <c r="A136" s="1">
        <v>30011</v>
      </c>
      <c r="B136" s="9">
        <v>241.22829999999999</v>
      </c>
      <c r="C136" s="2">
        <f t="shared" si="2"/>
        <v>-0.48415422236943173</v>
      </c>
    </row>
    <row r="137" spans="1:3" x14ac:dyDescent="0.25">
      <c r="A137" s="1">
        <v>30042</v>
      </c>
      <c r="B137" s="9">
        <v>244.10679999999999</v>
      </c>
      <c r="C137" s="2">
        <f t="shared" si="2"/>
        <v>-0.46665312068324183</v>
      </c>
    </row>
    <row r="138" spans="1:3" x14ac:dyDescent="0.25">
      <c r="A138" s="1">
        <v>30072</v>
      </c>
      <c r="B138" s="9">
        <v>236.96350000000001</v>
      </c>
      <c r="C138" s="2">
        <f t="shared" si="2"/>
        <v>-0.51086559744433191</v>
      </c>
    </row>
    <row r="139" spans="1:3" x14ac:dyDescent="0.25">
      <c r="A139" s="1">
        <v>30103</v>
      </c>
      <c r="B139" s="9">
        <v>251.1977</v>
      </c>
      <c r="C139" s="2">
        <f t="shared" si="2"/>
        <v>-0.4252519031822346</v>
      </c>
    </row>
    <row r="140" spans="1:3" x14ac:dyDescent="0.25">
      <c r="A140" s="1">
        <v>30133</v>
      </c>
      <c r="B140" s="9">
        <v>255.03100000000001</v>
      </c>
      <c r="C140" s="2">
        <f t="shared" si="2"/>
        <v>-0.4038293383941558</v>
      </c>
    </row>
    <row r="141" spans="1:3" x14ac:dyDescent="0.25">
      <c r="A141" s="1">
        <v>30164</v>
      </c>
      <c r="B141" s="9">
        <v>259.0455</v>
      </c>
      <c r="C141" s="2">
        <f t="shared" si="2"/>
        <v>-0.38207380556697568</v>
      </c>
    </row>
    <row r="142" spans="1:3" x14ac:dyDescent="0.25">
      <c r="A142" s="1">
        <v>30195</v>
      </c>
      <c r="B142" s="9">
        <v>263.28570000000002</v>
      </c>
      <c r="C142" s="2">
        <f t="shared" si="2"/>
        <v>-0.35981559195960866</v>
      </c>
    </row>
    <row r="143" spans="1:3" x14ac:dyDescent="0.25">
      <c r="A143" s="1">
        <v>30225</v>
      </c>
      <c r="B143" s="9">
        <v>271.61500000000001</v>
      </c>
      <c r="C143" s="2">
        <f t="shared" si="2"/>
        <v>-0.31811571525873017</v>
      </c>
    </row>
    <row r="144" spans="1:3" x14ac:dyDescent="0.25">
      <c r="A144" s="1">
        <v>30256</v>
      </c>
      <c r="B144" s="9">
        <v>264.08789999999999</v>
      </c>
      <c r="C144" s="2">
        <f t="shared" si="2"/>
        <v>-0.35568498215934929</v>
      </c>
    </row>
    <row r="145" spans="1:3" x14ac:dyDescent="0.25">
      <c r="A145" s="1">
        <v>30286</v>
      </c>
      <c r="B145" s="9">
        <v>241.94130000000001</v>
      </c>
      <c r="C145" s="2">
        <f t="shared" si="2"/>
        <v>-0.47978042607855698</v>
      </c>
    </row>
    <row r="146" spans="1:3" x14ac:dyDescent="0.25">
      <c r="A146" s="1">
        <v>30317</v>
      </c>
      <c r="B146" s="9">
        <v>232.73099999999999</v>
      </c>
      <c r="C146" s="2">
        <f t="shared" si="2"/>
        <v>-0.53834254998259778</v>
      </c>
    </row>
    <row r="147" spans="1:3" x14ac:dyDescent="0.25">
      <c r="A147" s="1">
        <v>30348</v>
      </c>
      <c r="B147" s="9">
        <v>236.12110000000001</v>
      </c>
      <c r="C147" s="2">
        <f t="shared" si="2"/>
        <v>-0.51625585345824643</v>
      </c>
    </row>
    <row r="148" spans="1:3" x14ac:dyDescent="0.25">
      <c r="A148" s="1">
        <v>30376</v>
      </c>
      <c r="B148" s="9">
        <v>238.2543</v>
      </c>
      <c r="C148" s="2">
        <f t="shared" si="2"/>
        <v>-0.50268011951935376</v>
      </c>
    </row>
    <row r="149" spans="1:3" x14ac:dyDescent="0.25">
      <c r="A149" s="1">
        <v>30407</v>
      </c>
      <c r="B149" s="9">
        <v>237.7467</v>
      </c>
      <c r="C149" s="2">
        <f t="shared" si="2"/>
        <v>-0.50588840980758087</v>
      </c>
    </row>
    <row r="150" spans="1:3" x14ac:dyDescent="0.25">
      <c r="A150" s="1">
        <v>30437</v>
      </c>
      <c r="B150" s="9">
        <v>234.75569999999999</v>
      </c>
      <c r="C150" s="2">
        <f t="shared" si="2"/>
        <v>-0.52507479051626871</v>
      </c>
    </row>
    <row r="151" spans="1:3" x14ac:dyDescent="0.25">
      <c r="A151" s="1">
        <v>30468</v>
      </c>
      <c r="B151" s="9">
        <v>240.03139999999999</v>
      </c>
      <c r="C151" s="2">
        <f t="shared" si="2"/>
        <v>-0.49155485490648299</v>
      </c>
    </row>
    <row r="152" spans="1:3" x14ac:dyDescent="0.25">
      <c r="A152" s="1">
        <v>30498</v>
      </c>
      <c r="B152" s="9">
        <v>240.51599999999999</v>
      </c>
      <c r="C152" s="2">
        <f t="shared" si="2"/>
        <v>-0.48854961832061061</v>
      </c>
    </row>
    <row r="153" spans="1:3" x14ac:dyDescent="0.25">
      <c r="A153" s="1">
        <v>30529</v>
      </c>
      <c r="B153" s="9">
        <v>244.46129999999999</v>
      </c>
      <c r="C153" s="2">
        <f t="shared" si="2"/>
        <v>-0.46452628698284748</v>
      </c>
    </row>
    <row r="154" spans="1:3" x14ac:dyDescent="0.25">
      <c r="A154" s="1">
        <v>30560</v>
      </c>
      <c r="B154" s="9">
        <v>242.34620000000001</v>
      </c>
      <c r="C154" s="2">
        <f t="shared" si="2"/>
        <v>-0.47730808240442801</v>
      </c>
    </row>
    <row r="155" spans="1:3" x14ac:dyDescent="0.25">
      <c r="A155" s="1">
        <v>30590</v>
      </c>
      <c r="B155" s="9">
        <v>232.88550000000001</v>
      </c>
      <c r="C155" s="2">
        <f t="shared" si="2"/>
        <v>-0.53732198870260262</v>
      </c>
    </row>
    <row r="156" spans="1:3" x14ac:dyDescent="0.25">
      <c r="A156" s="1">
        <v>30621</v>
      </c>
      <c r="B156" s="9">
        <v>235.03</v>
      </c>
      <c r="C156" s="2">
        <f t="shared" si="2"/>
        <v>-0.52329489852359257</v>
      </c>
    </row>
    <row r="157" spans="1:3" x14ac:dyDescent="0.25">
      <c r="A157" s="1">
        <v>30651</v>
      </c>
      <c r="B157" s="9">
        <v>234.4624</v>
      </c>
      <c r="C157" s="2">
        <f t="shared" si="2"/>
        <v>-0.52698257801677362</v>
      </c>
    </row>
    <row r="158" spans="1:3" x14ac:dyDescent="0.25">
      <c r="A158" s="1">
        <v>30682</v>
      </c>
      <c r="B158" s="9">
        <v>233.8</v>
      </c>
      <c r="C158" s="2">
        <f t="shared" si="2"/>
        <v>-0.53130881094952942</v>
      </c>
    </row>
    <row r="159" spans="1:3" x14ac:dyDescent="0.25">
      <c r="A159" s="1">
        <v>30713</v>
      </c>
      <c r="B159" s="9">
        <v>233.59630000000001</v>
      </c>
      <c r="C159" s="2">
        <f t="shared" si="2"/>
        <v>-0.53264413862719562</v>
      </c>
    </row>
    <row r="160" spans="1:3" x14ac:dyDescent="0.25">
      <c r="A160" s="1">
        <v>30742</v>
      </c>
      <c r="B160" s="9">
        <v>225.2664</v>
      </c>
      <c r="C160" s="2">
        <f t="shared" si="2"/>
        <v>-0.58931824719532067</v>
      </c>
    </row>
    <row r="161" spans="1:3" x14ac:dyDescent="0.25">
      <c r="A161" s="1">
        <v>30773</v>
      </c>
      <c r="B161" s="9">
        <v>225.2</v>
      </c>
      <c r="C161" s="2">
        <f t="shared" si="2"/>
        <v>-0.58978685612788628</v>
      </c>
    </row>
    <row r="162" spans="1:3" x14ac:dyDescent="0.25">
      <c r="A162" s="1">
        <v>30803</v>
      </c>
      <c r="B162" s="9">
        <v>230.4777</v>
      </c>
      <c r="C162" s="2">
        <f t="shared" si="2"/>
        <v>-0.55338238797072337</v>
      </c>
    </row>
    <row r="163" spans="1:3" x14ac:dyDescent="0.25">
      <c r="A163" s="1">
        <v>30834</v>
      </c>
      <c r="B163" s="9">
        <v>233.56569999999999</v>
      </c>
      <c r="C163" s="2">
        <f t="shared" si="2"/>
        <v>-0.5328449339950172</v>
      </c>
    </row>
    <row r="164" spans="1:3" x14ac:dyDescent="0.25">
      <c r="A164" s="1">
        <v>30864</v>
      </c>
      <c r="B164" s="9">
        <v>243.0676</v>
      </c>
      <c r="C164" s="2">
        <f t="shared" si="2"/>
        <v>-0.47292358175256588</v>
      </c>
    </row>
    <row r="165" spans="1:3" x14ac:dyDescent="0.25">
      <c r="A165" s="1">
        <v>30895</v>
      </c>
      <c r="B165" s="9">
        <v>242.26089999999999</v>
      </c>
      <c r="C165" s="2">
        <f t="shared" si="2"/>
        <v>-0.47782824219673903</v>
      </c>
    </row>
    <row r="166" spans="1:3" x14ac:dyDescent="0.25">
      <c r="A166" s="1">
        <v>30926</v>
      </c>
      <c r="B166" s="9">
        <v>245.45679999999999</v>
      </c>
      <c r="C166" s="2">
        <f t="shared" si="2"/>
        <v>-0.45858660261194628</v>
      </c>
    </row>
    <row r="167" spans="1:3" x14ac:dyDescent="0.25">
      <c r="A167" s="1">
        <v>30956</v>
      </c>
      <c r="B167" s="9">
        <v>246.75450000000001</v>
      </c>
      <c r="C167" s="2">
        <f t="shared" si="2"/>
        <v>-0.45091578876980964</v>
      </c>
    </row>
    <row r="168" spans="1:3" x14ac:dyDescent="0.25">
      <c r="A168" s="1">
        <v>30987</v>
      </c>
      <c r="B168" s="9">
        <v>243.63050000000001</v>
      </c>
      <c r="C168" s="2">
        <f t="shared" si="2"/>
        <v>-0.46952044181660324</v>
      </c>
    </row>
    <row r="169" spans="1:3" x14ac:dyDescent="0.25">
      <c r="A169" s="1">
        <v>31017</v>
      </c>
      <c r="B169" s="9">
        <v>247.964</v>
      </c>
      <c r="C169" s="2">
        <f t="shared" si="2"/>
        <v>-0.44383862173541311</v>
      </c>
    </row>
    <row r="170" spans="1:3" x14ac:dyDescent="0.25">
      <c r="A170" s="1">
        <v>31048</v>
      </c>
      <c r="B170" s="9">
        <v>254.18289999999999</v>
      </c>
      <c r="C170" s="2">
        <f t="shared" si="2"/>
        <v>-0.40851331855919493</v>
      </c>
    </row>
    <row r="171" spans="1:3" x14ac:dyDescent="0.25">
      <c r="A171" s="1">
        <v>31079</v>
      </c>
      <c r="B171" s="9">
        <v>260.4778</v>
      </c>
      <c r="C171" s="2">
        <f t="shared" si="2"/>
        <v>-0.37447413944681651</v>
      </c>
    </row>
    <row r="172" spans="1:3" x14ac:dyDescent="0.25">
      <c r="A172" s="1">
        <v>31107</v>
      </c>
      <c r="B172" s="9">
        <v>257.9205</v>
      </c>
      <c r="C172" s="2">
        <f t="shared" si="2"/>
        <v>-0.38810214775483143</v>
      </c>
    </row>
    <row r="173" spans="1:3" x14ac:dyDescent="0.25">
      <c r="A173" s="1">
        <v>31138</v>
      </c>
      <c r="B173" s="9">
        <v>251.84549999999999</v>
      </c>
      <c r="C173" s="2">
        <f t="shared" si="2"/>
        <v>-0.42158585323144537</v>
      </c>
    </row>
    <row r="174" spans="1:3" x14ac:dyDescent="0.25">
      <c r="A174" s="1">
        <v>31168</v>
      </c>
      <c r="B174" s="9">
        <v>251.7295</v>
      </c>
      <c r="C174" s="2">
        <f t="shared" si="2"/>
        <v>-0.4222409371964746</v>
      </c>
    </row>
    <row r="175" spans="1:3" x14ac:dyDescent="0.25">
      <c r="A175" s="1">
        <v>31199</v>
      </c>
      <c r="B175" s="9">
        <v>248.84</v>
      </c>
      <c r="C175" s="2">
        <f t="shared" si="2"/>
        <v>-0.43875582703745364</v>
      </c>
    </row>
    <row r="176" spans="1:3" x14ac:dyDescent="0.25">
      <c r="A176" s="1">
        <v>31229</v>
      </c>
      <c r="B176" s="9">
        <v>241.13640000000001</v>
      </c>
      <c r="C176" s="2">
        <f t="shared" si="2"/>
        <v>-0.48471985150313257</v>
      </c>
    </row>
    <row r="177" spans="1:3" x14ac:dyDescent="0.25">
      <c r="A177" s="1">
        <v>31260</v>
      </c>
      <c r="B177" s="9">
        <v>237.46090000000001</v>
      </c>
      <c r="C177" s="2">
        <f t="shared" si="2"/>
        <v>-0.50770084674992799</v>
      </c>
    </row>
    <row r="178" spans="1:3" x14ac:dyDescent="0.25">
      <c r="A178" s="1">
        <v>31291</v>
      </c>
      <c r="B178" s="9">
        <v>236.5275</v>
      </c>
      <c r="C178" s="2">
        <f t="shared" si="2"/>
        <v>-0.51365063259029076</v>
      </c>
    </row>
    <row r="179" spans="1:3" x14ac:dyDescent="0.25">
      <c r="A179" s="1">
        <v>31321</v>
      </c>
      <c r="B179" s="9">
        <v>214.68049999999999</v>
      </c>
      <c r="C179" s="2">
        <f t="shared" si="2"/>
        <v>-0.66768756361197212</v>
      </c>
    </row>
    <row r="180" spans="1:3" x14ac:dyDescent="0.25">
      <c r="A180" s="1">
        <v>31352</v>
      </c>
      <c r="B180" s="9">
        <v>204.0737</v>
      </c>
      <c r="C180" s="2">
        <f t="shared" si="2"/>
        <v>-0.75436619221389134</v>
      </c>
    </row>
    <row r="181" spans="1:3" x14ac:dyDescent="0.25">
      <c r="A181" s="1">
        <v>31382</v>
      </c>
      <c r="B181" s="9">
        <v>202.78809999999999</v>
      </c>
      <c r="C181" s="2">
        <f t="shared" si="2"/>
        <v>-0.76548821158638014</v>
      </c>
    </row>
    <row r="182" spans="1:3" x14ac:dyDescent="0.25">
      <c r="A182" s="1">
        <v>31413</v>
      </c>
      <c r="B182" s="9">
        <v>199.8905</v>
      </c>
      <c r="C182" s="2">
        <f t="shared" si="2"/>
        <v>-0.79108061663760898</v>
      </c>
    </row>
    <row r="183" spans="1:3" x14ac:dyDescent="0.25">
      <c r="A183" s="1">
        <v>31444</v>
      </c>
      <c r="B183" s="9">
        <v>184.85159999999999</v>
      </c>
      <c r="C183" s="2">
        <f t="shared" si="2"/>
        <v>-0.93679686840687348</v>
      </c>
    </row>
    <row r="184" spans="1:3" x14ac:dyDescent="0.25">
      <c r="A184" s="1">
        <v>31472</v>
      </c>
      <c r="B184" s="9">
        <v>178.69380000000001</v>
      </c>
      <c r="C184" s="2">
        <f t="shared" si="2"/>
        <v>-1.0035390147839487</v>
      </c>
    </row>
    <row r="185" spans="1:3" x14ac:dyDescent="0.25">
      <c r="A185" s="1">
        <v>31503</v>
      </c>
      <c r="B185" s="9">
        <v>175.09180000000001</v>
      </c>
      <c r="C185" s="2">
        <f t="shared" si="2"/>
        <v>-1.0447559508783391</v>
      </c>
    </row>
    <row r="186" spans="1:3" x14ac:dyDescent="0.25">
      <c r="A186" s="1">
        <v>31533</v>
      </c>
      <c r="B186" s="9">
        <v>167.03139999999999</v>
      </c>
      <c r="C186" s="2">
        <f t="shared" si="2"/>
        <v>-1.1434293192776925</v>
      </c>
    </row>
    <row r="187" spans="1:3" x14ac:dyDescent="0.25">
      <c r="A187" s="1">
        <v>31564</v>
      </c>
      <c r="B187" s="9">
        <v>167.5419</v>
      </c>
      <c r="C187" s="2">
        <f t="shared" si="2"/>
        <v>-1.1368982923077748</v>
      </c>
    </row>
    <row r="188" spans="1:3" x14ac:dyDescent="0.25">
      <c r="A188" s="1">
        <v>31594</v>
      </c>
      <c r="B188" s="9">
        <v>158.60589999999999</v>
      </c>
      <c r="C188" s="2">
        <f t="shared" si="2"/>
        <v>-1.2572930767392636</v>
      </c>
    </row>
    <row r="189" spans="1:3" x14ac:dyDescent="0.25">
      <c r="A189" s="1">
        <v>31625</v>
      </c>
      <c r="B189" s="9">
        <v>154.1771</v>
      </c>
      <c r="C189" s="2">
        <f t="shared" si="2"/>
        <v>-1.3221347398543624</v>
      </c>
    </row>
    <row r="190" spans="1:3" x14ac:dyDescent="0.25">
      <c r="A190" s="1">
        <v>31656</v>
      </c>
      <c r="B190" s="9">
        <v>154.73140000000001</v>
      </c>
      <c r="C190" s="2">
        <f t="shared" si="2"/>
        <v>-1.3138160709461686</v>
      </c>
    </row>
    <row r="191" spans="1:3" x14ac:dyDescent="0.25">
      <c r="A191" s="1">
        <v>31686</v>
      </c>
      <c r="B191" s="9">
        <v>156.47229999999999</v>
      </c>
      <c r="C191" s="2">
        <f t="shared" si="2"/>
        <v>-1.2880727131894911</v>
      </c>
    </row>
    <row r="192" spans="1:3" x14ac:dyDescent="0.25">
      <c r="A192" s="1">
        <v>31717</v>
      </c>
      <c r="B192" s="9">
        <v>162.8494</v>
      </c>
      <c r="C192" s="2">
        <f t="shared" si="2"/>
        <v>-1.1984729449417681</v>
      </c>
    </row>
    <row r="193" spans="1:3" x14ac:dyDescent="0.25">
      <c r="A193" s="1">
        <v>31747</v>
      </c>
      <c r="B193" s="9">
        <v>162.0523</v>
      </c>
      <c r="C193" s="2">
        <f t="shared" si="2"/>
        <v>-1.2092867549550359</v>
      </c>
    </row>
    <row r="194" spans="1:3" x14ac:dyDescent="0.25">
      <c r="A194" s="1">
        <v>31778</v>
      </c>
      <c r="B194" s="9">
        <v>154.8295</v>
      </c>
      <c r="C194" s="2">
        <f t="shared" ref="C194:C257" si="3">1-(B$2/B194)</f>
        <v>-1.3123500366532217</v>
      </c>
    </row>
    <row r="195" spans="1:3" x14ac:dyDescent="0.25">
      <c r="A195" s="1">
        <v>31809</v>
      </c>
      <c r="B195" s="9">
        <v>153.4068</v>
      </c>
      <c r="C195" s="2">
        <f t="shared" si="3"/>
        <v>-1.3337948513364464</v>
      </c>
    </row>
    <row r="196" spans="1:3" x14ac:dyDescent="0.25">
      <c r="A196" s="1">
        <v>31837</v>
      </c>
      <c r="B196" s="9">
        <v>151.4332</v>
      </c>
      <c r="C196" s="2">
        <f t="shared" si="3"/>
        <v>-1.3642107543127926</v>
      </c>
    </row>
    <row r="197" spans="1:3" x14ac:dyDescent="0.25">
      <c r="A197" s="1">
        <v>31868</v>
      </c>
      <c r="B197" s="9">
        <v>142.89859999999999</v>
      </c>
      <c r="C197" s="2">
        <f t="shared" si="3"/>
        <v>-1.5054129291679557</v>
      </c>
    </row>
    <row r="198" spans="1:3" x14ac:dyDescent="0.25">
      <c r="A198" s="1">
        <v>31898</v>
      </c>
      <c r="B198" s="9">
        <v>140.47900000000001</v>
      </c>
      <c r="C198" s="2">
        <f t="shared" si="3"/>
        <v>-1.5485659778329852</v>
      </c>
    </row>
    <row r="199" spans="1:3" x14ac:dyDescent="0.25">
      <c r="A199" s="1">
        <v>31929</v>
      </c>
      <c r="B199" s="9">
        <v>144.54949999999999</v>
      </c>
      <c r="C199" s="2">
        <f t="shared" si="3"/>
        <v>-1.4767986053220521</v>
      </c>
    </row>
    <row r="200" spans="1:3" x14ac:dyDescent="0.25">
      <c r="A200" s="1">
        <v>31959</v>
      </c>
      <c r="B200" s="9">
        <v>150.29390000000001</v>
      </c>
      <c r="C200" s="2">
        <f t="shared" si="3"/>
        <v>-1.3821326081763794</v>
      </c>
    </row>
    <row r="201" spans="1:3" x14ac:dyDescent="0.25">
      <c r="A201" s="1">
        <v>31990</v>
      </c>
      <c r="B201" s="9">
        <v>147.33430000000001</v>
      </c>
      <c r="C201" s="2">
        <f t="shared" si="3"/>
        <v>-1.4299840566656914</v>
      </c>
    </row>
    <row r="202" spans="1:3" x14ac:dyDescent="0.25">
      <c r="A202" s="1">
        <v>32021</v>
      </c>
      <c r="B202" s="9">
        <v>143.291</v>
      </c>
      <c r="C202" s="2">
        <f t="shared" si="3"/>
        <v>-1.4985518978861196</v>
      </c>
    </row>
    <row r="203" spans="1:3" x14ac:dyDescent="0.25">
      <c r="A203" s="1">
        <v>32051</v>
      </c>
      <c r="B203" s="9">
        <v>143.32</v>
      </c>
      <c r="C203" s="2">
        <f t="shared" si="3"/>
        <v>-1.4980463298911526</v>
      </c>
    </row>
    <row r="204" spans="1:3" x14ac:dyDescent="0.25">
      <c r="A204" s="1">
        <v>32082</v>
      </c>
      <c r="B204" s="9">
        <v>135.3974</v>
      </c>
      <c r="C204" s="2">
        <f t="shared" si="3"/>
        <v>-1.6442162109464435</v>
      </c>
    </row>
    <row r="205" spans="1:3" x14ac:dyDescent="0.25">
      <c r="A205" s="1">
        <v>32112</v>
      </c>
      <c r="B205" s="9">
        <v>128.24180000000001</v>
      </c>
      <c r="C205" s="2">
        <f t="shared" si="3"/>
        <v>-1.7917574457002314</v>
      </c>
    </row>
    <row r="206" spans="1:3" x14ac:dyDescent="0.25">
      <c r="A206" s="1">
        <v>32143</v>
      </c>
      <c r="B206" s="9">
        <v>127.6853</v>
      </c>
      <c r="C206" s="2">
        <f t="shared" si="3"/>
        <v>-1.8039249623879958</v>
      </c>
    </row>
    <row r="207" spans="1:3" x14ac:dyDescent="0.25">
      <c r="A207" s="1">
        <v>32174</v>
      </c>
      <c r="B207" s="9">
        <v>129.16650000000001</v>
      </c>
      <c r="C207" s="2">
        <f t="shared" si="3"/>
        <v>-1.7717713184146038</v>
      </c>
    </row>
    <row r="208" spans="1:3" x14ac:dyDescent="0.25">
      <c r="A208" s="1">
        <v>32203</v>
      </c>
      <c r="B208" s="9">
        <v>127.1139</v>
      </c>
      <c r="C208" s="2">
        <f t="shared" si="3"/>
        <v>-1.8165291128664922</v>
      </c>
    </row>
    <row r="209" spans="1:3" x14ac:dyDescent="0.25">
      <c r="A209" s="1">
        <v>32234</v>
      </c>
      <c r="B209" s="9">
        <v>124.8976</v>
      </c>
      <c r="C209" s="2">
        <f t="shared" si="3"/>
        <v>-1.8665082435531186</v>
      </c>
    </row>
    <row r="210" spans="1:3" x14ac:dyDescent="0.25">
      <c r="A210" s="1">
        <v>32264</v>
      </c>
      <c r="B210" s="9">
        <v>124.7871</v>
      </c>
      <c r="C210" s="2">
        <f t="shared" si="3"/>
        <v>-1.8690465601011641</v>
      </c>
    </row>
    <row r="211" spans="1:3" x14ac:dyDescent="0.25">
      <c r="A211" s="1">
        <v>32295</v>
      </c>
      <c r="B211" s="9">
        <v>127.46550000000001</v>
      </c>
      <c r="C211" s="2">
        <f t="shared" si="3"/>
        <v>-1.8087600174164771</v>
      </c>
    </row>
    <row r="212" spans="1:3" x14ac:dyDescent="0.25">
      <c r="A212" s="1">
        <v>32325</v>
      </c>
      <c r="B212" s="9">
        <v>133.0215</v>
      </c>
      <c r="C212" s="2">
        <f t="shared" si="3"/>
        <v>-1.691444616095894</v>
      </c>
    </row>
    <row r="213" spans="1:3" x14ac:dyDescent="0.25">
      <c r="A213" s="1">
        <v>32356</v>
      </c>
      <c r="B213" s="9">
        <v>133.76609999999999</v>
      </c>
      <c r="C213" s="2">
        <f t="shared" si="3"/>
        <v>-1.6764628706376281</v>
      </c>
    </row>
    <row r="214" spans="1:3" x14ac:dyDescent="0.25">
      <c r="A214" s="1">
        <v>32387</v>
      </c>
      <c r="B214" s="9">
        <v>134.3176</v>
      </c>
      <c r="C214" s="2">
        <f t="shared" si="3"/>
        <v>-1.6654734748089601</v>
      </c>
    </row>
    <row r="215" spans="1:3" x14ac:dyDescent="0.25">
      <c r="A215" s="1">
        <v>32417</v>
      </c>
      <c r="B215" s="9">
        <v>128.68049999999999</v>
      </c>
      <c r="C215" s="2">
        <f t="shared" si="3"/>
        <v>-1.782239733292923</v>
      </c>
    </row>
    <row r="216" spans="1:3" x14ac:dyDescent="0.25">
      <c r="A216" s="1">
        <v>32448</v>
      </c>
      <c r="B216" s="9">
        <v>123.202</v>
      </c>
      <c r="C216" s="2">
        <f t="shared" si="3"/>
        <v>-1.9059593188422266</v>
      </c>
    </row>
    <row r="217" spans="1:3" x14ac:dyDescent="0.25">
      <c r="A217" s="1">
        <v>32478</v>
      </c>
      <c r="B217" s="9">
        <v>123.60760000000001</v>
      </c>
      <c r="C217" s="2">
        <f t="shared" si="3"/>
        <v>-1.8964238444885262</v>
      </c>
    </row>
    <row r="218" spans="1:3" x14ac:dyDescent="0.25">
      <c r="A218" s="1">
        <v>32509</v>
      </c>
      <c r="B218" s="9">
        <v>127.3625</v>
      </c>
      <c r="C218" s="2">
        <f t="shared" si="3"/>
        <v>-1.8110315045637453</v>
      </c>
    </row>
    <row r="219" spans="1:3" x14ac:dyDescent="0.25">
      <c r="A219" s="1">
        <v>32540</v>
      </c>
      <c r="B219" s="9">
        <v>127.73739999999999</v>
      </c>
      <c r="C219" s="2">
        <f t="shared" si="3"/>
        <v>-1.8027813310745326</v>
      </c>
    </row>
    <row r="220" spans="1:3" x14ac:dyDescent="0.25">
      <c r="A220" s="1">
        <v>32568</v>
      </c>
      <c r="B220" s="9">
        <v>130.5504</v>
      </c>
      <c r="C220" s="2">
        <f t="shared" si="3"/>
        <v>-1.7423891462607544</v>
      </c>
    </row>
    <row r="221" spans="1:3" x14ac:dyDescent="0.25">
      <c r="A221" s="1">
        <v>32599</v>
      </c>
      <c r="B221" s="9">
        <v>132.03649999999999</v>
      </c>
      <c r="C221" s="2">
        <f t="shared" si="3"/>
        <v>-1.7115229500933453</v>
      </c>
    </row>
    <row r="222" spans="1:3" x14ac:dyDescent="0.25">
      <c r="A222" s="1">
        <v>32629</v>
      </c>
      <c r="B222" s="9">
        <v>137.86359999999999</v>
      </c>
      <c r="C222" s="2">
        <f t="shared" si="3"/>
        <v>-1.5969146315633713</v>
      </c>
    </row>
    <row r="223" spans="1:3" x14ac:dyDescent="0.25">
      <c r="A223" s="1">
        <v>32660</v>
      </c>
      <c r="B223" s="9">
        <v>143.98089999999999</v>
      </c>
      <c r="C223" s="2">
        <f t="shared" si="3"/>
        <v>-1.4865798171840847</v>
      </c>
    </row>
    <row r="224" spans="1:3" x14ac:dyDescent="0.25">
      <c r="A224" s="1">
        <v>32690</v>
      </c>
      <c r="B224" s="9">
        <v>140.42400000000001</v>
      </c>
      <c r="C224" s="2">
        <f t="shared" si="3"/>
        <v>-1.5495641770637496</v>
      </c>
    </row>
    <row r="225" spans="1:3" x14ac:dyDescent="0.25">
      <c r="A225" s="1">
        <v>32721</v>
      </c>
      <c r="B225" s="9">
        <v>141.48519999999999</v>
      </c>
      <c r="C225" s="2">
        <f t="shared" si="3"/>
        <v>-1.5304413465153952</v>
      </c>
    </row>
    <row r="226" spans="1:3" x14ac:dyDescent="0.25">
      <c r="A226" s="1">
        <v>32752</v>
      </c>
      <c r="B226" s="9">
        <v>145.07</v>
      </c>
      <c r="C226" s="2">
        <f t="shared" si="3"/>
        <v>-1.4679120424622596</v>
      </c>
    </row>
    <row r="227" spans="1:3" x14ac:dyDescent="0.25">
      <c r="A227" s="1">
        <v>32782</v>
      </c>
      <c r="B227" s="9">
        <v>142.20670000000001</v>
      </c>
      <c r="C227" s="2">
        <f t="shared" si="3"/>
        <v>-1.5176028977537621</v>
      </c>
    </row>
    <row r="228" spans="1:3" x14ac:dyDescent="0.25">
      <c r="A228" s="1">
        <v>32813</v>
      </c>
      <c r="B228" s="9">
        <v>143.5343</v>
      </c>
      <c r="C228" s="2">
        <f t="shared" si="3"/>
        <v>-1.4943166894602893</v>
      </c>
    </row>
    <row r="229" spans="1:3" x14ac:dyDescent="0.25">
      <c r="A229" s="1">
        <v>32843</v>
      </c>
      <c r="B229" s="9">
        <v>143.685</v>
      </c>
      <c r="C229" s="2">
        <f t="shared" si="3"/>
        <v>-1.4917005950516753</v>
      </c>
    </row>
    <row r="230" spans="1:3" x14ac:dyDescent="0.25">
      <c r="A230" s="1">
        <v>32874</v>
      </c>
      <c r="B230" s="9">
        <v>144.9819</v>
      </c>
      <c r="C230" s="2">
        <f t="shared" si="3"/>
        <v>-1.4694116989775963</v>
      </c>
    </row>
    <row r="231" spans="1:3" x14ac:dyDescent="0.25">
      <c r="A231" s="1">
        <v>32905</v>
      </c>
      <c r="B231" s="9">
        <v>145.69319999999999</v>
      </c>
      <c r="C231" s="2">
        <f t="shared" si="3"/>
        <v>-1.4573555938094573</v>
      </c>
    </row>
    <row r="232" spans="1:3" x14ac:dyDescent="0.25">
      <c r="A232" s="1">
        <v>32933</v>
      </c>
      <c r="B232" s="9">
        <v>153.3082</v>
      </c>
      <c r="C232" s="2">
        <f t="shared" si="3"/>
        <v>-1.3352958289250019</v>
      </c>
    </row>
    <row r="233" spans="1:3" x14ac:dyDescent="0.25">
      <c r="A233" s="1">
        <v>32964</v>
      </c>
      <c r="B233" s="9">
        <v>158.45859999999999</v>
      </c>
      <c r="C233" s="2">
        <f t="shared" si="3"/>
        <v>-1.2593914120155043</v>
      </c>
    </row>
    <row r="234" spans="1:3" x14ac:dyDescent="0.25">
      <c r="A234" s="1">
        <v>32994</v>
      </c>
      <c r="B234" s="9">
        <v>154.04409999999999</v>
      </c>
      <c r="C234" s="2">
        <f t="shared" si="3"/>
        <v>-1.3241396457248285</v>
      </c>
    </row>
    <row r="235" spans="1:3" x14ac:dyDescent="0.25">
      <c r="A235" s="1">
        <v>33025</v>
      </c>
      <c r="B235" s="9">
        <v>153.69569999999999</v>
      </c>
      <c r="C235" s="2">
        <f t="shared" si="3"/>
        <v>-1.3294080445972138</v>
      </c>
    </row>
    <row r="236" spans="1:3" x14ac:dyDescent="0.25">
      <c r="A236" s="1">
        <v>33055</v>
      </c>
      <c r="B236" s="9">
        <v>149.0395</v>
      </c>
      <c r="C236" s="2">
        <f t="shared" si="3"/>
        <v>-1.402181971893357</v>
      </c>
    </row>
    <row r="237" spans="1:3" x14ac:dyDescent="0.25">
      <c r="A237" s="1">
        <v>33086</v>
      </c>
      <c r="B237" s="9">
        <v>147.46090000000001</v>
      </c>
      <c r="C237" s="2">
        <f t="shared" si="3"/>
        <v>-1.4278978359687211</v>
      </c>
    </row>
    <row r="238" spans="1:3" x14ac:dyDescent="0.25">
      <c r="A238" s="1">
        <v>33117</v>
      </c>
      <c r="B238" s="9">
        <v>138.44049999999999</v>
      </c>
      <c r="C238" s="2">
        <f t="shared" si="3"/>
        <v>-1.5860929424554233</v>
      </c>
    </row>
    <row r="239" spans="1:3" x14ac:dyDescent="0.25">
      <c r="A239" s="1">
        <v>33147</v>
      </c>
      <c r="B239" s="9">
        <v>129.5909</v>
      </c>
      <c r="C239" s="2">
        <f t="shared" si="3"/>
        <v>-1.7626939854573118</v>
      </c>
    </row>
    <row r="240" spans="1:3" x14ac:dyDescent="0.25">
      <c r="A240" s="1">
        <v>33178</v>
      </c>
      <c r="B240" s="9">
        <v>129.21549999999999</v>
      </c>
      <c r="C240" s="2">
        <f t="shared" si="3"/>
        <v>-1.7707202309320476</v>
      </c>
    </row>
    <row r="241" spans="1:3" x14ac:dyDescent="0.25">
      <c r="A241" s="1">
        <v>33208</v>
      </c>
      <c r="B241" s="9">
        <v>133.88900000000001</v>
      </c>
      <c r="C241" s="2">
        <f t="shared" si="3"/>
        <v>-1.6740060796630041</v>
      </c>
    </row>
    <row r="242" spans="1:3" x14ac:dyDescent="0.25">
      <c r="A242" s="1">
        <v>33239</v>
      </c>
      <c r="B242" s="9">
        <v>133.6986</v>
      </c>
      <c r="C242" s="2">
        <f t="shared" si="3"/>
        <v>-1.6778141281958074</v>
      </c>
    </row>
    <row r="243" spans="1:3" x14ac:dyDescent="0.25">
      <c r="A243" s="1">
        <v>33270</v>
      </c>
      <c r="B243" s="9">
        <v>130.53579999999999</v>
      </c>
      <c r="C243" s="2">
        <f t="shared" si="3"/>
        <v>-1.7426958734691937</v>
      </c>
    </row>
    <row r="244" spans="1:3" x14ac:dyDescent="0.25">
      <c r="A244" s="1">
        <v>33298</v>
      </c>
      <c r="B244" s="9">
        <v>137.38669999999999</v>
      </c>
      <c r="C244" s="2">
        <f t="shared" si="3"/>
        <v>-1.605929103763319</v>
      </c>
    </row>
    <row r="245" spans="1:3" x14ac:dyDescent="0.25">
      <c r="A245" s="1">
        <v>33329</v>
      </c>
      <c r="B245" s="9">
        <v>137.11269999999999</v>
      </c>
      <c r="C245" s="2">
        <f t="shared" si="3"/>
        <v>-1.611136678075773</v>
      </c>
    </row>
    <row r="246" spans="1:3" x14ac:dyDescent="0.25">
      <c r="A246" s="1">
        <v>33359</v>
      </c>
      <c r="B246" s="9">
        <v>138.2218</v>
      </c>
      <c r="C246" s="2">
        <f t="shared" si="3"/>
        <v>-1.5901847610145432</v>
      </c>
    </row>
    <row r="247" spans="1:3" x14ac:dyDescent="0.25">
      <c r="A247" s="1">
        <v>33390</v>
      </c>
      <c r="B247" s="9">
        <v>139.7475</v>
      </c>
      <c r="C247" s="2">
        <f t="shared" si="3"/>
        <v>-1.5619062952825629</v>
      </c>
    </row>
    <row r="248" spans="1:3" x14ac:dyDescent="0.25">
      <c r="A248" s="1">
        <v>33420</v>
      </c>
      <c r="B248" s="9">
        <v>137.83000000000001</v>
      </c>
      <c r="C248" s="2">
        <f t="shared" si="3"/>
        <v>-1.5975477036929546</v>
      </c>
    </row>
    <row r="249" spans="1:3" x14ac:dyDescent="0.25">
      <c r="A249" s="1">
        <v>33451</v>
      </c>
      <c r="B249" s="9">
        <v>136.81639999999999</v>
      </c>
      <c r="C249" s="2">
        <f t="shared" si="3"/>
        <v>-1.6167915542288793</v>
      </c>
    </row>
    <row r="250" spans="1:3" x14ac:dyDescent="0.25">
      <c r="A250" s="1">
        <v>33482</v>
      </c>
      <c r="B250" s="9">
        <v>134.29949999999999</v>
      </c>
      <c r="C250" s="2">
        <f t="shared" si="3"/>
        <v>-1.6658327097271397</v>
      </c>
    </row>
    <row r="251" spans="1:3" x14ac:dyDescent="0.25">
      <c r="A251" s="1">
        <v>33512</v>
      </c>
      <c r="B251" s="9">
        <v>130.7723</v>
      </c>
      <c r="C251" s="2">
        <f t="shared" si="3"/>
        <v>-1.7377357437316618</v>
      </c>
    </row>
    <row r="252" spans="1:3" x14ac:dyDescent="0.25">
      <c r="A252" s="1">
        <v>33543</v>
      </c>
      <c r="B252" s="9">
        <v>129.63210000000001</v>
      </c>
      <c r="C252" s="2">
        <f t="shared" si="3"/>
        <v>-1.7618159391076742</v>
      </c>
    </row>
    <row r="253" spans="1:3" x14ac:dyDescent="0.25">
      <c r="A253" s="1">
        <v>33573</v>
      </c>
      <c r="B253" s="9">
        <v>128.0395</v>
      </c>
      <c r="C253" s="2">
        <f t="shared" si="3"/>
        <v>-1.7961683699170958</v>
      </c>
    </row>
    <row r="254" spans="1:3" x14ac:dyDescent="0.25">
      <c r="A254" s="1">
        <v>33604</v>
      </c>
      <c r="B254" s="9">
        <v>125.4614</v>
      </c>
      <c r="C254" s="2">
        <f t="shared" si="3"/>
        <v>-1.8536266931502436</v>
      </c>
    </row>
    <row r="255" spans="1:3" x14ac:dyDescent="0.25">
      <c r="A255" s="1">
        <v>33635</v>
      </c>
      <c r="B255" s="9">
        <v>127.69889999999999</v>
      </c>
      <c r="C255" s="2">
        <f t="shared" si="3"/>
        <v>-1.8036263429050678</v>
      </c>
    </row>
    <row r="256" spans="1:3" x14ac:dyDescent="0.25">
      <c r="A256" s="1">
        <v>33664</v>
      </c>
      <c r="B256" s="9">
        <v>132.86269999999999</v>
      </c>
      <c r="C256" s="2">
        <f t="shared" si="3"/>
        <v>-1.6946614813638443</v>
      </c>
    </row>
    <row r="257" spans="1:3" x14ac:dyDescent="0.25">
      <c r="A257" s="1">
        <v>33695</v>
      </c>
      <c r="B257" s="9">
        <v>133.5395</v>
      </c>
      <c r="C257" s="2">
        <f t="shared" si="3"/>
        <v>-1.6810044967968278</v>
      </c>
    </row>
    <row r="258" spans="1:3" x14ac:dyDescent="0.25">
      <c r="A258" s="1">
        <v>33725</v>
      </c>
      <c r="B258" s="9">
        <v>130.77099999999999</v>
      </c>
      <c r="C258" s="2">
        <f t="shared" ref="C258:C321" si="4">1-(B$2/B258)</f>
        <v>-1.7377629596776045</v>
      </c>
    </row>
    <row r="259" spans="1:3" x14ac:dyDescent="0.25">
      <c r="A259" s="1">
        <v>33756</v>
      </c>
      <c r="B259" s="9">
        <v>126.8355</v>
      </c>
      <c r="C259" s="2">
        <f t="shared" si="4"/>
        <v>-1.8227113071655805</v>
      </c>
    </row>
    <row r="260" spans="1:3" x14ac:dyDescent="0.25">
      <c r="A260" s="1">
        <v>33786</v>
      </c>
      <c r="B260" s="9">
        <v>125.8817</v>
      </c>
      <c r="C260" s="2">
        <f t="shared" si="4"/>
        <v>-1.8440988642511185</v>
      </c>
    </row>
    <row r="261" spans="1:3" x14ac:dyDescent="0.25">
      <c r="A261" s="1">
        <v>33817</v>
      </c>
      <c r="B261" s="9">
        <v>126.23099999999999</v>
      </c>
      <c r="C261" s="2">
        <f t="shared" si="4"/>
        <v>-1.8362288185944817</v>
      </c>
    </row>
    <row r="262" spans="1:3" x14ac:dyDescent="0.25">
      <c r="A262" s="1">
        <v>33848</v>
      </c>
      <c r="B262" s="9">
        <v>122.5967</v>
      </c>
      <c r="C262" s="2">
        <f t="shared" si="4"/>
        <v>-1.9203069903186627</v>
      </c>
    </row>
    <row r="263" spans="1:3" x14ac:dyDescent="0.25">
      <c r="A263" s="1">
        <v>33878</v>
      </c>
      <c r="B263" s="9">
        <v>121.1652</v>
      </c>
      <c r="C263" s="2">
        <f t="shared" si="4"/>
        <v>-1.9548088064889919</v>
      </c>
    </row>
    <row r="264" spans="1:3" x14ac:dyDescent="0.25">
      <c r="A264" s="1">
        <v>33909</v>
      </c>
      <c r="B264" s="9">
        <v>123.88</v>
      </c>
      <c r="C264" s="2">
        <f t="shared" si="4"/>
        <v>-1.890054891830804</v>
      </c>
    </row>
    <row r="265" spans="1:3" x14ac:dyDescent="0.25">
      <c r="A265" s="1">
        <v>33939</v>
      </c>
      <c r="B265" s="9">
        <v>124.04089999999999</v>
      </c>
      <c r="C265" s="2">
        <f t="shared" si="4"/>
        <v>-1.8863060490531751</v>
      </c>
    </row>
    <row r="266" spans="1:3" x14ac:dyDescent="0.25">
      <c r="A266" s="1">
        <v>33970</v>
      </c>
      <c r="B266" s="9">
        <v>124.9932</v>
      </c>
      <c r="C266" s="2">
        <f t="shared" si="4"/>
        <v>-1.8643158187805415</v>
      </c>
    </row>
    <row r="267" spans="1:3" x14ac:dyDescent="0.25">
      <c r="A267" s="1">
        <v>34001</v>
      </c>
      <c r="B267" s="9">
        <v>120.7595</v>
      </c>
      <c r="C267" s="2">
        <f t="shared" si="4"/>
        <v>-1.9647356936721332</v>
      </c>
    </row>
    <row r="268" spans="1:3" x14ac:dyDescent="0.25">
      <c r="A268" s="1">
        <v>34029</v>
      </c>
      <c r="B268" s="9">
        <v>117.01739999999999</v>
      </c>
      <c r="C268" s="2">
        <f t="shared" si="4"/>
        <v>-2.0595449907449663</v>
      </c>
    </row>
    <row r="269" spans="1:3" x14ac:dyDescent="0.25">
      <c r="A269" s="1">
        <v>34060</v>
      </c>
      <c r="B269" s="9">
        <v>112.4114</v>
      </c>
      <c r="C269" s="2">
        <f t="shared" si="4"/>
        <v>-2.1849082922194722</v>
      </c>
    </row>
    <row r="270" spans="1:3" x14ac:dyDescent="0.25">
      <c r="A270" s="1">
        <v>34090</v>
      </c>
      <c r="B270" s="9">
        <v>110.343</v>
      </c>
      <c r="C270" s="2">
        <f t="shared" si="4"/>
        <v>-2.2446099888529401</v>
      </c>
    </row>
    <row r="271" spans="1:3" x14ac:dyDescent="0.25">
      <c r="A271" s="1">
        <v>34121</v>
      </c>
      <c r="B271" s="9">
        <v>107.4118</v>
      </c>
      <c r="C271" s="2">
        <f t="shared" si="4"/>
        <v>-2.3331533406944116</v>
      </c>
    </row>
    <row r="272" spans="1:3" x14ac:dyDescent="0.25">
      <c r="A272" s="1">
        <v>34151</v>
      </c>
      <c r="B272" s="9">
        <v>107.6914</v>
      </c>
      <c r="C272" s="2">
        <f t="shared" si="4"/>
        <v>-2.3244994493525013</v>
      </c>
    </row>
    <row r="273" spans="1:3" x14ac:dyDescent="0.25">
      <c r="A273" s="1">
        <v>34182</v>
      </c>
      <c r="B273" s="9">
        <v>103.765</v>
      </c>
      <c r="C273" s="2">
        <f t="shared" si="4"/>
        <v>-2.4502963426974413</v>
      </c>
    </row>
    <row r="274" spans="1:3" x14ac:dyDescent="0.25">
      <c r="A274" s="1">
        <v>34213</v>
      </c>
      <c r="B274" s="9">
        <v>105.5748</v>
      </c>
      <c r="C274" s="2">
        <f t="shared" si="4"/>
        <v>-2.3911501608338352</v>
      </c>
    </row>
    <row r="275" spans="1:3" x14ac:dyDescent="0.25">
      <c r="A275" s="1">
        <v>34243</v>
      </c>
      <c r="B275" s="9">
        <v>107.02</v>
      </c>
      <c r="C275" s="2">
        <f t="shared" si="4"/>
        <v>-2.3453560082227622</v>
      </c>
    </row>
    <row r="276" spans="1:3" x14ac:dyDescent="0.25">
      <c r="A276" s="1">
        <v>34274</v>
      </c>
      <c r="B276" s="9">
        <v>107.87649999999999</v>
      </c>
      <c r="C276" s="2">
        <f t="shared" si="4"/>
        <v>-2.3187951036602041</v>
      </c>
    </row>
    <row r="277" spans="1:3" x14ac:dyDescent="0.25">
      <c r="A277" s="1">
        <v>34304</v>
      </c>
      <c r="B277" s="9">
        <v>109.913</v>
      </c>
      <c r="C277" s="2">
        <f t="shared" si="4"/>
        <v>-2.2573035036801832</v>
      </c>
    </row>
    <row r="278" spans="1:3" x14ac:dyDescent="0.25">
      <c r="A278" s="1">
        <v>34335</v>
      </c>
      <c r="B278" s="9">
        <v>111.4415</v>
      </c>
      <c r="C278" s="2">
        <f t="shared" si="4"/>
        <v>-2.21262725286361</v>
      </c>
    </row>
    <row r="279" spans="1:3" x14ac:dyDescent="0.25">
      <c r="A279" s="1">
        <v>34366</v>
      </c>
      <c r="B279" s="9">
        <v>106.30110000000001</v>
      </c>
      <c r="C279" s="2">
        <f t="shared" si="4"/>
        <v>-2.367980199640455</v>
      </c>
    </row>
    <row r="280" spans="1:3" x14ac:dyDescent="0.25">
      <c r="A280" s="1">
        <v>34394</v>
      </c>
      <c r="B280" s="9">
        <v>105.09739999999999</v>
      </c>
      <c r="C280" s="2">
        <f t="shared" si="4"/>
        <v>-2.4065543010578758</v>
      </c>
    </row>
    <row r="281" spans="1:3" x14ac:dyDescent="0.25">
      <c r="A281" s="1">
        <v>34425</v>
      </c>
      <c r="B281" s="9">
        <v>103.4843</v>
      </c>
      <c r="C281" s="2">
        <f t="shared" si="4"/>
        <v>-2.4596552327261234</v>
      </c>
    </row>
    <row r="282" spans="1:3" x14ac:dyDescent="0.25">
      <c r="A282" s="1">
        <v>34455</v>
      </c>
      <c r="B282" s="9">
        <v>103.7533</v>
      </c>
      <c r="C282" s="2">
        <f t="shared" si="4"/>
        <v>-2.4506854239816951</v>
      </c>
    </row>
    <row r="283" spans="1:3" x14ac:dyDescent="0.25">
      <c r="A283" s="1">
        <v>34486</v>
      </c>
      <c r="B283" s="9">
        <v>102.5264</v>
      </c>
      <c r="C283" s="2">
        <f t="shared" si="4"/>
        <v>-2.4919786513522371</v>
      </c>
    </row>
    <row r="284" spans="1:3" x14ac:dyDescent="0.25">
      <c r="A284" s="1">
        <v>34516</v>
      </c>
      <c r="B284" s="9">
        <v>98.444999999999993</v>
      </c>
      <c r="C284" s="2">
        <f t="shared" si="4"/>
        <v>-2.636751485601097</v>
      </c>
    </row>
    <row r="285" spans="1:3" x14ac:dyDescent="0.25">
      <c r="A285" s="1">
        <v>34547</v>
      </c>
      <c r="B285" s="9">
        <v>99.940399999999997</v>
      </c>
      <c r="C285" s="2">
        <f t="shared" si="4"/>
        <v>-2.5823350717027349</v>
      </c>
    </row>
    <row r="286" spans="1:3" x14ac:dyDescent="0.25">
      <c r="A286" s="1">
        <v>34578</v>
      </c>
      <c r="B286" s="9">
        <v>98.774299999999997</v>
      </c>
      <c r="C286" s="2">
        <f t="shared" si="4"/>
        <v>-2.6246270537984069</v>
      </c>
    </row>
    <row r="287" spans="1:3" x14ac:dyDescent="0.25">
      <c r="A287" s="1">
        <v>34608</v>
      </c>
      <c r="B287" s="9">
        <v>98.352999999999994</v>
      </c>
      <c r="C287" s="2">
        <f t="shared" si="4"/>
        <v>-2.6401533252671499</v>
      </c>
    </row>
    <row r="288" spans="1:3" x14ac:dyDescent="0.25">
      <c r="A288" s="1">
        <v>34639</v>
      </c>
      <c r="B288" s="9">
        <v>98.043999999999997</v>
      </c>
      <c r="C288" s="2">
        <f t="shared" si="4"/>
        <v>-2.6516258006609275</v>
      </c>
    </row>
    <row r="289" spans="1:3" x14ac:dyDescent="0.25">
      <c r="A289" s="1">
        <v>34669</v>
      </c>
      <c r="B289" s="9">
        <v>100.1824</v>
      </c>
      <c r="C289" s="2">
        <f t="shared" si="4"/>
        <v>-2.5736816047529305</v>
      </c>
    </row>
    <row r="290" spans="1:3" x14ac:dyDescent="0.25">
      <c r="A290" s="1">
        <v>34700</v>
      </c>
      <c r="B290" s="9">
        <v>99.766000000000005</v>
      </c>
      <c r="C290" s="2">
        <f t="shared" si="4"/>
        <v>-2.5885973177234725</v>
      </c>
    </row>
    <row r="291" spans="1:3" x14ac:dyDescent="0.25">
      <c r="A291" s="1">
        <v>34731</v>
      </c>
      <c r="B291" s="9">
        <v>98.236800000000002</v>
      </c>
      <c r="C291" s="2">
        <f t="shared" si="4"/>
        <v>-2.6444591029023745</v>
      </c>
    </row>
    <row r="292" spans="1:3" x14ac:dyDescent="0.25">
      <c r="A292" s="1">
        <v>34759</v>
      </c>
      <c r="B292" s="9">
        <v>90.519599999999997</v>
      </c>
      <c r="C292" s="2">
        <f t="shared" si="4"/>
        <v>-2.9551655111158244</v>
      </c>
    </row>
    <row r="293" spans="1:3" x14ac:dyDescent="0.25">
      <c r="A293" s="1">
        <v>34790</v>
      </c>
      <c r="B293" s="9">
        <v>83.689499999999995</v>
      </c>
      <c r="C293" s="2">
        <f t="shared" si="4"/>
        <v>-3.2779560159876686</v>
      </c>
    </row>
    <row r="294" spans="1:3" x14ac:dyDescent="0.25">
      <c r="A294" s="1">
        <v>34820</v>
      </c>
      <c r="B294" s="9">
        <v>85.112700000000004</v>
      </c>
      <c r="C294" s="2">
        <f t="shared" si="4"/>
        <v>-3.2064227782692827</v>
      </c>
    </row>
    <row r="295" spans="1:3" x14ac:dyDescent="0.25">
      <c r="A295" s="1">
        <v>34851</v>
      </c>
      <c r="B295" s="9">
        <v>84.635499999999993</v>
      </c>
      <c r="C295" s="2">
        <f t="shared" si="4"/>
        <v>-3.2301398349392398</v>
      </c>
    </row>
    <row r="296" spans="1:3" x14ac:dyDescent="0.25">
      <c r="A296" s="1">
        <v>34881</v>
      </c>
      <c r="B296" s="9">
        <v>87.397000000000006</v>
      </c>
      <c r="C296" s="2">
        <f t="shared" si="4"/>
        <v>-3.0964792841859552</v>
      </c>
    </row>
    <row r="297" spans="1:3" x14ac:dyDescent="0.25">
      <c r="A297" s="1">
        <v>34912</v>
      </c>
      <c r="B297" s="9">
        <v>94.738299999999995</v>
      </c>
      <c r="C297" s="2">
        <f t="shared" si="4"/>
        <v>-2.7790418447449445</v>
      </c>
    </row>
    <row r="298" spans="1:3" x14ac:dyDescent="0.25">
      <c r="A298" s="1">
        <v>34943</v>
      </c>
      <c r="B298" s="9">
        <v>100.5455</v>
      </c>
      <c r="C298" s="2">
        <f t="shared" si="4"/>
        <v>-2.5607759670994721</v>
      </c>
    </row>
    <row r="299" spans="1:3" x14ac:dyDescent="0.25">
      <c r="A299" s="1">
        <v>34973</v>
      </c>
      <c r="B299" s="9">
        <v>100.839</v>
      </c>
      <c r="C299" s="2">
        <f t="shared" si="4"/>
        <v>-2.5504120429595689</v>
      </c>
    </row>
    <row r="300" spans="1:3" x14ac:dyDescent="0.25">
      <c r="A300" s="1">
        <v>35004</v>
      </c>
      <c r="B300" s="9">
        <v>101.94</v>
      </c>
      <c r="C300" s="2">
        <f t="shared" si="4"/>
        <v>-2.5120659211300764</v>
      </c>
    </row>
    <row r="301" spans="1:3" x14ac:dyDescent="0.25">
      <c r="A301" s="1">
        <v>35034</v>
      </c>
      <c r="B301" s="9">
        <v>101.84950000000001</v>
      </c>
      <c r="C301" s="2">
        <f t="shared" si="4"/>
        <v>-2.5151866234002127</v>
      </c>
    </row>
    <row r="302" spans="1:3" x14ac:dyDescent="0.25">
      <c r="A302" s="1">
        <v>35065</v>
      </c>
      <c r="B302" s="9">
        <v>105.7514</v>
      </c>
      <c r="C302" s="2">
        <f t="shared" si="4"/>
        <v>-2.3854870952063041</v>
      </c>
    </row>
    <row r="303" spans="1:3" x14ac:dyDescent="0.25">
      <c r="A303" s="1">
        <v>35096</v>
      </c>
      <c r="B303" s="9">
        <v>105.788</v>
      </c>
      <c r="C303" s="2">
        <f t="shared" si="4"/>
        <v>-2.3843158014141488</v>
      </c>
    </row>
    <row r="304" spans="1:3" x14ac:dyDescent="0.25">
      <c r="A304" s="1">
        <v>35125</v>
      </c>
      <c r="B304" s="9">
        <v>105.94</v>
      </c>
      <c r="C304" s="2">
        <f t="shared" si="4"/>
        <v>-2.3794600717387198</v>
      </c>
    </row>
    <row r="305" spans="1:3" x14ac:dyDescent="0.25">
      <c r="A305" s="1">
        <v>35156</v>
      </c>
      <c r="B305" s="9">
        <v>107.1995</v>
      </c>
      <c r="C305" s="2">
        <f t="shared" si="4"/>
        <v>-2.3397543831827572</v>
      </c>
    </row>
    <row r="306" spans="1:3" x14ac:dyDescent="0.25">
      <c r="A306" s="1">
        <v>35186</v>
      </c>
      <c r="B306" s="9">
        <v>106.34229999999999</v>
      </c>
      <c r="C306" s="2">
        <f t="shared" si="4"/>
        <v>-2.3666753493200732</v>
      </c>
    </row>
    <row r="307" spans="1:3" x14ac:dyDescent="0.25">
      <c r="A307" s="1">
        <v>35217</v>
      </c>
      <c r="B307" s="9">
        <v>108.96</v>
      </c>
      <c r="C307" s="2">
        <f t="shared" si="4"/>
        <v>-2.28579295154185</v>
      </c>
    </row>
    <row r="308" spans="1:3" x14ac:dyDescent="0.25">
      <c r="A308" s="1">
        <v>35247</v>
      </c>
      <c r="B308" s="9">
        <v>109.1909</v>
      </c>
      <c r="C308" s="2">
        <f t="shared" si="4"/>
        <v>-2.2788446656268975</v>
      </c>
    </row>
    <row r="309" spans="1:3" x14ac:dyDescent="0.25">
      <c r="A309" s="1">
        <v>35278</v>
      </c>
      <c r="B309" s="9">
        <v>107.8659</v>
      </c>
      <c r="C309" s="2">
        <f t="shared" si="4"/>
        <v>-2.3191212422090763</v>
      </c>
    </row>
    <row r="310" spans="1:3" x14ac:dyDescent="0.25">
      <c r="A310" s="1">
        <v>35309</v>
      </c>
      <c r="B310" s="9">
        <v>109.931</v>
      </c>
      <c r="C310" s="2">
        <f t="shared" si="4"/>
        <v>-2.2567701558250173</v>
      </c>
    </row>
    <row r="311" spans="1:3" x14ac:dyDescent="0.25">
      <c r="A311" s="1">
        <v>35339</v>
      </c>
      <c r="B311" s="9">
        <v>112.4123</v>
      </c>
      <c r="C311" s="2">
        <f t="shared" si="4"/>
        <v>-2.1848827930751349</v>
      </c>
    </row>
    <row r="312" spans="1:3" x14ac:dyDescent="0.25">
      <c r="A312" s="1">
        <v>35370</v>
      </c>
      <c r="B312" s="9">
        <v>112.2958</v>
      </c>
      <c r="C312" s="2">
        <f t="shared" si="4"/>
        <v>-2.1881869134909762</v>
      </c>
    </row>
    <row r="313" spans="1:3" x14ac:dyDescent="0.25">
      <c r="A313" s="1">
        <v>35400</v>
      </c>
      <c r="B313" s="9">
        <v>113.98099999999999</v>
      </c>
      <c r="C313" s="2">
        <f t="shared" si="4"/>
        <v>-2.1410498240934892</v>
      </c>
    </row>
    <row r="314" spans="1:3" x14ac:dyDescent="0.25">
      <c r="A314" s="1">
        <v>35431</v>
      </c>
      <c r="B314" s="9">
        <v>117.91240000000001</v>
      </c>
      <c r="C314" s="2">
        <f t="shared" si="4"/>
        <v>-2.0363218796326761</v>
      </c>
    </row>
    <row r="315" spans="1:3" x14ac:dyDescent="0.25">
      <c r="A315" s="1">
        <v>35462</v>
      </c>
      <c r="B315" s="9">
        <v>122.96210000000001</v>
      </c>
      <c r="C315" s="2">
        <f t="shared" si="4"/>
        <v>-1.9116288677568125</v>
      </c>
    </row>
    <row r="316" spans="1:3" x14ac:dyDescent="0.25">
      <c r="A316" s="1">
        <v>35490</v>
      </c>
      <c r="B316" s="9">
        <v>122.77379999999999</v>
      </c>
      <c r="C316" s="2">
        <f t="shared" si="4"/>
        <v>-1.9160944761830292</v>
      </c>
    </row>
    <row r="317" spans="1:3" x14ac:dyDescent="0.25">
      <c r="A317" s="1">
        <v>35521</v>
      </c>
      <c r="B317" s="9">
        <v>125.6377</v>
      </c>
      <c r="C317" s="2">
        <f t="shared" si="4"/>
        <v>-1.8496223665348857</v>
      </c>
    </row>
    <row r="318" spans="1:3" x14ac:dyDescent="0.25">
      <c r="A318" s="1">
        <v>35551</v>
      </c>
      <c r="B318" s="9">
        <v>119.19240000000001</v>
      </c>
      <c r="C318" s="2">
        <f t="shared" si="4"/>
        <v>-2.003715001963212</v>
      </c>
    </row>
    <row r="319" spans="1:3" x14ac:dyDescent="0.25">
      <c r="A319" s="1">
        <v>35582</v>
      </c>
      <c r="B319" s="9">
        <v>114.28570000000001</v>
      </c>
      <c r="C319" s="2">
        <f t="shared" si="4"/>
        <v>-2.1326753915844234</v>
      </c>
    </row>
    <row r="320" spans="1:3" x14ac:dyDescent="0.25">
      <c r="A320" s="1">
        <v>35612</v>
      </c>
      <c r="B320" s="9">
        <v>115.3759</v>
      </c>
      <c r="C320" s="2">
        <f t="shared" si="4"/>
        <v>-2.1030743855519218</v>
      </c>
    </row>
    <row r="321" spans="1:3" x14ac:dyDescent="0.25">
      <c r="A321" s="1">
        <v>35643</v>
      </c>
      <c r="B321" s="9">
        <v>117.9295</v>
      </c>
      <c r="C321" s="2">
        <f t="shared" si="4"/>
        <v>-2.0358816072314387</v>
      </c>
    </row>
    <row r="322" spans="1:3" x14ac:dyDescent="0.25">
      <c r="A322" s="1">
        <v>35674</v>
      </c>
      <c r="B322" s="9">
        <v>120.89</v>
      </c>
      <c r="C322" s="2">
        <f t="shared" ref="C322:C385" si="5">1-(B$2/B322)</f>
        <v>-1.9615352800066175</v>
      </c>
    </row>
    <row r="323" spans="1:3" x14ac:dyDescent="0.25">
      <c r="A323" s="1">
        <v>35704</v>
      </c>
      <c r="B323" s="9">
        <v>121.0605</v>
      </c>
      <c r="C323" s="2">
        <f t="shared" si="5"/>
        <v>-1.9573642930600812</v>
      </c>
    </row>
    <row r="324" spans="1:3" x14ac:dyDescent="0.25">
      <c r="A324" s="1">
        <v>35735</v>
      </c>
      <c r="B324" s="9">
        <v>125.3817</v>
      </c>
      <c r="C324" s="2">
        <f t="shared" si="5"/>
        <v>-1.8554406265029106</v>
      </c>
    </row>
    <row r="325" spans="1:3" x14ac:dyDescent="0.25">
      <c r="A325" s="1">
        <v>35765</v>
      </c>
      <c r="B325" s="9">
        <v>129.73410000000001</v>
      </c>
      <c r="C325" s="2">
        <f t="shared" si="5"/>
        <v>-1.7596445344747447</v>
      </c>
    </row>
    <row r="326" spans="1:3" x14ac:dyDescent="0.25">
      <c r="A326" s="1">
        <v>35796</v>
      </c>
      <c r="B326" s="9">
        <v>129.54750000000001</v>
      </c>
      <c r="C326" s="2">
        <f t="shared" si="5"/>
        <v>-1.7636195217970236</v>
      </c>
    </row>
    <row r="327" spans="1:3" x14ac:dyDescent="0.25">
      <c r="A327" s="1">
        <v>35827</v>
      </c>
      <c r="B327" s="9">
        <v>125.8516</v>
      </c>
      <c r="C327" s="2">
        <f t="shared" si="5"/>
        <v>-1.8447790890223086</v>
      </c>
    </row>
    <row r="328" spans="1:3" x14ac:dyDescent="0.25">
      <c r="A328" s="1">
        <v>35855</v>
      </c>
      <c r="B328" s="9">
        <v>129.0823</v>
      </c>
      <c r="C328" s="2">
        <f t="shared" si="5"/>
        <v>-1.7735793365937851</v>
      </c>
    </row>
    <row r="329" spans="1:3" x14ac:dyDescent="0.25">
      <c r="A329" s="1">
        <v>35886</v>
      </c>
      <c r="B329" s="9">
        <v>131.75360000000001</v>
      </c>
      <c r="C329" s="2">
        <f t="shared" si="5"/>
        <v>-1.7173451048016903</v>
      </c>
    </row>
    <row r="330" spans="1:3" x14ac:dyDescent="0.25">
      <c r="A330" s="1">
        <v>35916</v>
      </c>
      <c r="B330" s="9">
        <v>134.89599999999999</v>
      </c>
      <c r="C330" s="2">
        <f t="shared" si="5"/>
        <v>-1.6540445973194164</v>
      </c>
    </row>
    <row r="331" spans="1:3" x14ac:dyDescent="0.25">
      <c r="A331" s="1">
        <v>35947</v>
      </c>
      <c r="B331" s="9">
        <v>140.3305</v>
      </c>
      <c r="C331" s="2">
        <f t="shared" si="5"/>
        <v>-1.5512629114839611</v>
      </c>
    </row>
    <row r="332" spans="1:3" x14ac:dyDescent="0.25">
      <c r="A332" s="1">
        <v>35977</v>
      </c>
      <c r="B332" s="9">
        <v>140.78739999999999</v>
      </c>
      <c r="C332" s="2">
        <f t="shared" si="5"/>
        <v>-1.5429832499215128</v>
      </c>
    </row>
    <row r="333" spans="1:3" x14ac:dyDescent="0.25">
      <c r="A333" s="1">
        <v>36008</v>
      </c>
      <c r="B333" s="9">
        <v>144.68</v>
      </c>
      <c r="C333" s="2">
        <f t="shared" si="5"/>
        <v>-1.4745645562620955</v>
      </c>
    </row>
    <row r="334" spans="1:3" x14ac:dyDescent="0.25">
      <c r="A334" s="1">
        <v>36039</v>
      </c>
      <c r="B334" s="9">
        <v>134.48050000000001</v>
      </c>
      <c r="C334" s="2">
        <f t="shared" si="5"/>
        <v>-1.6622447120586252</v>
      </c>
    </row>
    <row r="335" spans="1:3" x14ac:dyDescent="0.25">
      <c r="A335" s="1">
        <v>36069</v>
      </c>
      <c r="B335" s="9">
        <v>121.04859999999999</v>
      </c>
      <c r="C335" s="2">
        <f t="shared" si="5"/>
        <v>-1.9576550245108164</v>
      </c>
    </row>
    <row r="336" spans="1:3" x14ac:dyDescent="0.25">
      <c r="A336" s="1">
        <v>36100</v>
      </c>
      <c r="B336" s="9">
        <v>120.2895</v>
      </c>
      <c r="C336" s="2">
        <f t="shared" si="5"/>
        <v>-1.9763196288952898</v>
      </c>
    </row>
    <row r="337" spans="1:3" x14ac:dyDescent="0.25">
      <c r="A337" s="1">
        <v>36130</v>
      </c>
      <c r="B337" s="9">
        <v>117.07089999999999</v>
      </c>
      <c r="C337" s="2">
        <f t="shared" si="5"/>
        <v>-2.0581468153059386</v>
      </c>
    </row>
    <row r="338" spans="1:3" x14ac:dyDescent="0.25">
      <c r="A338" s="1">
        <v>36161</v>
      </c>
      <c r="B338" s="9">
        <v>113.29</v>
      </c>
      <c r="C338" s="2">
        <f t="shared" si="5"/>
        <v>-2.1602083149439486</v>
      </c>
    </row>
    <row r="339" spans="1:3" x14ac:dyDescent="0.25">
      <c r="A339" s="1">
        <v>36192</v>
      </c>
      <c r="B339" s="9">
        <v>116.66840000000001</v>
      </c>
      <c r="C339" s="2">
        <f t="shared" si="5"/>
        <v>-2.0686972650692046</v>
      </c>
    </row>
    <row r="340" spans="1:3" x14ac:dyDescent="0.25">
      <c r="A340" s="1">
        <v>36220</v>
      </c>
      <c r="B340" s="9">
        <v>119.473</v>
      </c>
      <c r="C340" s="2">
        <f t="shared" si="5"/>
        <v>-1.9966603332970627</v>
      </c>
    </row>
    <row r="341" spans="1:3" x14ac:dyDescent="0.25">
      <c r="A341" s="1">
        <v>36251</v>
      </c>
      <c r="B341" s="9">
        <v>119.7723</v>
      </c>
      <c r="C341" s="2">
        <f t="shared" si="5"/>
        <v>-1.9891719537823018</v>
      </c>
    </row>
    <row r="342" spans="1:3" x14ac:dyDescent="0.25">
      <c r="A342" s="1">
        <v>36281</v>
      </c>
      <c r="B342" s="9">
        <v>121.9995</v>
      </c>
      <c r="C342" s="2">
        <f t="shared" si="5"/>
        <v>-1.9346021909925861</v>
      </c>
    </row>
    <row r="343" spans="1:3" x14ac:dyDescent="0.25">
      <c r="A343" s="1">
        <v>36312</v>
      </c>
      <c r="B343" s="9">
        <v>120.72450000000001</v>
      </c>
      <c r="C343" s="2">
        <f t="shared" si="5"/>
        <v>-1.9655952188660955</v>
      </c>
    </row>
    <row r="344" spans="1:3" x14ac:dyDescent="0.25">
      <c r="A344" s="1">
        <v>36342</v>
      </c>
      <c r="B344" s="9">
        <v>119.3305</v>
      </c>
      <c r="C344" s="2">
        <f t="shared" si="5"/>
        <v>-2.0002388324862461</v>
      </c>
    </row>
    <row r="345" spans="1:3" x14ac:dyDescent="0.25">
      <c r="A345" s="1">
        <v>36373</v>
      </c>
      <c r="B345" s="9">
        <v>113.2268</v>
      </c>
      <c r="C345" s="2">
        <f t="shared" si="5"/>
        <v>-2.1619722539186834</v>
      </c>
    </row>
    <row r="346" spans="1:3" x14ac:dyDescent="0.25">
      <c r="A346" s="1">
        <v>36404</v>
      </c>
      <c r="B346" s="9">
        <v>106.87520000000001</v>
      </c>
      <c r="C346" s="2">
        <f t="shared" si="5"/>
        <v>-2.3498884680449716</v>
      </c>
    </row>
    <row r="347" spans="1:3" x14ac:dyDescent="0.25">
      <c r="A347" s="1">
        <v>36434</v>
      </c>
      <c r="B347" s="9">
        <v>105.965</v>
      </c>
      <c r="C347" s="2">
        <f t="shared" si="5"/>
        <v>-2.3786627660076438</v>
      </c>
    </row>
    <row r="348" spans="1:3" x14ac:dyDescent="0.25">
      <c r="A348" s="1">
        <v>36465</v>
      </c>
      <c r="B348" s="9">
        <v>104.6485</v>
      </c>
      <c r="C348" s="2">
        <f t="shared" si="5"/>
        <v>-2.4211670496949309</v>
      </c>
    </row>
    <row r="349" spans="1:3" x14ac:dyDescent="0.25">
      <c r="A349" s="1">
        <v>36495</v>
      </c>
      <c r="B349" s="9">
        <v>102.5843</v>
      </c>
      <c r="C349" s="2">
        <f t="shared" si="5"/>
        <v>-2.4900077302277248</v>
      </c>
    </row>
    <row r="350" spans="1:3" x14ac:dyDescent="0.25">
      <c r="A350" s="1">
        <v>36526</v>
      </c>
      <c r="B350" s="9">
        <v>105.29600000000001</v>
      </c>
      <c r="C350" s="2">
        <f t="shared" si="5"/>
        <v>-2.4001291597021726</v>
      </c>
    </row>
    <row r="351" spans="1:3" x14ac:dyDescent="0.25">
      <c r="A351" s="1">
        <v>36557</v>
      </c>
      <c r="B351" s="9">
        <v>109.38849999999999</v>
      </c>
      <c r="C351" s="2">
        <f t="shared" si="5"/>
        <v>-2.2729217422306731</v>
      </c>
    </row>
    <row r="352" spans="1:3" x14ac:dyDescent="0.25">
      <c r="A352" s="1">
        <v>36586</v>
      </c>
      <c r="B352" s="9">
        <v>106.3074</v>
      </c>
      <c r="C352" s="2">
        <f t="shared" si="5"/>
        <v>-2.3677806060537647</v>
      </c>
    </row>
    <row r="353" spans="1:3" x14ac:dyDescent="0.25">
      <c r="A353" s="1">
        <v>36617</v>
      </c>
      <c r="B353" s="9">
        <v>105.627</v>
      </c>
      <c r="C353" s="2">
        <f t="shared" si="5"/>
        <v>-2.38947428214377</v>
      </c>
    </row>
    <row r="354" spans="1:3" x14ac:dyDescent="0.25">
      <c r="A354" s="1">
        <v>36647</v>
      </c>
      <c r="B354" s="9">
        <v>108.3205</v>
      </c>
      <c r="C354" s="2">
        <f t="shared" si="5"/>
        <v>-2.3051915380745105</v>
      </c>
    </row>
    <row r="355" spans="1:3" x14ac:dyDescent="0.25">
      <c r="A355" s="1">
        <v>36678</v>
      </c>
      <c r="B355" s="9">
        <v>106.1255</v>
      </c>
      <c r="C355" s="2">
        <f t="shared" si="5"/>
        <v>-2.3735530103509523</v>
      </c>
    </row>
    <row r="356" spans="1:3" x14ac:dyDescent="0.25">
      <c r="A356" s="1">
        <v>36708</v>
      </c>
      <c r="B356" s="9">
        <v>108.2115</v>
      </c>
      <c r="C356" s="2">
        <f t="shared" si="5"/>
        <v>-2.3085208134070778</v>
      </c>
    </row>
    <row r="357" spans="1:3" x14ac:dyDescent="0.25">
      <c r="A357" s="1">
        <v>36739</v>
      </c>
      <c r="B357" s="9">
        <v>108.0804</v>
      </c>
      <c r="C357" s="2">
        <f t="shared" si="5"/>
        <v>-2.3125340024648318</v>
      </c>
    </row>
    <row r="358" spans="1:3" x14ac:dyDescent="0.25">
      <c r="A358" s="1">
        <v>36770</v>
      </c>
      <c r="B358" s="9">
        <v>106.83750000000001</v>
      </c>
      <c r="C358" s="2">
        <f t="shared" si="5"/>
        <v>-2.3510705510705505</v>
      </c>
    </row>
    <row r="359" spans="1:3" x14ac:dyDescent="0.25">
      <c r="A359" s="1">
        <v>36800</v>
      </c>
      <c r="B359" s="9">
        <v>108.44289999999999</v>
      </c>
      <c r="C359" s="2">
        <f t="shared" si="5"/>
        <v>-2.301460953183657</v>
      </c>
    </row>
    <row r="360" spans="1:3" x14ac:dyDescent="0.25">
      <c r="A360" s="1">
        <v>36831</v>
      </c>
      <c r="B360" s="9">
        <v>109.0095</v>
      </c>
      <c r="C360" s="2">
        <f t="shared" si="5"/>
        <v>-2.2843009095537541</v>
      </c>
    </row>
    <row r="361" spans="1:3" x14ac:dyDescent="0.25">
      <c r="A361" s="1">
        <v>36861</v>
      </c>
      <c r="B361" s="9">
        <v>112.209</v>
      </c>
      <c r="C361" s="2">
        <f t="shared" si="5"/>
        <v>-2.1906531561639437</v>
      </c>
    </row>
    <row r="362" spans="1:3" x14ac:dyDescent="0.25">
      <c r="A362" s="1">
        <v>36892</v>
      </c>
      <c r="B362" s="9">
        <v>116.67189999999999</v>
      </c>
      <c r="C362" s="2">
        <f t="shared" si="5"/>
        <v>-2.068605208280657</v>
      </c>
    </row>
    <row r="363" spans="1:3" x14ac:dyDescent="0.25">
      <c r="A363" s="1">
        <v>36923</v>
      </c>
      <c r="B363" s="9">
        <v>116.2337</v>
      </c>
      <c r="C363" s="2">
        <f t="shared" si="5"/>
        <v>-2.0801738222219543</v>
      </c>
    </row>
    <row r="364" spans="1:3" x14ac:dyDescent="0.25">
      <c r="A364" s="1">
        <v>36951</v>
      </c>
      <c r="B364" s="9">
        <v>121.505</v>
      </c>
      <c r="C364" s="2">
        <f t="shared" si="5"/>
        <v>-1.9465454096539236</v>
      </c>
    </row>
    <row r="365" spans="1:3" x14ac:dyDescent="0.25">
      <c r="A365" s="1">
        <v>36982</v>
      </c>
      <c r="B365" s="9">
        <v>123.771</v>
      </c>
      <c r="C365" s="2">
        <f t="shared" si="5"/>
        <v>-1.8926000436289598</v>
      </c>
    </row>
    <row r="366" spans="1:3" x14ac:dyDescent="0.25">
      <c r="A366" s="1">
        <v>37012</v>
      </c>
      <c r="B366" s="9">
        <v>121.76819999999999</v>
      </c>
      <c r="C366" s="2">
        <f t="shared" si="5"/>
        <v>-1.9401764992830639</v>
      </c>
    </row>
    <row r="367" spans="1:3" x14ac:dyDescent="0.25">
      <c r="A367" s="1">
        <v>37043</v>
      </c>
      <c r="B367" s="9">
        <v>122.351</v>
      </c>
      <c r="C367" s="2">
        <f t="shared" si="5"/>
        <v>-1.9261714248351054</v>
      </c>
    </row>
    <row r="368" spans="1:3" x14ac:dyDescent="0.25">
      <c r="A368" s="1">
        <v>37073</v>
      </c>
      <c r="B368" s="9">
        <v>124.49809999999999</v>
      </c>
      <c r="C368" s="2">
        <f t="shared" si="5"/>
        <v>-1.8757065368869084</v>
      </c>
    </row>
    <row r="369" spans="1:3" x14ac:dyDescent="0.25">
      <c r="A369" s="1">
        <v>37104</v>
      </c>
      <c r="B369" s="9">
        <v>121.367</v>
      </c>
      <c r="C369" s="2">
        <f t="shared" si="5"/>
        <v>-1.9498957706790145</v>
      </c>
    </row>
    <row r="370" spans="1:3" x14ac:dyDescent="0.25">
      <c r="A370" s="1">
        <v>37135</v>
      </c>
      <c r="B370" s="9">
        <v>118.6117</v>
      </c>
      <c r="C370" s="2">
        <f t="shared" si="5"/>
        <v>-2.0184206111201508</v>
      </c>
    </row>
    <row r="371" spans="1:3" x14ac:dyDescent="0.25">
      <c r="A371" s="1">
        <v>37165</v>
      </c>
      <c r="B371" s="9">
        <v>121.45359999999999</v>
      </c>
      <c r="C371" s="2">
        <f t="shared" si="5"/>
        <v>-1.9477924079648523</v>
      </c>
    </row>
    <row r="372" spans="1:3" x14ac:dyDescent="0.25">
      <c r="A372" s="1">
        <v>37196</v>
      </c>
      <c r="B372" s="9">
        <v>122.4055</v>
      </c>
      <c r="C372" s="2">
        <f t="shared" si="5"/>
        <v>-1.9248685720821368</v>
      </c>
    </row>
    <row r="373" spans="1:3" x14ac:dyDescent="0.25">
      <c r="A373" s="1">
        <v>37226</v>
      </c>
      <c r="B373" s="9">
        <v>127.5945</v>
      </c>
      <c r="C373" s="2">
        <f t="shared" si="5"/>
        <v>-1.8059203178820402</v>
      </c>
    </row>
    <row r="374" spans="1:3" x14ac:dyDescent="0.25">
      <c r="A374" s="1">
        <v>37257</v>
      </c>
      <c r="B374" s="9">
        <v>132.6833</v>
      </c>
      <c r="C374" s="2">
        <f t="shared" si="5"/>
        <v>-1.6983049110174377</v>
      </c>
    </row>
    <row r="375" spans="1:3" x14ac:dyDescent="0.25">
      <c r="A375" s="1">
        <v>37288</v>
      </c>
      <c r="B375" s="9">
        <v>133.64259999999999</v>
      </c>
      <c r="C375" s="2">
        <f t="shared" si="5"/>
        <v>-1.6789362074667808</v>
      </c>
    </row>
    <row r="376" spans="1:3" x14ac:dyDescent="0.25">
      <c r="A376" s="1">
        <v>37316</v>
      </c>
      <c r="B376" s="9">
        <v>131.06100000000001</v>
      </c>
      <c r="C376" s="2">
        <f t="shared" si="5"/>
        <v>-1.731705083892233</v>
      </c>
    </row>
    <row r="377" spans="1:3" x14ac:dyDescent="0.25">
      <c r="A377" s="1">
        <v>37347</v>
      </c>
      <c r="B377" s="9">
        <v>130.77180000000001</v>
      </c>
      <c r="C377" s="2">
        <f t="shared" si="5"/>
        <v>-1.7377462113391413</v>
      </c>
    </row>
    <row r="378" spans="1:3" x14ac:dyDescent="0.25">
      <c r="A378" s="1">
        <v>37377</v>
      </c>
      <c r="B378" s="9">
        <v>126.375</v>
      </c>
      <c r="C378" s="2">
        <f t="shared" si="5"/>
        <v>-1.8329970326409493</v>
      </c>
    </row>
    <row r="379" spans="1:3" x14ac:dyDescent="0.25">
      <c r="A379" s="1">
        <v>37408</v>
      </c>
      <c r="B379" s="9">
        <v>123.29049999999999</v>
      </c>
      <c r="C379" s="2">
        <f t="shared" si="5"/>
        <v>-1.9038733722387371</v>
      </c>
    </row>
    <row r="380" spans="1:3" x14ac:dyDescent="0.25">
      <c r="A380" s="1">
        <v>37438</v>
      </c>
      <c r="B380" s="9">
        <v>117.8991</v>
      </c>
      <c r="C380" s="2">
        <f t="shared" si="5"/>
        <v>-2.0366644020183355</v>
      </c>
    </row>
    <row r="381" spans="1:3" x14ac:dyDescent="0.25">
      <c r="A381" s="1">
        <v>37469</v>
      </c>
      <c r="B381" s="9">
        <v>118.9927</v>
      </c>
      <c r="C381" s="2">
        <f t="shared" si="5"/>
        <v>-2.008755999317605</v>
      </c>
    </row>
    <row r="382" spans="1:3" x14ac:dyDescent="0.25">
      <c r="A382" s="1">
        <v>37500</v>
      </c>
      <c r="B382" s="9">
        <v>121.078</v>
      </c>
      <c r="C382" s="2">
        <f t="shared" si="5"/>
        <v>-1.9569368506252167</v>
      </c>
    </row>
    <row r="383" spans="1:3" x14ac:dyDescent="0.25">
      <c r="A383" s="1">
        <v>37530</v>
      </c>
      <c r="B383" s="9">
        <v>123.90770000000001</v>
      </c>
      <c r="C383" s="2">
        <f t="shared" si="5"/>
        <v>-1.8894088099448214</v>
      </c>
    </row>
    <row r="384" spans="1:3" x14ac:dyDescent="0.25">
      <c r="A384" s="1">
        <v>37561</v>
      </c>
      <c r="B384" s="9">
        <v>121.6079</v>
      </c>
      <c r="C384" s="2">
        <f t="shared" si="5"/>
        <v>-1.9440521545064096</v>
      </c>
    </row>
    <row r="385" spans="1:3" x14ac:dyDescent="0.25">
      <c r="A385" s="1">
        <v>37591</v>
      </c>
      <c r="B385" s="9">
        <v>121.8929</v>
      </c>
      <c r="C385" s="2">
        <f t="shared" si="5"/>
        <v>-1.9371686127740007</v>
      </c>
    </row>
    <row r="386" spans="1:3" x14ac:dyDescent="0.25">
      <c r="A386" s="1">
        <v>37622</v>
      </c>
      <c r="B386" s="9">
        <v>118.8133</v>
      </c>
      <c r="C386" s="2">
        <f t="shared" ref="C386:C449" si="6">1-(B$2/B386)</f>
        <v>-2.0132990161875814</v>
      </c>
    </row>
    <row r="387" spans="1:3" x14ac:dyDescent="0.25">
      <c r="A387" s="1">
        <v>37653</v>
      </c>
      <c r="B387" s="9">
        <v>119.3379</v>
      </c>
      <c r="C387" s="2">
        <f t="shared" si="6"/>
        <v>-2.0000527912758641</v>
      </c>
    </row>
    <row r="388" spans="1:3" x14ac:dyDescent="0.25">
      <c r="A388" s="1">
        <v>37681</v>
      </c>
      <c r="B388" s="9">
        <v>118.6871</v>
      </c>
      <c r="C388" s="2">
        <f t="shared" si="6"/>
        <v>-2.0165030571982969</v>
      </c>
    </row>
    <row r="389" spans="1:3" x14ac:dyDescent="0.25">
      <c r="A389" s="1">
        <v>37712</v>
      </c>
      <c r="B389" s="9">
        <v>119.895</v>
      </c>
      <c r="C389" s="2">
        <f t="shared" si="6"/>
        <v>-1.9861128487426498</v>
      </c>
    </row>
    <row r="390" spans="1:3" x14ac:dyDescent="0.25">
      <c r="A390" s="1">
        <v>37742</v>
      </c>
      <c r="B390" s="9">
        <v>117.3681</v>
      </c>
      <c r="C390" s="2">
        <f t="shared" si="6"/>
        <v>-2.0504029629856833</v>
      </c>
    </row>
    <row r="391" spans="1:3" x14ac:dyDescent="0.25">
      <c r="A391" s="1">
        <v>37773</v>
      </c>
      <c r="B391" s="9">
        <v>118.32899999999999</v>
      </c>
      <c r="C391" s="2">
        <f t="shared" si="6"/>
        <v>-2.0256319245493497</v>
      </c>
    </row>
    <row r="392" spans="1:3" x14ac:dyDescent="0.25">
      <c r="A392" s="1">
        <v>37803</v>
      </c>
      <c r="B392" s="9">
        <v>118.69589999999999</v>
      </c>
      <c r="C392" s="2">
        <f t="shared" si="6"/>
        <v>-2.0162794165594597</v>
      </c>
    </row>
    <row r="393" spans="1:3" x14ac:dyDescent="0.25">
      <c r="A393" s="1">
        <v>37834</v>
      </c>
      <c r="B393" s="9">
        <v>118.66240000000001</v>
      </c>
      <c r="C393" s="2">
        <f t="shared" si="6"/>
        <v>-2.0171309530230297</v>
      </c>
    </row>
    <row r="394" spans="1:3" x14ac:dyDescent="0.25">
      <c r="A394" s="1">
        <v>37865</v>
      </c>
      <c r="B394" s="9">
        <v>114.8</v>
      </c>
      <c r="C394" s="2">
        <f t="shared" si="6"/>
        <v>-2.1186411149825783</v>
      </c>
    </row>
    <row r="395" spans="1:3" x14ac:dyDescent="0.25">
      <c r="A395" s="1">
        <v>37895</v>
      </c>
      <c r="B395" s="9">
        <v>109.49550000000001</v>
      </c>
      <c r="C395" s="2">
        <f t="shared" si="6"/>
        <v>-2.2697234132909569</v>
      </c>
    </row>
    <row r="396" spans="1:3" x14ac:dyDescent="0.25">
      <c r="A396" s="1">
        <v>37926</v>
      </c>
      <c r="B396" s="9">
        <v>109.1778</v>
      </c>
      <c r="C396" s="2">
        <f t="shared" si="6"/>
        <v>-2.2792380868638125</v>
      </c>
    </row>
    <row r="397" spans="1:3" x14ac:dyDescent="0.25">
      <c r="A397" s="1">
        <v>37956</v>
      </c>
      <c r="B397" s="9">
        <v>107.7377</v>
      </c>
      <c r="C397" s="2">
        <f t="shared" si="6"/>
        <v>-2.3230707542485125</v>
      </c>
    </row>
    <row r="398" spans="1:3" x14ac:dyDescent="0.25">
      <c r="A398" s="1">
        <v>37987</v>
      </c>
      <c r="B398" s="9">
        <v>106.2685</v>
      </c>
      <c r="C398" s="2">
        <f t="shared" si="6"/>
        <v>-2.3690133953146977</v>
      </c>
    </row>
    <row r="399" spans="1:3" x14ac:dyDescent="0.25">
      <c r="A399" s="1">
        <v>38018</v>
      </c>
      <c r="B399" s="9">
        <v>106.7079</v>
      </c>
      <c r="C399" s="2">
        <f t="shared" si="6"/>
        <v>-2.3551405284894558</v>
      </c>
    </row>
    <row r="400" spans="1:3" x14ac:dyDescent="0.25">
      <c r="A400" s="1">
        <v>38047</v>
      </c>
      <c r="B400" s="9">
        <v>108.5157</v>
      </c>
      <c r="C400" s="2">
        <f t="shared" si="6"/>
        <v>-2.2992460998731059</v>
      </c>
    </row>
    <row r="401" spans="1:3" x14ac:dyDescent="0.25">
      <c r="A401" s="1">
        <v>38078</v>
      </c>
      <c r="B401" s="9">
        <v>107.6564</v>
      </c>
      <c r="C401" s="2">
        <f t="shared" si="6"/>
        <v>-2.3255802720507091</v>
      </c>
    </row>
    <row r="402" spans="1:3" x14ac:dyDescent="0.25">
      <c r="A402" s="1">
        <v>38108</v>
      </c>
      <c r="B402" s="9">
        <v>112.196</v>
      </c>
      <c r="C402" s="2">
        <f t="shared" si="6"/>
        <v>-2.1910228528646298</v>
      </c>
    </row>
    <row r="403" spans="1:3" x14ac:dyDescent="0.25">
      <c r="A403" s="1">
        <v>38139</v>
      </c>
      <c r="B403" s="9">
        <v>109.4336</v>
      </c>
      <c r="C403" s="2">
        <f t="shared" si="6"/>
        <v>-2.2715728989999415</v>
      </c>
    </row>
    <row r="404" spans="1:3" x14ac:dyDescent="0.25">
      <c r="A404" s="1">
        <v>38169</v>
      </c>
      <c r="B404" s="9">
        <v>109.4871</v>
      </c>
      <c r="C404" s="2">
        <f t="shared" si="6"/>
        <v>-2.2699742709415083</v>
      </c>
    </row>
    <row r="405" spans="1:3" x14ac:dyDescent="0.25">
      <c r="A405" s="1">
        <v>38200</v>
      </c>
      <c r="B405" s="9">
        <v>110.2336</v>
      </c>
      <c r="C405" s="2">
        <f t="shared" si="6"/>
        <v>-2.2478300627032048</v>
      </c>
    </row>
    <row r="406" spans="1:3" x14ac:dyDescent="0.25">
      <c r="A406" s="1">
        <v>38231</v>
      </c>
      <c r="B406" s="9">
        <v>110.09139999999999</v>
      </c>
      <c r="C406" s="2">
        <f t="shared" si="6"/>
        <v>-2.2520251354783389</v>
      </c>
    </row>
    <row r="407" spans="1:3" x14ac:dyDescent="0.25">
      <c r="A407" s="1">
        <v>38261</v>
      </c>
      <c r="B407" s="9">
        <v>108.7835</v>
      </c>
      <c r="C407" s="2">
        <f t="shared" si="6"/>
        <v>-2.2911241134914757</v>
      </c>
    </row>
    <row r="408" spans="1:3" x14ac:dyDescent="0.25">
      <c r="A408" s="1">
        <v>38292</v>
      </c>
      <c r="B408" s="9">
        <v>104.699</v>
      </c>
      <c r="C408" s="2">
        <f t="shared" si="6"/>
        <v>-2.4195169008299984</v>
      </c>
    </row>
    <row r="409" spans="1:3" x14ac:dyDescent="0.25">
      <c r="A409" s="1">
        <v>38322</v>
      </c>
      <c r="B409" s="9">
        <v>103.8104</v>
      </c>
      <c r="C409" s="2">
        <f t="shared" si="6"/>
        <v>-2.4487874047301617</v>
      </c>
    </row>
    <row r="410" spans="1:3" x14ac:dyDescent="0.25">
      <c r="A410" s="1">
        <v>38353</v>
      </c>
      <c r="B410" s="9">
        <v>103.34099999999999</v>
      </c>
      <c r="C410" s="2">
        <f t="shared" si="6"/>
        <v>-2.4644526373849684</v>
      </c>
    </row>
    <row r="411" spans="1:3" x14ac:dyDescent="0.25">
      <c r="A411" s="1">
        <v>38384</v>
      </c>
      <c r="B411" s="9">
        <v>104.9442</v>
      </c>
      <c r="C411" s="2">
        <f t="shared" si="6"/>
        <v>-2.4115272687771214</v>
      </c>
    </row>
    <row r="412" spans="1:3" x14ac:dyDescent="0.25">
      <c r="A412" s="1">
        <v>38412</v>
      </c>
      <c r="B412" s="9">
        <v>105.2543</v>
      </c>
      <c r="C412" s="2">
        <f t="shared" si="6"/>
        <v>-2.4014762342251097</v>
      </c>
    </row>
    <row r="413" spans="1:3" x14ac:dyDescent="0.25">
      <c r="A413" s="1">
        <v>38443</v>
      </c>
      <c r="B413" s="9">
        <v>107.1938</v>
      </c>
      <c r="C413" s="2">
        <f t="shared" si="6"/>
        <v>-2.3399319736775821</v>
      </c>
    </row>
    <row r="414" spans="1:3" x14ac:dyDescent="0.25">
      <c r="A414" s="1">
        <v>38473</v>
      </c>
      <c r="B414" s="9">
        <v>106.59520000000001</v>
      </c>
      <c r="C414" s="2">
        <f t="shared" si="6"/>
        <v>-2.3586878208399624</v>
      </c>
    </row>
    <row r="415" spans="1:3" x14ac:dyDescent="0.25">
      <c r="A415" s="1">
        <v>38504</v>
      </c>
      <c r="B415" s="9">
        <v>108.7473</v>
      </c>
      <c r="C415" s="2">
        <f t="shared" si="6"/>
        <v>-2.2922196689021246</v>
      </c>
    </row>
    <row r="416" spans="1:3" x14ac:dyDescent="0.25">
      <c r="A416" s="1">
        <v>38534</v>
      </c>
      <c r="B416" s="9">
        <v>111.95350000000001</v>
      </c>
      <c r="C416" s="2">
        <f t="shared" si="6"/>
        <v>-2.1979348568825445</v>
      </c>
    </row>
    <row r="417" spans="1:3" x14ac:dyDescent="0.25">
      <c r="A417" s="1">
        <v>38565</v>
      </c>
      <c r="B417" s="9">
        <v>110.6065</v>
      </c>
      <c r="C417" s="2">
        <f t="shared" si="6"/>
        <v>-2.236880291845416</v>
      </c>
    </row>
    <row r="418" spans="1:3" x14ac:dyDescent="0.25">
      <c r="A418" s="1">
        <v>38596</v>
      </c>
      <c r="B418" s="9">
        <v>111.239</v>
      </c>
      <c r="C418" s="2">
        <f t="shared" si="6"/>
        <v>-2.2184755346596066</v>
      </c>
    </row>
    <row r="419" spans="1:3" x14ac:dyDescent="0.25">
      <c r="A419" s="1">
        <v>38626</v>
      </c>
      <c r="B419" s="9">
        <v>114.8695</v>
      </c>
      <c r="C419" s="2">
        <f t="shared" si="6"/>
        <v>-2.1167542297999034</v>
      </c>
    </row>
    <row r="420" spans="1:3" x14ac:dyDescent="0.25">
      <c r="A420" s="1">
        <v>38657</v>
      </c>
      <c r="B420" s="9">
        <v>118.45399999999999</v>
      </c>
      <c r="C420" s="2">
        <f t="shared" si="6"/>
        <v>-2.0224390902797711</v>
      </c>
    </row>
    <row r="421" spans="1:3" x14ac:dyDescent="0.25">
      <c r="A421" s="1">
        <v>38687</v>
      </c>
      <c r="B421" s="9">
        <v>118.4624</v>
      </c>
      <c r="C421" s="2">
        <f t="shared" si="6"/>
        <v>-2.022224773430219</v>
      </c>
    </row>
    <row r="422" spans="1:3" x14ac:dyDescent="0.25">
      <c r="A422" s="1">
        <v>38718</v>
      </c>
      <c r="B422" s="9">
        <v>115.4765</v>
      </c>
      <c r="C422" s="2">
        <f t="shared" si="6"/>
        <v>-2.1003710711703243</v>
      </c>
    </row>
    <row r="423" spans="1:3" x14ac:dyDescent="0.25">
      <c r="A423" s="1">
        <v>38749</v>
      </c>
      <c r="B423" s="9">
        <v>117.8605</v>
      </c>
      <c r="C423" s="2">
        <f t="shared" si="6"/>
        <v>-2.0376589272911616</v>
      </c>
    </row>
    <row r="424" spans="1:3" x14ac:dyDescent="0.25">
      <c r="A424" s="1">
        <v>38777</v>
      </c>
      <c r="B424" s="9">
        <v>117.2778</v>
      </c>
      <c r="C424" s="2">
        <f t="shared" si="6"/>
        <v>-2.0527516716718766</v>
      </c>
    </row>
    <row r="425" spans="1:3" x14ac:dyDescent="0.25">
      <c r="A425" s="1">
        <v>38808</v>
      </c>
      <c r="B425" s="9">
        <v>117.06950000000001</v>
      </c>
      <c r="C425" s="2">
        <f t="shared" si="6"/>
        <v>-2.0581833867916064</v>
      </c>
    </row>
    <row r="426" spans="1:3" x14ac:dyDescent="0.25">
      <c r="A426" s="1">
        <v>38838</v>
      </c>
      <c r="B426" s="9">
        <v>111.73050000000001</v>
      </c>
      <c r="C426" s="2">
        <f t="shared" si="6"/>
        <v>-2.204317531918321</v>
      </c>
    </row>
    <row r="427" spans="1:3" x14ac:dyDescent="0.25">
      <c r="A427" s="1">
        <v>38869</v>
      </c>
      <c r="B427" s="9">
        <v>114.625</v>
      </c>
      <c r="C427" s="2">
        <f t="shared" si="6"/>
        <v>-2.1234023991275897</v>
      </c>
    </row>
    <row r="428" spans="1:3" x14ac:dyDescent="0.25">
      <c r="A428" s="1">
        <v>38899</v>
      </c>
      <c r="B428" s="9">
        <v>115.767</v>
      </c>
      <c r="C428" s="2">
        <f t="shared" si="6"/>
        <v>-2.0925911529192258</v>
      </c>
    </row>
    <row r="429" spans="1:3" x14ac:dyDescent="0.25">
      <c r="A429" s="1">
        <v>38930</v>
      </c>
      <c r="B429" s="9">
        <v>115.9243</v>
      </c>
      <c r="C429" s="2">
        <f t="shared" si="6"/>
        <v>-2.0883947541628456</v>
      </c>
    </row>
    <row r="430" spans="1:3" x14ac:dyDescent="0.25">
      <c r="A430" s="1">
        <v>38961</v>
      </c>
      <c r="B430" s="9">
        <v>117.2145</v>
      </c>
      <c r="C430" s="2">
        <f t="shared" si="6"/>
        <v>-2.0544002661786722</v>
      </c>
    </row>
    <row r="431" spans="1:3" x14ac:dyDescent="0.25">
      <c r="A431" s="1">
        <v>38991</v>
      </c>
      <c r="B431" s="9">
        <v>118.60899999999999</v>
      </c>
      <c r="C431" s="2">
        <f t="shared" si="6"/>
        <v>-2.018489322058191</v>
      </c>
    </row>
    <row r="432" spans="1:3" x14ac:dyDescent="0.25">
      <c r="A432" s="1">
        <v>39022</v>
      </c>
      <c r="B432" s="9">
        <v>117.3205</v>
      </c>
      <c r="C432" s="2">
        <f t="shared" si="6"/>
        <v>-2.0516405913714992</v>
      </c>
    </row>
    <row r="433" spans="1:3" x14ac:dyDescent="0.25">
      <c r="A433" s="1">
        <v>39052</v>
      </c>
      <c r="B433" s="9">
        <v>117.322</v>
      </c>
      <c r="C433" s="2">
        <f t="shared" si="6"/>
        <v>-2.0516015751521453</v>
      </c>
    </row>
    <row r="434" spans="1:3" x14ac:dyDescent="0.25">
      <c r="A434" s="1">
        <v>39083</v>
      </c>
      <c r="B434" s="9">
        <v>120.44710000000001</v>
      </c>
      <c r="C434" s="2">
        <f t="shared" si="6"/>
        <v>-1.9724252389638268</v>
      </c>
    </row>
    <row r="435" spans="1:3" x14ac:dyDescent="0.25">
      <c r="A435" s="1">
        <v>39114</v>
      </c>
      <c r="B435" s="9">
        <v>120.5047</v>
      </c>
      <c r="C435" s="2">
        <f t="shared" si="6"/>
        <v>-1.9710044504488207</v>
      </c>
    </row>
    <row r="436" spans="1:3" x14ac:dyDescent="0.25">
      <c r="A436" s="1">
        <v>39142</v>
      </c>
      <c r="B436" s="9">
        <v>117.26</v>
      </c>
      <c r="C436" s="2">
        <f t="shared" si="6"/>
        <v>-2.0532150776053211</v>
      </c>
    </row>
    <row r="437" spans="1:3" x14ac:dyDescent="0.25">
      <c r="A437" s="1">
        <v>39173</v>
      </c>
      <c r="B437" s="9">
        <v>118.9324</v>
      </c>
      <c r="C437" s="2">
        <f t="shared" si="6"/>
        <v>-2.0102814708187169</v>
      </c>
    </row>
    <row r="438" spans="1:3" x14ac:dyDescent="0.25">
      <c r="A438" s="1">
        <v>39203</v>
      </c>
      <c r="B438" s="9">
        <v>120.7732</v>
      </c>
      <c r="C438" s="2">
        <f t="shared" si="6"/>
        <v>-1.9643993866188856</v>
      </c>
    </row>
    <row r="439" spans="1:3" x14ac:dyDescent="0.25">
      <c r="A439" s="1">
        <v>39234</v>
      </c>
      <c r="B439" s="9">
        <v>122.68859999999999</v>
      </c>
      <c r="C439" s="2">
        <f t="shared" si="6"/>
        <v>-1.9181195318880482</v>
      </c>
    </row>
    <row r="440" spans="1:3" x14ac:dyDescent="0.25">
      <c r="A440" s="1">
        <v>39264</v>
      </c>
      <c r="B440" s="9">
        <v>121.4148</v>
      </c>
      <c r="C440" s="2">
        <f t="shared" si="6"/>
        <v>-1.948734421174354</v>
      </c>
    </row>
    <row r="441" spans="1:3" x14ac:dyDescent="0.25">
      <c r="A441" s="1">
        <v>39295</v>
      </c>
      <c r="B441" s="9">
        <v>116.73350000000001</v>
      </c>
      <c r="C441" s="2">
        <f t="shared" si="6"/>
        <v>-2.0669859123559213</v>
      </c>
    </row>
    <row r="442" spans="1:3" x14ac:dyDescent="0.25">
      <c r="A442" s="1">
        <v>39326</v>
      </c>
      <c r="B442" s="9">
        <v>115.04349999999999</v>
      </c>
      <c r="C442" s="2">
        <f t="shared" si="6"/>
        <v>-2.1120402282614839</v>
      </c>
    </row>
    <row r="443" spans="1:3" x14ac:dyDescent="0.25">
      <c r="A443" s="1">
        <v>39356</v>
      </c>
      <c r="B443" s="9">
        <v>115.8661</v>
      </c>
      <c r="C443" s="2">
        <f t="shared" si="6"/>
        <v>-2.0899460670549881</v>
      </c>
    </row>
    <row r="444" spans="1:3" x14ac:dyDescent="0.25">
      <c r="A444" s="1">
        <v>39387</v>
      </c>
      <c r="B444" s="9">
        <v>111.0729</v>
      </c>
      <c r="C444" s="2">
        <f t="shared" si="6"/>
        <v>-2.2232884889113365</v>
      </c>
    </row>
    <row r="445" spans="1:3" x14ac:dyDescent="0.25">
      <c r="A445" s="1">
        <v>39417</v>
      </c>
      <c r="B445" s="9">
        <v>112.449</v>
      </c>
      <c r="C445" s="2">
        <f t="shared" si="6"/>
        <v>-2.1838433423151828</v>
      </c>
    </row>
    <row r="446" spans="1:3" x14ac:dyDescent="0.25">
      <c r="A446" s="1">
        <v>39448</v>
      </c>
      <c r="B446" s="9">
        <v>107.8181</v>
      </c>
      <c r="C446" s="2">
        <f t="shared" si="6"/>
        <v>-2.3205927390670023</v>
      </c>
    </row>
    <row r="447" spans="1:3" x14ac:dyDescent="0.25">
      <c r="A447" s="1">
        <v>39479</v>
      </c>
      <c r="B447" s="9">
        <v>107.03</v>
      </c>
      <c r="C447" s="2">
        <f t="shared" si="6"/>
        <v>-2.3450434457628702</v>
      </c>
    </row>
    <row r="448" spans="1:3" x14ac:dyDescent="0.25">
      <c r="A448" s="1">
        <v>39508</v>
      </c>
      <c r="B448" s="9">
        <v>100.75620000000001</v>
      </c>
      <c r="C448" s="2">
        <f t="shared" si="6"/>
        <v>-2.5533297206524259</v>
      </c>
    </row>
    <row r="449" spans="1:3" x14ac:dyDescent="0.25">
      <c r="A449" s="1">
        <v>39539</v>
      </c>
      <c r="B449" s="9">
        <v>102.6777</v>
      </c>
      <c r="C449" s="2">
        <f t="shared" si="6"/>
        <v>-2.4868330708615405</v>
      </c>
    </row>
    <row r="450" spans="1:3" x14ac:dyDescent="0.25">
      <c r="A450" s="1">
        <v>39569</v>
      </c>
      <c r="B450" s="9">
        <v>104.3595</v>
      </c>
      <c r="C450" s="2">
        <f t="shared" ref="C450:C513" si="7">1-(B$2/B450)</f>
        <v>-2.4306411970160839</v>
      </c>
    </row>
    <row r="451" spans="1:3" x14ac:dyDescent="0.25">
      <c r="A451" s="1">
        <v>39600</v>
      </c>
      <c r="B451" s="9">
        <v>106.9152</v>
      </c>
      <c r="C451" s="2">
        <f t="shared" si="7"/>
        <v>-2.348635180030529</v>
      </c>
    </row>
    <row r="452" spans="1:3" x14ac:dyDescent="0.25">
      <c r="A452" s="1">
        <v>39630</v>
      </c>
      <c r="B452" s="9">
        <v>106.8518</v>
      </c>
      <c r="C452" s="2">
        <f t="shared" si="7"/>
        <v>-2.3506220765583734</v>
      </c>
    </row>
    <row r="453" spans="1:3" x14ac:dyDescent="0.25">
      <c r="A453" s="1">
        <v>39661</v>
      </c>
      <c r="B453" s="9">
        <v>109.36239999999999</v>
      </c>
      <c r="C453" s="2">
        <f t="shared" si="7"/>
        <v>-2.2737028448534415</v>
      </c>
    </row>
    <row r="454" spans="1:3" x14ac:dyDescent="0.25">
      <c r="A454" s="1">
        <v>39692</v>
      </c>
      <c r="B454" s="9">
        <v>106.5748</v>
      </c>
      <c r="C454" s="2">
        <f t="shared" si="7"/>
        <v>-2.3593307235856882</v>
      </c>
    </row>
    <row r="455" spans="1:3" x14ac:dyDescent="0.25">
      <c r="A455" s="1">
        <v>39722</v>
      </c>
      <c r="B455" s="9">
        <v>99.965900000000005</v>
      </c>
      <c r="C455" s="2">
        <f t="shared" si="7"/>
        <v>-2.5814212646512456</v>
      </c>
    </row>
    <row r="456" spans="1:3" x14ac:dyDescent="0.25">
      <c r="A456" s="1">
        <v>39753</v>
      </c>
      <c r="B456" s="9">
        <v>96.965599999999995</v>
      </c>
      <c r="C456" s="2">
        <f t="shared" si="7"/>
        <v>-2.6922372470236868</v>
      </c>
    </row>
    <row r="457" spans="1:3" x14ac:dyDescent="0.25">
      <c r="A457" s="1">
        <v>39783</v>
      </c>
      <c r="B457" s="9">
        <v>91.275000000000006</v>
      </c>
      <c r="C457" s="2">
        <f t="shared" si="7"/>
        <v>-2.9224322103533273</v>
      </c>
    </row>
    <row r="458" spans="1:3" x14ac:dyDescent="0.25">
      <c r="A458" s="1">
        <v>39814</v>
      </c>
      <c r="B458" s="9">
        <v>90.120500000000007</v>
      </c>
      <c r="C458" s="2">
        <f t="shared" si="7"/>
        <v>-2.972681021521185</v>
      </c>
    </row>
    <row r="459" spans="1:3" x14ac:dyDescent="0.25">
      <c r="A459" s="1">
        <v>39845</v>
      </c>
      <c r="B459" s="9">
        <v>92.915800000000004</v>
      </c>
      <c r="C459" s="2">
        <f t="shared" si="7"/>
        <v>-2.8531659846872111</v>
      </c>
    </row>
    <row r="460" spans="1:3" x14ac:dyDescent="0.25">
      <c r="A460" s="1">
        <v>39873</v>
      </c>
      <c r="B460" s="9">
        <v>97.855000000000004</v>
      </c>
      <c r="C460" s="2">
        <f t="shared" si="7"/>
        <v>-2.6586786571968726</v>
      </c>
    </row>
    <row r="461" spans="1:3" x14ac:dyDescent="0.25">
      <c r="A461" s="1">
        <v>39904</v>
      </c>
      <c r="B461" s="9">
        <v>98.92</v>
      </c>
      <c r="C461" s="2">
        <f t="shared" si="7"/>
        <v>-2.6192883137889202</v>
      </c>
    </row>
    <row r="462" spans="1:3" x14ac:dyDescent="0.25">
      <c r="A462" s="1">
        <v>39934</v>
      </c>
      <c r="B462" s="9">
        <v>96.644499999999994</v>
      </c>
      <c r="C462" s="2">
        <f t="shared" si="7"/>
        <v>-2.7045046536533377</v>
      </c>
    </row>
    <row r="463" spans="1:3" x14ac:dyDescent="0.25">
      <c r="A463" s="1">
        <v>39965</v>
      </c>
      <c r="B463" s="9">
        <v>96.614500000000007</v>
      </c>
      <c r="C463" s="2">
        <f t="shared" si="7"/>
        <v>-2.7056549482738093</v>
      </c>
    </row>
    <row r="464" spans="1:3" x14ac:dyDescent="0.25">
      <c r="A464" s="1">
        <v>39995</v>
      </c>
      <c r="B464" s="9">
        <v>94.367000000000004</v>
      </c>
      <c r="C464" s="2">
        <f t="shared" si="7"/>
        <v>-2.7939110070257609</v>
      </c>
    </row>
    <row r="465" spans="1:3" x14ac:dyDescent="0.25">
      <c r="A465" s="1">
        <v>40026</v>
      </c>
      <c r="B465" s="9">
        <v>94.897099999999995</v>
      </c>
      <c r="C465" s="2">
        <f t="shared" si="7"/>
        <v>-2.7727180282642991</v>
      </c>
    </row>
    <row r="466" spans="1:3" x14ac:dyDescent="0.25">
      <c r="A466" s="1">
        <v>40057</v>
      </c>
      <c r="B466" s="9">
        <v>91.274799999999999</v>
      </c>
      <c r="C466" s="2">
        <f t="shared" si="7"/>
        <v>-2.9224408051291264</v>
      </c>
    </row>
    <row r="467" spans="1:3" x14ac:dyDescent="0.25">
      <c r="A467" s="1">
        <v>40087</v>
      </c>
      <c r="B467" s="9">
        <v>90.367099999999994</v>
      </c>
      <c r="C467" s="2">
        <f t="shared" si="7"/>
        <v>-2.9618400944591561</v>
      </c>
    </row>
    <row r="468" spans="1:3" x14ac:dyDescent="0.25">
      <c r="A468" s="1">
        <v>40118</v>
      </c>
      <c r="B468" s="9">
        <v>89.267399999999995</v>
      </c>
      <c r="C468" s="2">
        <f t="shared" si="7"/>
        <v>-3.010646663843688</v>
      </c>
    </row>
    <row r="469" spans="1:3" x14ac:dyDescent="0.25">
      <c r="A469" s="1">
        <v>40148</v>
      </c>
      <c r="B469" s="9">
        <v>89.950900000000004</v>
      </c>
      <c r="C469" s="2">
        <f t="shared" si="7"/>
        <v>-2.9801714046218546</v>
      </c>
    </row>
    <row r="470" spans="1:3" x14ac:dyDescent="0.25">
      <c r="A470" s="1">
        <v>40179</v>
      </c>
      <c r="B470" s="9">
        <v>91.101100000000002</v>
      </c>
      <c r="C470" s="2">
        <f t="shared" si="7"/>
        <v>-2.9299196167774042</v>
      </c>
    </row>
    <row r="471" spans="1:3" x14ac:dyDescent="0.25">
      <c r="A471" s="1">
        <v>40210</v>
      </c>
      <c r="B471" s="9">
        <v>90.139499999999998</v>
      </c>
      <c r="C471" s="2">
        <f t="shared" si="7"/>
        <v>-2.9718436423543508</v>
      </c>
    </row>
    <row r="472" spans="1:3" x14ac:dyDescent="0.25">
      <c r="A472" s="1">
        <v>40238</v>
      </c>
      <c r="B472" s="9">
        <v>90.716099999999997</v>
      </c>
      <c r="C472" s="2">
        <f t="shared" si="7"/>
        <v>-2.946598233389663</v>
      </c>
    </row>
    <row r="473" spans="1:3" x14ac:dyDescent="0.25">
      <c r="A473" s="1">
        <v>40269</v>
      </c>
      <c r="B473" s="9">
        <v>93.452699999999993</v>
      </c>
      <c r="C473" s="2">
        <f t="shared" si="7"/>
        <v>-2.8310289590348914</v>
      </c>
    </row>
    <row r="474" spans="1:3" x14ac:dyDescent="0.25">
      <c r="A474" s="1">
        <v>40299</v>
      </c>
      <c r="B474" s="9">
        <v>91.972999999999999</v>
      </c>
      <c r="C474" s="2">
        <f t="shared" si="7"/>
        <v>-2.8926641514357474</v>
      </c>
    </row>
    <row r="475" spans="1:3" x14ac:dyDescent="0.25">
      <c r="A475" s="1">
        <v>40330</v>
      </c>
      <c r="B475" s="9">
        <v>90.805899999999994</v>
      </c>
      <c r="C475" s="2">
        <f t="shared" si="7"/>
        <v>-2.9426953534957532</v>
      </c>
    </row>
    <row r="476" spans="1:3" x14ac:dyDescent="0.25">
      <c r="A476" s="1">
        <v>40360</v>
      </c>
      <c r="B476" s="9">
        <v>87.500500000000002</v>
      </c>
      <c r="C476" s="2">
        <f t="shared" si="7"/>
        <v>-3.0916337620927878</v>
      </c>
    </row>
    <row r="477" spans="1:3" x14ac:dyDescent="0.25">
      <c r="A477" s="1">
        <v>40391</v>
      </c>
      <c r="B477" s="9">
        <v>85.372699999999995</v>
      </c>
      <c r="C477" s="2">
        <f t="shared" si="7"/>
        <v>-3.1936122437266246</v>
      </c>
    </row>
    <row r="478" spans="1:3" x14ac:dyDescent="0.25">
      <c r="A478" s="1">
        <v>40422</v>
      </c>
      <c r="B478" s="9">
        <v>84.357100000000003</v>
      </c>
      <c r="C478" s="2">
        <f t="shared" si="7"/>
        <v>-3.2441003780357551</v>
      </c>
    </row>
    <row r="479" spans="1:3" x14ac:dyDescent="0.25">
      <c r="A479" s="1">
        <v>40452</v>
      </c>
      <c r="B479" s="9">
        <v>81.728499999999997</v>
      </c>
      <c r="C479" s="2">
        <f t="shared" si="7"/>
        <v>-3.3806016261157366</v>
      </c>
    </row>
    <row r="480" spans="1:3" x14ac:dyDescent="0.25">
      <c r="A480" s="1">
        <v>40483</v>
      </c>
      <c r="B480" s="9">
        <v>82.518000000000001</v>
      </c>
      <c r="C480" s="2">
        <f t="shared" si="7"/>
        <v>-3.3386897404202713</v>
      </c>
    </row>
    <row r="481" spans="1:3" x14ac:dyDescent="0.25">
      <c r="A481" s="1">
        <v>40513</v>
      </c>
      <c r="B481" s="9">
        <v>83.337599999999995</v>
      </c>
      <c r="C481" s="2">
        <f t="shared" si="7"/>
        <v>-3.2960200437737592</v>
      </c>
    </row>
    <row r="482" spans="1:3" x14ac:dyDescent="0.25">
      <c r="A482" s="1">
        <v>40544</v>
      </c>
      <c r="B482" s="9">
        <v>82.625</v>
      </c>
      <c r="C482" s="2">
        <f t="shared" si="7"/>
        <v>-3.333071104387292</v>
      </c>
    </row>
    <row r="483" spans="1:3" x14ac:dyDescent="0.25">
      <c r="A483" s="1">
        <v>40575</v>
      </c>
      <c r="B483" s="9">
        <v>82.536799999999999</v>
      </c>
      <c r="C483" s="2">
        <f t="shared" si="7"/>
        <v>-3.3377014858826604</v>
      </c>
    </row>
    <row r="484" spans="1:3" x14ac:dyDescent="0.25">
      <c r="A484" s="1">
        <v>40603</v>
      </c>
      <c r="B484" s="9">
        <v>81.647000000000006</v>
      </c>
      <c r="C484" s="2">
        <f t="shared" si="7"/>
        <v>-3.3849743407596113</v>
      </c>
    </row>
    <row r="485" spans="1:3" x14ac:dyDescent="0.25">
      <c r="A485" s="1">
        <v>40634</v>
      </c>
      <c r="B485" s="9">
        <v>83.177099999999996</v>
      </c>
      <c r="C485" s="2">
        <f t="shared" si="7"/>
        <v>-3.3043097198627986</v>
      </c>
    </row>
    <row r="486" spans="1:3" x14ac:dyDescent="0.25">
      <c r="A486" s="1">
        <v>40664</v>
      </c>
      <c r="B486" s="9">
        <v>81.125699999999995</v>
      </c>
      <c r="C486" s="2">
        <f t="shared" si="7"/>
        <v>-3.4131514427610483</v>
      </c>
    </row>
    <row r="487" spans="1:3" x14ac:dyDescent="0.25">
      <c r="A487" s="1">
        <v>40695</v>
      </c>
      <c r="B487" s="9">
        <v>80.425899999999999</v>
      </c>
      <c r="C487" s="2">
        <f t="shared" si="7"/>
        <v>-3.4515510550705679</v>
      </c>
    </row>
    <row r="488" spans="1:3" x14ac:dyDescent="0.25">
      <c r="A488" s="1">
        <v>40725</v>
      </c>
      <c r="B488" s="9">
        <v>79.242500000000007</v>
      </c>
      <c r="C488" s="2">
        <f t="shared" si="7"/>
        <v>-3.5180300974855658</v>
      </c>
    </row>
    <row r="489" spans="1:3" x14ac:dyDescent="0.25">
      <c r="A489" s="1">
        <v>40756</v>
      </c>
      <c r="B489" s="9">
        <v>76.965699999999998</v>
      </c>
      <c r="C489" s="2">
        <f t="shared" si="7"/>
        <v>-3.6516825027252402</v>
      </c>
    </row>
    <row r="490" spans="1:3" x14ac:dyDescent="0.25">
      <c r="A490" s="1">
        <v>40787</v>
      </c>
      <c r="B490" s="9">
        <v>76.795699999999997</v>
      </c>
      <c r="C490" s="2">
        <f t="shared" si="7"/>
        <v>-3.6619797723049601</v>
      </c>
    </row>
    <row r="491" spans="1:3" x14ac:dyDescent="0.25">
      <c r="A491" s="1">
        <v>40817</v>
      </c>
      <c r="B491" s="9">
        <v>76.643000000000001</v>
      </c>
      <c r="C491" s="2">
        <f t="shared" si="7"/>
        <v>-3.6712680871051493</v>
      </c>
    </row>
    <row r="492" spans="1:3" x14ac:dyDescent="0.25">
      <c r="A492" s="1">
        <v>40848</v>
      </c>
      <c r="B492" s="9">
        <v>77.5595</v>
      </c>
      <c r="C492" s="2">
        <f t="shared" si="7"/>
        <v>-3.6160689535131088</v>
      </c>
    </row>
    <row r="493" spans="1:3" x14ac:dyDescent="0.25">
      <c r="A493" s="1">
        <v>40878</v>
      </c>
      <c r="B493" s="9">
        <v>77.796700000000001</v>
      </c>
      <c r="C493" s="2">
        <f t="shared" si="7"/>
        <v>-3.6019946861499266</v>
      </c>
    </row>
    <row r="494" spans="1:3" x14ac:dyDescent="0.25">
      <c r="A494" s="1">
        <v>40909</v>
      </c>
      <c r="B494" s="9">
        <v>76.963999999999999</v>
      </c>
      <c r="C494" s="2">
        <f t="shared" si="7"/>
        <v>-3.6517852502468688</v>
      </c>
    </row>
    <row r="495" spans="1:3" x14ac:dyDescent="0.25">
      <c r="A495" s="1">
        <v>40940</v>
      </c>
      <c r="B495" s="9">
        <v>78.47</v>
      </c>
      <c r="C495" s="2">
        <f t="shared" si="7"/>
        <v>-3.5625079648273221</v>
      </c>
    </row>
    <row r="496" spans="1:3" x14ac:dyDescent="0.25">
      <c r="A496" s="1">
        <v>40969</v>
      </c>
      <c r="B496" s="9">
        <v>82.465900000000005</v>
      </c>
      <c r="C496" s="2">
        <f t="shared" si="7"/>
        <v>-3.341430821709336</v>
      </c>
    </row>
    <row r="497" spans="1:3" x14ac:dyDescent="0.25">
      <c r="A497" s="1">
        <v>41000</v>
      </c>
      <c r="B497" s="9">
        <v>81.252399999999994</v>
      </c>
      <c r="C497" s="2">
        <f t="shared" si="7"/>
        <v>-3.406269845567639</v>
      </c>
    </row>
    <row r="498" spans="1:3" x14ac:dyDescent="0.25">
      <c r="A498" s="1">
        <v>41030</v>
      </c>
      <c r="B498" s="9">
        <v>79.666799999999995</v>
      </c>
      <c r="C498" s="2">
        <f t="shared" si="7"/>
        <v>-3.4939673741131818</v>
      </c>
    </row>
    <row r="499" spans="1:3" x14ac:dyDescent="0.25">
      <c r="A499" s="1">
        <v>41061</v>
      </c>
      <c r="B499" s="9">
        <v>79.315200000000004</v>
      </c>
      <c r="C499" s="2">
        <f t="shared" si="7"/>
        <v>-3.5138888888888884</v>
      </c>
    </row>
    <row r="500" spans="1:3" x14ac:dyDescent="0.25">
      <c r="A500" s="1">
        <v>41091</v>
      </c>
      <c r="B500" s="9">
        <v>78.934799999999996</v>
      </c>
      <c r="C500" s="2">
        <f t="shared" si="7"/>
        <v>-3.5356420742182157</v>
      </c>
    </row>
    <row r="501" spans="1:3" x14ac:dyDescent="0.25">
      <c r="A501" s="1">
        <v>41122</v>
      </c>
      <c r="B501" s="9">
        <v>78.690899999999999</v>
      </c>
      <c r="C501" s="2">
        <f t="shared" si="7"/>
        <v>-3.5497001559265424</v>
      </c>
    </row>
    <row r="502" spans="1:3" x14ac:dyDescent="0.25">
      <c r="A502" s="1">
        <v>41153</v>
      </c>
      <c r="B502" s="9">
        <v>78.135300000000001</v>
      </c>
      <c r="C502" s="2">
        <f t="shared" si="7"/>
        <v>-3.582051902277203</v>
      </c>
    </row>
    <row r="503" spans="1:3" x14ac:dyDescent="0.25">
      <c r="A503" s="1">
        <v>41183</v>
      </c>
      <c r="B503" s="9">
        <v>79.013199999999998</v>
      </c>
      <c r="C503" s="2">
        <f t="shared" si="7"/>
        <v>-3.5311416320311038</v>
      </c>
    </row>
    <row r="504" spans="1:3" x14ac:dyDescent="0.25">
      <c r="A504" s="1">
        <v>41214</v>
      </c>
      <c r="B504" s="9">
        <v>81.030500000000004</v>
      </c>
      <c r="C504" s="2">
        <f t="shared" si="7"/>
        <v>-3.4183363054652256</v>
      </c>
    </row>
    <row r="505" spans="1:3" x14ac:dyDescent="0.25">
      <c r="A505" s="1">
        <v>41244</v>
      </c>
      <c r="B505" s="9">
        <v>83.790499999999994</v>
      </c>
      <c r="C505" s="2">
        <f t="shared" si="7"/>
        <v>-3.2727994223688848</v>
      </c>
    </row>
    <row r="506" spans="1:3" x14ac:dyDescent="0.25">
      <c r="A506" s="1">
        <v>41275</v>
      </c>
      <c r="B506" s="9">
        <v>89.058099999999996</v>
      </c>
      <c r="C506" s="2">
        <f t="shared" si="7"/>
        <v>-3.0200722898871639</v>
      </c>
    </row>
    <row r="507" spans="1:3" x14ac:dyDescent="0.25">
      <c r="A507" s="1">
        <v>41306</v>
      </c>
      <c r="B507" s="9">
        <v>93.001599999999996</v>
      </c>
      <c r="C507" s="2">
        <f t="shared" si="7"/>
        <v>-2.8496111894849121</v>
      </c>
    </row>
    <row r="508" spans="1:3" x14ac:dyDescent="0.25">
      <c r="A508" s="1">
        <v>41334</v>
      </c>
      <c r="B508" s="9">
        <v>94.77</v>
      </c>
      <c r="C508" s="2">
        <f t="shared" si="7"/>
        <v>-2.7777777777777777</v>
      </c>
    </row>
    <row r="509" spans="1:3" x14ac:dyDescent="0.25">
      <c r="A509" s="1">
        <v>41365</v>
      </c>
      <c r="B509" s="9">
        <v>97.758200000000002</v>
      </c>
      <c r="C509" s="2">
        <f t="shared" si="7"/>
        <v>-2.6623014744543165</v>
      </c>
    </row>
    <row r="510" spans="1:3" x14ac:dyDescent="0.25">
      <c r="A510" s="1">
        <v>41395</v>
      </c>
      <c r="B510" s="9">
        <v>100.9186</v>
      </c>
      <c r="C510" s="2">
        <f t="shared" si="7"/>
        <v>-2.5476116394797392</v>
      </c>
    </row>
    <row r="511" spans="1:3" x14ac:dyDescent="0.25">
      <c r="A511" s="1">
        <v>41426</v>
      </c>
      <c r="B511" s="9">
        <v>97.234999999999999</v>
      </c>
      <c r="C511" s="2">
        <f t="shared" si="7"/>
        <v>-2.6820075075847174</v>
      </c>
    </row>
    <row r="512" spans="1:3" x14ac:dyDescent="0.25">
      <c r="A512" s="1">
        <v>41456</v>
      </c>
      <c r="B512" s="9">
        <v>99.672700000000006</v>
      </c>
      <c r="C512" s="2">
        <f t="shared" si="7"/>
        <v>-2.591956473537889</v>
      </c>
    </row>
    <row r="513" spans="1:3" x14ac:dyDescent="0.25">
      <c r="A513" s="1">
        <v>41487</v>
      </c>
      <c r="B513" s="9">
        <v>97.812299999999993</v>
      </c>
      <c r="C513" s="2">
        <f t="shared" si="7"/>
        <v>-2.6602758548771472</v>
      </c>
    </row>
    <row r="514" spans="1:3" x14ac:dyDescent="0.25">
      <c r="A514" s="1">
        <v>41518</v>
      </c>
      <c r="B514" s="9">
        <v>99.21</v>
      </c>
      <c r="C514" s="2">
        <f t="shared" ref="C514:C577" si="8">1-(B$2/B514)</f>
        <v>-2.6087087995161777</v>
      </c>
    </row>
    <row r="515" spans="1:3" x14ac:dyDescent="0.25">
      <c r="A515" s="1">
        <v>41548</v>
      </c>
      <c r="B515" s="9">
        <v>97.77</v>
      </c>
      <c r="C515" s="2">
        <f t="shared" si="8"/>
        <v>-2.6618594660938939</v>
      </c>
    </row>
    <row r="516" spans="1:3" x14ac:dyDescent="0.25">
      <c r="A516" s="1">
        <v>41579</v>
      </c>
      <c r="B516" s="9">
        <v>100.0737</v>
      </c>
      <c r="C516" s="2">
        <f t="shared" si="8"/>
        <v>-2.5775633358214991</v>
      </c>
    </row>
    <row r="517" spans="1:3" x14ac:dyDescent="0.25">
      <c r="A517" s="1">
        <v>41609</v>
      </c>
      <c r="B517" s="9">
        <v>103.46</v>
      </c>
      <c r="C517" s="2">
        <f t="shared" si="8"/>
        <v>-2.4604678136477864</v>
      </c>
    </row>
    <row r="518" spans="1:3" x14ac:dyDescent="0.25">
      <c r="A518" s="1">
        <v>41640</v>
      </c>
      <c r="B518" s="9">
        <v>103.76139999999999</v>
      </c>
      <c r="C518" s="2">
        <f t="shared" si="8"/>
        <v>-2.4504160506700949</v>
      </c>
    </row>
    <row r="519" spans="1:3" x14ac:dyDescent="0.25">
      <c r="A519" s="1">
        <v>41671</v>
      </c>
      <c r="B519" s="9">
        <v>102.1253</v>
      </c>
      <c r="C519" s="2">
        <f t="shared" si="8"/>
        <v>-2.5056934961268169</v>
      </c>
    </row>
    <row r="520" spans="1:3" x14ac:dyDescent="0.25">
      <c r="A520" s="1">
        <v>41699</v>
      </c>
      <c r="B520" s="9">
        <v>102.3395</v>
      </c>
      <c r="C520" s="2">
        <f t="shared" si="8"/>
        <v>-2.4983559622628602</v>
      </c>
    </row>
    <row r="521" spans="1:3" x14ac:dyDescent="0.25">
      <c r="A521" s="1">
        <v>41730</v>
      </c>
      <c r="B521" s="9">
        <v>102.45820000000001</v>
      </c>
      <c r="C521" s="2">
        <f t="shared" si="8"/>
        <v>-2.494303042606643</v>
      </c>
    </row>
    <row r="522" spans="1:3" x14ac:dyDescent="0.25">
      <c r="A522" s="1">
        <v>41760</v>
      </c>
      <c r="B522" s="9">
        <v>101.77379999999999</v>
      </c>
      <c r="C522" s="2">
        <f t="shared" si="8"/>
        <v>-2.5178012415769087</v>
      </c>
    </row>
    <row r="523" spans="1:3" x14ac:dyDescent="0.25">
      <c r="A523" s="1">
        <v>41791</v>
      </c>
      <c r="B523" s="9">
        <v>102.0629</v>
      </c>
      <c r="C523" s="2">
        <f t="shared" si="8"/>
        <v>-2.5078368339523958</v>
      </c>
    </row>
    <row r="524" spans="1:3" x14ac:dyDescent="0.25">
      <c r="A524" s="1">
        <v>41821</v>
      </c>
      <c r="B524" s="9">
        <v>101.74</v>
      </c>
      <c r="C524" s="2">
        <f t="shared" si="8"/>
        <v>-2.5189699233339886</v>
      </c>
    </row>
    <row r="525" spans="1:3" x14ac:dyDescent="0.25">
      <c r="A525" s="1">
        <v>41852</v>
      </c>
      <c r="B525" s="9">
        <v>102.9438</v>
      </c>
      <c r="C525" s="2">
        <f t="shared" si="8"/>
        <v>-2.4778199367033276</v>
      </c>
    </row>
    <row r="526" spans="1:3" x14ac:dyDescent="0.25">
      <c r="A526" s="1">
        <v>41883</v>
      </c>
      <c r="B526" s="9">
        <v>107.42570000000001</v>
      </c>
      <c r="C526" s="2">
        <f t="shared" si="8"/>
        <v>-2.332722058129479</v>
      </c>
    </row>
    <row r="527" spans="1:3" x14ac:dyDescent="0.25">
      <c r="A527" s="1">
        <v>41913</v>
      </c>
      <c r="B527" s="9">
        <v>108.0264</v>
      </c>
      <c r="C527" s="2">
        <f t="shared" si="8"/>
        <v>-2.3141898646997401</v>
      </c>
    </row>
    <row r="528" spans="1:3" x14ac:dyDescent="0.25">
      <c r="A528" s="1">
        <v>41944</v>
      </c>
      <c r="B528" s="9">
        <v>116.29940000000001</v>
      </c>
      <c r="C528" s="2">
        <f t="shared" si="8"/>
        <v>-2.0784337666402402</v>
      </c>
    </row>
    <row r="529" spans="1:3" x14ac:dyDescent="0.25">
      <c r="A529" s="1">
        <v>41974</v>
      </c>
      <c r="B529" s="9">
        <v>119.3233</v>
      </c>
      <c r="C529" s="2">
        <f t="shared" si="8"/>
        <v>-2.0004198677039602</v>
      </c>
    </row>
    <row r="530" spans="1:3" x14ac:dyDescent="0.25">
      <c r="A530" s="1">
        <v>42005</v>
      </c>
      <c r="B530" s="9">
        <v>118.25</v>
      </c>
      <c r="C530" s="2">
        <f t="shared" si="8"/>
        <v>-2.0276532769556024</v>
      </c>
    </row>
    <row r="531" spans="1:3" x14ac:dyDescent="0.25">
      <c r="A531" s="1">
        <v>42036</v>
      </c>
      <c r="B531" s="9">
        <v>118.76</v>
      </c>
      <c r="C531" s="2">
        <f t="shared" si="8"/>
        <v>-2.0146513977770288</v>
      </c>
    </row>
    <row r="532" spans="1:3" x14ac:dyDescent="0.25">
      <c r="A532" s="1">
        <v>42064</v>
      </c>
      <c r="B532" s="9">
        <v>120.39449999999999</v>
      </c>
      <c r="C532" s="2">
        <f t="shared" si="8"/>
        <v>-1.973723882735507</v>
      </c>
    </row>
    <row r="533" spans="1:3" x14ac:dyDescent="0.25">
      <c r="A533" s="1">
        <v>42095</v>
      </c>
      <c r="B533" s="9">
        <v>119.5095</v>
      </c>
      <c r="C533" s="2">
        <f t="shared" si="8"/>
        <v>-1.995745108129479</v>
      </c>
    </row>
    <row r="534" spans="1:3" x14ac:dyDescent="0.25">
      <c r="A534" s="1">
        <v>42125</v>
      </c>
      <c r="B534" s="9">
        <v>120.798</v>
      </c>
      <c r="C534" s="2">
        <f t="shared" si="8"/>
        <v>-1.9637907912382655</v>
      </c>
    </row>
    <row r="535" spans="1:3" x14ac:dyDescent="0.25">
      <c r="A535" s="1">
        <v>42156</v>
      </c>
      <c r="B535" s="9">
        <v>123.7186</v>
      </c>
      <c r="C535" s="2">
        <f t="shared" si="8"/>
        <v>-1.8938251806923132</v>
      </c>
    </row>
    <row r="536" spans="1:3" x14ac:dyDescent="0.25">
      <c r="A536" s="1">
        <v>42186</v>
      </c>
      <c r="B536" s="9">
        <v>123.3109</v>
      </c>
      <c r="C536" s="2">
        <f t="shared" si="8"/>
        <v>-1.9033929685048117</v>
      </c>
    </row>
    <row r="537" spans="1:3" x14ac:dyDescent="0.25">
      <c r="A537" s="1">
        <v>42217</v>
      </c>
      <c r="B537" s="9">
        <v>123.0038</v>
      </c>
      <c r="C537" s="2">
        <f t="shared" si="8"/>
        <v>-1.9106417850505428</v>
      </c>
    </row>
    <row r="538" spans="1:3" x14ac:dyDescent="0.25">
      <c r="A538" s="1">
        <v>42248</v>
      </c>
      <c r="B538" s="9">
        <v>120.1476</v>
      </c>
      <c r="C538" s="2">
        <f t="shared" si="8"/>
        <v>-1.9798348031920736</v>
      </c>
    </row>
    <row r="539" spans="1:3" x14ac:dyDescent="0.25">
      <c r="A539" s="1">
        <v>42278</v>
      </c>
      <c r="B539" s="9">
        <v>120.04810000000001</v>
      </c>
      <c r="C539" s="2">
        <f t="shared" si="8"/>
        <v>-1.9823045929090086</v>
      </c>
    </row>
    <row r="540" spans="1:3" x14ac:dyDescent="0.25">
      <c r="A540" s="1">
        <v>42309</v>
      </c>
      <c r="B540" s="9">
        <v>122.64319999999999</v>
      </c>
      <c r="C540" s="2">
        <f t="shared" si="8"/>
        <v>-1.9191997599540782</v>
      </c>
    </row>
    <row r="541" spans="1:3" x14ac:dyDescent="0.25">
      <c r="A541" s="1">
        <v>42339</v>
      </c>
      <c r="B541" s="9">
        <v>121.63500000000001</v>
      </c>
      <c r="C541" s="2">
        <f t="shared" si="8"/>
        <v>-1.9433962264150941</v>
      </c>
    </row>
    <row r="542" spans="1:3" x14ac:dyDescent="0.25">
      <c r="A542" s="1">
        <v>42370</v>
      </c>
      <c r="B542" s="9">
        <v>118.22580000000001</v>
      </c>
      <c r="C542" s="2">
        <f t="shared" si="8"/>
        <v>-2.0282730165496869</v>
      </c>
    </row>
    <row r="543" spans="1:3" x14ac:dyDescent="0.25">
      <c r="A543" s="1">
        <v>42401</v>
      </c>
      <c r="B543" s="9">
        <v>114.6155</v>
      </c>
      <c r="C543" s="2">
        <f t="shared" si="8"/>
        <v>-2.1236612849047467</v>
      </c>
    </row>
    <row r="544" spans="1:3" x14ac:dyDescent="0.25">
      <c r="A544" s="1">
        <v>42430</v>
      </c>
      <c r="B544" s="9">
        <v>112.93170000000001</v>
      </c>
      <c r="C544" s="2">
        <f t="shared" si="8"/>
        <v>-2.1702347525097023</v>
      </c>
    </row>
    <row r="545" spans="1:3" x14ac:dyDescent="0.25">
      <c r="A545" s="1">
        <v>42461</v>
      </c>
      <c r="B545" s="9">
        <v>109.5519</v>
      </c>
      <c r="C545" s="2">
        <f t="shared" si="8"/>
        <v>-2.2680400796334883</v>
      </c>
    </row>
    <row r="546" spans="1:3" x14ac:dyDescent="0.25">
      <c r="A546" s="1">
        <v>42491</v>
      </c>
      <c r="B546" s="9">
        <v>108.8481</v>
      </c>
      <c r="C546" s="2">
        <f t="shared" si="8"/>
        <v>-2.2891708720685062</v>
      </c>
    </row>
    <row r="547" spans="1:3" x14ac:dyDescent="0.25">
      <c r="A547" s="1">
        <v>42522</v>
      </c>
      <c r="B547" s="9">
        <v>105.3509</v>
      </c>
      <c r="C547" s="2">
        <f t="shared" si="8"/>
        <v>-2.398357299273191</v>
      </c>
    </row>
    <row r="548" spans="1:3" x14ac:dyDescent="0.25">
      <c r="A548" s="1">
        <v>42552</v>
      </c>
      <c r="B548" s="9">
        <v>104.191</v>
      </c>
      <c r="C548" s="2">
        <f t="shared" si="8"/>
        <v>-2.4361893061780764</v>
      </c>
    </row>
    <row r="549" spans="1:3" x14ac:dyDescent="0.25">
      <c r="A549" s="1">
        <v>42583</v>
      </c>
      <c r="B549" s="9">
        <v>101.2383</v>
      </c>
      <c r="C549" s="2">
        <f t="shared" si="8"/>
        <v>-2.5364086516664148</v>
      </c>
    </row>
    <row r="550" spans="1:3" x14ac:dyDescent="0.25">
      <c r="A550" s="1">
        <v>42614</v>
      </c>
      <c r="B550" s="9">
        <v>101.7843</v>
      </c>
      <c r="C550" s="2">
        <f t="shared" si="8"/>
        <v>-2.5174383475644082</v>
      </c>
    </row>
    <row r="551" spans="1:3" x14ac:dyDescent="0.25">
      <c r="A551" s="1">
        <v>42644</v>
      </c>
      <c r="B551" s="9">
        <v>103.9075</v>
      </c>
      <c r="C551" s="2">
        <f t="shared" si="8"/>
        <v>-2.445564564636816</v>
      </c>
    </row>
    <row r="552" spans="1:3" x14ac:dyDescent="0.25">
      <c r="A552" s="1">
        <v>42675</v>
      </c>
      <c r="B552" s="9">
        <v>108.443</v>
      </c>
      <c r="C552" s="2">
        <f t="shared" si="8"/>
        <v>-2.3014579087631288</v>
      </c>
    </row>
    <row r="553" spans="1:3" x14ac:dyDescent="0.25">
      <c r="A553" s="1">
        <v>42705</v>
      </c>
      <c r="B553" s="9">
        <v>115.99809999999999</v>
      </c>
      <c r="C553" s="2">
        <f t="shared" si="8"/>
        <v>-2.0864298639374264</v>
      </c>
    </row>
    <row r="554" spans="1:3" x14ac:dyDescent="0.25">
      <c r="A554" s="1">
        <v>42736</v>
      </c>
      <c r="B554" s="9">
        <v>114.8721</v>
      </c>
      <c r="C554" s="2">
        <f t="shared" si="8"/>
        <v>-2.116683685594674</v>
      </c>
    </row>
    <row r="555" spans="1:3" x14ac:dyDescent="0.25">
      <c r="A555" s="1">
        <v>42767</v>
      </c>
      <c r="B555" s="9">
        <v>112.91160000000001</v>
      </c>
      <c r="C555" s="2">
        <f t="shared" si="8"/>
        <v>-2.1707991030151019</v>
      </c>
    </row>
    <row r="556" spans="1:3" x14ac:dyDescent="0.25">
      <c r="A556" s="1">
        <v>42795</v>
      </c>
      <c r="B556" s="9">
        <v>112.9165</v>
      </c>
      <c r="C556" s="2">
        <f t="shared" si="8"/>
        <v>-2.1706615065114487</v>
      </c>
    </row>
    <row r="557" spans="1:3" x14ac:dyDescent="0.25">
      <c r="A557" s="1">
        <v>42826</v>
      </c>
      <c r="B557" s="9">
        <v>110.09099999999999</v>
      </c>
      <c r="C557" s="2">
        <f t="shared" si="8"/>
        <v>-2.2520369512494209</v>
      </c>
    </row>
    <row r="558" spans="1:3" x14ac:dyDescent="0.25">
      <c r="A558" s="1">
        <v>42856</v>
      </c>
      <c r="B558" s="9">
        <v>112.2436</v>
      </c>
      <c r="C558" s="2">
        <f t="shared" si="8"/>
        <v>-2.189669611452234</v>
      </c>
    </row>
    <row r="559" spans="1:3" x14ac:dyDescent="0.25">
      <c r="A559" s="1">
        <v>42887</v>
      </c>
      <c r="B559" s="9">
        <v>110.9141</v>
      </c>
      <c r="C559" s="2">
        <f t="shared" si="8"/>
        <v>-2.2279033955105794</v>
      </c>
    </row>
    <row r="560" spans="1:3" x14ac:dyDescent="0.25">
      <c r="A560" s="1">
        <v>42917</v>
      </c>
      <c r="B560" s="9">
        <v>112.417</v>
      </c>
      <c r="C560" s="2">
        <f t="shared" si="8"/>
        <v>-2.1847496375103406</v>
      </c>
    </row>
    <row r="561" spans="1:3" x14ac:dyDescent="0.25">
      <c r="A561" s="1">
        <v>42948</v>
      </c>
      <c r="B561" s="9">
        <v>109.827</v>
      </c>
      <c r="C561" s="2">
        <f t="shared" si="8"/>
        <v>-2.2598541342292879</v>
      </c>
    </row>
    <row r="562" spans="1:3" x14ac:dyDescent="0.25">
      <c r="A562" s="1">
        <v>42979</v>
      </c>
      <c r="B562" s="9">
        <v>110.776</v>
      </c>
      <c r="C562" s="2">
        <f t="shared" si="8"/>
        <v>-2.2319274933198527</v>
      </c>
    </row>
    <row r="563" spans="1:3" x14ac:dyDescent="0.25">
      <c r="A563" s="1">
        <v>43009</v>
      </c>
      <c r="B563" s="9">
        <v>112.9148</v>
      </c>
      <c r="C563" s="2">
        <f t="shared" si="8"/>
        <v>-2.1707092427210601</v>
      </c>
    </row>
    <row r="564" spans="1:3" x14ac:dyDescent="0.25">
      <c r="A564" s="1">
        <v>43040</v>
      </c>
      <c r="B564" s="9">
        <v>112.819</v>
      </c>
      <c r="C564" s="2">
        <f t="shared" si="8"/>
        <v>-2.1734016433402172</v>
      </c>
    </row>
    <row r="565" spans="1:3" x14ac:dyDescent="0.25">
      <c r="A565" s="1">
        <v>43070</v>
      </c>
      <c r="B565" s="9">
        <v>112.9405</v>
      </c>
      <c r="C565" s="2">
        <f t="shared" si="8"/>
        <v>-2.1699877369057159</v>
      </c>
    </row>
    <row r="566" spans="1:3" x14ac:dyDescent="0.25">
      <c r="A566" s="1">
        <v>43101</v>
      </c>
      <c r="B566" s="9">
        <v>110.871</v>
      </c>
      <c r="C566" s="2">
        <f t="shared" si="8"/>
        <v>-2.2291582108937416</v>
      </c>
    </row>
    <row r="567" spans="1:3" x14ac:dyDescent="0.25">
      <c r="A567" s="1">
        <v>43132</v>
      </c>
      <c r="B567" s="9">
        <v>107.97</v>
      </c>
      <c r="C567" s="2">
        <f t="shared" si="8"/>
        <v>-2.3159210891914421</v>
      </c>
    </row>
    <row r="568" spans="1:3" x14ac:dyDescent="0.25">
      <c r="A568" s="1">
        <v>43160</v>
      </c>
      <c r="B568" s="9">
        <v>106.0468</v>
      </c>
      <c r="C568" s="2">
        <f t="shared" si="8"/>
        <v>-2.3760566089688702</v>
      </c>
    </row>
    <row r="569" spans="1:3" x14ac:dyDescent="0.25">
      <c r="A569" s="1">
        <v>43191</v>
      </c>
      <c r="B569" s="9">
        <v>107.6562</v>
      </c>
      <c r="C569" s="2">
        <f t="shared" si="8"/>
        <v>-2.3255864501998027</v>
      </c>
    </row>
    <row r="570" spans="1:3" x14ac:dyDescent="0.25">
      <c r="A570" s="1">
        <v>43221</v>
      </c>
      <c r="B570" s="9">
        <v>109.68819999999999</v>
      </c>
      <c r="C570" s="2">
        <f t="shared" si="8"/>
        <v>-2.2639791700474619</v>
      </c>
    </row>
    <row r="571" spans="1:3" x14ac:dyDescent="0.25">
      <c r="A571" s="1">
        <v>43252</v>
      </c>
      <c r="B571" s="9">
        <v>110.0638</v>
      </c>
      <c r="C571" s="2">
        <f t="shared" si="8"/>
        <v>-2.2528406251646769</v>
      </c>
    </row>
    <row r="572" spans="1:3" x14ac:dyDescent="0.25">
      <c r="A572" s="1">
        <v>43282</v>
      </c>
      <c r="B572" s="9">
        <v>111.521</v>
      </c>
      <c r="C572" s="2">
        <f t="shared" si="8"/>
        <v>-2.2103370665614546</v>
      </c>
    </row>
    <row r="573" spans="1:3" x14ac:dyDescent="0.25">
      <c r="A573" s="1">
        <v>43313</v>
      </c>
      <c r="B573" s="9">
        <v>110.9965</v>
      </c>
      <c r="C573" s="2">
        <f t="shared" si="8"/>
        <v>-2.2255071105845681</v>
      </c>
    </row>
    <row r="574" spans="1:3" x14ac:dyDescent="0.25">
      <c r="A574" s="1">
        <v>43344</v>
      </c>
      <c r="B574" s="9">
        <v>112.09739999999999</v>
      </c>
      <c r="C574" s="2">
        <f t="shared" si="8"/>
        <v>-2.1938296517135991</v>
      </c>
    </row>
    <row r="575" spans="1:3" x14ac:dyDescent="0.25">
      <c r="A575" s="1">
        <v>43374</v>
      </c>
      <c r="B575" s="9">
        <v>112.7218</v>
      </c>
      <c r="C575" s="2">
        <f t="shared" si="8"/>
        <v>-2.1761380673481083</v>
      </c>
    </row>
    <row r="576" spans="1:3" x14ac:dyDescent="0.25">
      <c r="A576" s="1">
        <v>43405</v>
      </c>
      <c r="B576" s="9">
        <v>113.33799999999999</v>
      </c>
      <c r="C576" s="2">
        <f t="shared" si="8"/>
        <v>-2.1588699288852813</v>
      </c>
    </row>
    <row r="577" spans="1:3" x14ac:dyDescent="0.25">
      <c r="A577" s="1">
        <v>43435</v>
      </c>
      <c r="B577" s="9">
        <v>112.1994</v>
      </c>
      <c r="C577" s="2">
        <f t="shared" si="8"/>
        <v>-2.1909261546853189</v>
      </c>
    </row>
    <row r="578" spans="1:3" x14ac:dyDescent="0.25">
      <c r="A578" s="1">
        <v>43466</v>
      </c>
      <c r="B578" s="9">
        <v>108.9605</v>
      </c>
      <c r="C578" s="2">
        <f t="shared" ref="C578:C641" si="9">1-(B$2/B578)</f>
        <v>-2.2857778736331054</v>
      </c>
    </row>
    <row r="579" spans="1:3" x14ac:dyDescent="0.25">
      <c r="A579" s="1">
        <v>43497</v>
      </c>
      <c r="B579" s="9">
        <v>110.44</v>
      </c>
      <c r="C579" s="2">
        <f t="shared" si="9"/>
        <v>-2.2417602318000722</v>
      </c>
    </row>
    <row r="580" spans="1:3" x14ac:dyDescent="0.25">
      <c r="A580" s="1">
        <v>43525</v>
      </c>
      <c r="B580" s="9">
        <v>111.1443</v>
      </c>
      <c r="C580" s="2">
        <f t="shared" si="9"/>
        <v>-2.2212178222364978</v>
      </c>
    </row>
    <row r="581" spans="1:3" x14ac:dyDescent="0.25">
      <c r="A581" s="1">
        <v>43556</v>
      </c>
      <c r="B581" s="9">
        <v>111.6414</v>
      </c>
      <c r="C581" s="2">
        <f t="shared" si="9"/>
        <v>-2.2068748690002091</v>
      </c>
    </row>
    <row r="582" spans="1:3" x14ac:dyDescent="0.25">
      <c r="A582" s="1">
        <v>43586</v>
      </c>
      <c r="B582" s="9">
        <v>109.9714</v>
      </c>
      <c r="C582" s="2">
        <f t="shared" si="9"/>
        <v>-2.2555737218949652</v>
      </c>
    </row>
    <row r="583" spans="1:3" x14ac:dyDescent="0.25">
      <c r="A583" s="1">
        <v>43617</v>
      </c>
      <c r="B583" s="9">
        <v>108.0685</v>
      </c>
      <c r="C583" s="2">
        <f t="shared" si="9"/>
        <v>-2.312898763284398</v>
      </c>
    </row>
    <row r="584" spans="1:3" x14ac:dyDescent="0.25">
      <c r="A584" s="1">
        <v>43647</v>
      </c>
      <c r="B584" s="9">
        <v>108.2864</v>
      </c>
      <c r="C584" s="2">
        <f t="shared" si="9"/>
        <v>-2.3062323615892666</v>
      </c>
    </row>
    <row r="585" spans="1:3" x14ac:dyDescent="0.25">
      <c r="A585" s="1">
        <v>43678</v>
      </c>
      <c r="B585" s="9">
        <v>106.18859999999999</v>
      </c>
      <c r="C585" s="2">
        <f t="shared" si="9"/>
        <v>-2.3715483582983485</v>
      </c>
    </row>
    <row r="586" spans="1:3" x14ac:dyDescent="0.25">
      <c r="A586" s="1">
        <v>43709</v>
      </c>
      <c r="B586" s="9">
        <v>107.54</v>
      </c>
      <c r="C586" s="2">
        <f t="shared" si="9"/>
        <v>-2.3291798400595125</v>
      </c>
    </row>
    <row r="587" spans="1:3" x14ac:dyDescent="0.25">
      <c r="A587" s="1">
        <v>43739</v>
      </c>
      <c r="B587" s="9">
        <v>108.13679999999999</v>
      </c>
      <c r="C587" s="2">
        <f t="shared" si="9"/>
        <v>-2.3108063120047939</v>
      </c>
    </row>
    <row r="588" spans="1:3" x14ac:dyDescent="0.25">
      <c r="A588" s="1">
        <v>43770</v>
      </c>
      <c r="B588" s="9">
        <v>108.8579</v>
      </c>
      <c r="C588" s="2">
        <f t="shared" si="9"/>
        <v>-2.2888747624196313</v>
      </c>
    </row>
    <row r="589" spans="1:3" x14ac:dyDescent="0.25">
      <c r="A589" s="1">
        <v>43800</v>
      </c>
      <c r="B589" s="9">
        <v>109.101</v>
      </c>
      <c r="C589" s="2">
        <f t="shared" si="9"/>
        <v>-2.2815464569527317</v>
      </c>
    </row>
    <row r="590" spans="1:3" x14ac:dyDescent="0.25">
      <c r="A590" s="1">
        <v>43831</v>
      </c>
      <c r="B590" s="9">
        <v>109.2667</v>
      </c>
      <c r="C590" s="2">
        <f t="shared" si="9"/>
        <v>-2.2765700803630016</v>
      </c>
    </row>
    <row r="591" spans="1:3" x14ac:dyDescent="0.25">
      <c r="A591" s="1">
        <v>43862</v>
      </c>
      <c r="B591" s="9">
        <v>110.0295</v>
      </c>
      <c r="C591" s="2">
        <f t="shared" si="9"/>
        <v>-2.2538546480716533</v>
      </c>
    </row>
    <row r="592" spans="1:3" x14ac:dyDescent="0.25">
      <c r="A592" s="1">
        <v>43891</v>
      </c>
      <c r="B592" s="9">
        <v>107.6673</v>
      </c>
      <c r="C592" s="2">
        <f t="shared" si="9"/>
        <v>-2.3252435976382801</v>
      </c>
    </row>
    <row r="593" spans="1:3" x14ac:dyDescent="0.25">
      <c r="A593" s="1">
        <v>43922</v>
      </c>
      <c r="B593" s="9">
        <v>107.73860000000001</v>
      </c>
      <c r="C593" s="2">
        <f t="shared" si="9"/>
        <v>-2.3230429948040903</v>
      </c>
    </row>
    <row r="594" spans="1:3" x14ac:dyDescent="0.25">
      <c r="A594" s="1">
        <v>43952</v>
      </c>
      <c r="B594" s="9">
        <v>107.2</v>
      </c>
      <c r="C594" s="2">
        <f t="shared" si="9"/>
        <v>-2.3397388059701489</v>
      </c>
    </row>
    <row r="595" spans="1:3" x14ac:dyDescent="0.25">
      <c r="A595" s="1">
        <v>43983</v>
      </c>
      <c r="B595" s="9">
        <v>107.5782</v>
      </c>
      <c r="C595" s="2">
        <f t="shared" si="9"/>
        <v>-2.3279976798273254</v>
      </c>
    </row>
    <row r="596" spans="1:3" x14ac:dyDescent="0.25">
      <c r="A596" s="1">
        <v>44013</v>
      </c>
      <c r="B596" s="9">
        <v>106.6818</v>
      </c>
      <c r="C596" s="2">
        <f t="shared" si="9"/>
        <v>-2.3559613729802082</v>
      </c>
    </row>
    <row r="597" spans="1:3" x14ac:dyDescent="0.25">
      <c r="A597" s="1">
        <v>44044</v>
      </c>
      <c r="B597" s="9">
        <v>106.0129</v>
      </c>
      <c r="C597" s="2">
        <f t="shared" si="9"/>
        <v>-2.3771361787103267</v>
      </c>
    </row>
    <row r="598" spans="1:3" x14ac:dyDescent="0.25">
      <c r="A598" s="1">
        <v>44075</v>
      </c>
      <c r="B598" s="9">
        <v>105.589</v>
      </c>
      <c r="C598" s="2">
        <f t="shared" si="9"/>
        <v>-2.3906941063936582</v>
      </c>
    </row>
    <row r="599" spans="1:3" x14ac:dyDescent="0.25">
      <c r="A599" s="1">
        <v>44105</v>
      </c>
      <c r="B599" s="9">
        <v>105.20950000000001</v>
      </c>
      <c r="C599" s="2">
        <f t="shared" si="9"/>
        <v>-2.4029246408356655</v>
      </c>
    </row>
    <row r="600" spans="1:3" x14ac:dyDescent="0.25">
      <c r="A600" s="1">
        <v>44136</v>
      </c>
      <c r="B600" s="9">
        <v>104.4061</v>
      </c>
      <c r="C600" s="2">
        <f t="shared" si="9"/>
        <v>-2.4291099849529862</v>
      </c>
    </row>
    <row r="601" spans="1:3" x14ac:dyDescent="0.25">
      <c r="A601" s="1">
        <v>44166</v>
      </c>
      <c r="B601" s="9">
        <v>103.79519999999999</v>
      </c>
      <c r="C601" s="2">
        <f t="shared" si="9"/>
        <v>-2.4492924528301887</v>
      </c>
    </row>
    <row r="602" spans="1:3" x14ac:dyDescent="0.25">
      <c r="A602" s="1">
        <v>44197</v>
      </c>
      <c r="B602" s="9">
        <v>103.78830000000001</v>
      </c>
      <c r="C602" s="2">
        <f t="shared" si="9"/>
        <v>-2.4495217669043616</v>
      </c>
    </row>
    <row r="603" spans="1:3" x14ac:dyDescent="0.25">
      <c r="A603" s="1">
        <v>44228</v>
      </c>
      <c r="B603" s="9">
        <v>105.37739999999999</v>
      </c>
      <c r="C603" s="2">
        <f t="shared" si="9"/>
        <v>-2.3975026903301848</v>
      </c>
    </row>
    <row r="604" spans="1:3" x14ac:dyDescent="0.25">
      <c r="A604" s="1">
        <v>44256</v>
      </c>
      <c r="B604" s="9">
        <v>108.6991</v>
      </c>
      <c r="C604" s="2">
        <f t="shared" si="9"/>
        <v>-2.2936795244854831</v>
      </c>
    </row>
    <row r="605" spans="1:3" x14ac:dyDescent="0.25">
      <c r="A605" s="1">
        <v>44287</v>
      </c>
      <c r="B605" s="9">
        <v>109.0445</v>
      </c>
      <c r="C605" s="2">
        <f t="shared" si="9"/>
        <v>-2.2832467478873304</v>
      </c>
    </row>
    <row r="606" spans="1:3" x14ac:dyDescent="0.25">
      <c r="A606" s="1">
        <v>44317</v>
      </c>
      <c r="B606" s="9">
        <v>109.11199999999999</v>
      </c>
      <c r="C606" s="2">
        <f t="shared" si="9"/>
        <v>-2.2812156316445487</v>
      </c>
    </row>
    <row r="607" spans="1:3" x14ac:dyDescent="0.25">
      <c r="A607" s="1">
        <v>44348</v>
      </c>
      <c r="B607" s="9">
        <v>110.1073</v>
      </c>
      <c r="C607" s="2">
        <f t="shared" si="9"/>
        <v>-2.2515555281075823</v>
      </c>
    </row>
    <row r="608" spans="1:3" x14ac:dyDescent="0.25">
      <c r="A608" s="1">
        <v>44378</v>
      </c>
      <c r="B608" s="9">
        <v>110.21429999999999</v>
      </c>
      <c r="C608" s="2">
        <f t="shared" si="9"/>
        <v>-2.2483988012444844</v>
      </c>
    </row>
    <row r="609" spans="1:3" x14ac:dyDescent="0.25">
      <c r="A609" s="1">
        <v>44409</v>
      </c>
      <c r="B609" s="9">
        <v>109.8527</v>
      </c>
      <c r="C609" s="2">
        <f t="shared" si="9"/>
        <v>-2.2590914925167973</v>
      </c>
    </row>
    <row r="610" spans="1:3" x14ac:dyDescent="0.25">
      <c r="A610" s="1">
        <v>44440</v>
      </c>
      <c r="B610" s="9">
        <v>110.161</v>
      </c>
      <c r="C610" s="2">
        <f t="shared" si="9"/>
        <v>-2.2499704977260553</v>
      </c>
    </row>
    <row r="611" spans="1:3" x14ac:dyDescent="0.25">
      <c r="A611" s="1">
        <v>44470</v>
      </c>
      <c r="B611" s="9">
        <v>113.1215</v>
      </c>
      <c r="C611" s="2">
        <f t="shared" si="9"/>
        <v>-2.1649155995986615</v>
      </c>
    </row>
    <row r="612" spans="1:3" x14ac:dyDescent="0.25">
      <c r="A612" s="1">
        <v>44501</v>
      </c>
      <c r="B612" s="9">
        <v>113.965</v>
      </c>
      <c r="C612" s="2">
        <f t="shared" si="9"/>
        <v>-2.1414908085815818</v>
      </c>
    </row>
    <row r="613" spans="1:3" x14ac:dyDescent="0.25">
      <c r="A613" s="1">
        <v>44531</v>
      </c>
      <c r="B613" s="9">
        <v>113.8329</v>
      </c>
      <c r="C613" s="2">
        <f t="shared" si="9"/>
        <v>-2.1451364236525645</v>
      </c>
    </row>
    <row r="614" spans="1:3" x14ac:dyDescent="0.25">
      <c r="A614" s="1">
        <v>44562</v>
      </c>
      <c r="B614" s="9">
        <v>114.82550000000001</v>
      </c>
      <c r="C614" s="2">
        <f t="shared" si="9"/>
        <v>-2.1179485393052935</v>
      </c>
    </row>
    <row r="615" spans="1:3" x14ac:dyDescent="0.25">
      <c r="A615" s="1">
        <v>44593</v>
      </c>
      <c r="B615" s="9">
        <v>115.27630000000001</v>
      </c>
      <c r="C615" s="2">
        <f t="shared" si="9"/>
        <v>-2.1057554761906823</v>
      </c>
    </row>
    <row r="616" spans="1:3" x14ac:dyDescent="0.25">
      <c r="A616" s="1">
        <v>44621</v>
      </c>
      <c r="B616" s="9">
        <v>118.5774</v>
      </c>
      <c r="C616" s="2">
        <f t="shared" si="9"/>
        <v>-2.0192937271351874</v>
      </c>
    </row>
    <row r="617" spans="1:3" x14ac:dyDescent="0.25">
      <c r="A617" s="1">
        <v>44652</v>
      </c>
      <c r="B617" s="9">
        <v>126.37430000000001</v>
      </c>
      <c r="C617" s="2">
        <f t="shared" si="9"/>
        <v>-1.833012724897388</v>
      </c>
    </row>
    <row r="618" spans="1:3" x14ac:dyDescent="0.25">
      <c r="A618" s="1">
        <v>44682</v>
      </c>
      <c r="B618" s="9">
        <v>128.8486</v>
      </c>
      <c r="C618" s="2">
        <f t="shared" si="9"/>
        <v>-1.7786099344501993</v>
      </c>
    </row>
    <row r="619" spans="1:3" x14ac:dyDescent="0.25">
      <c r="A619" s="1">
        <v>44713</v>
      </c>
      <c r="B619" s="9">
        <v>133.96190000000001</v>
      </c>
      <c r="C619" s="2">
        <f t="shared" si="9"/>
        <v>-1.672550926793364</v>
      </c>
    </row>
    <row r="620" spans="1:3" x14ac:dyDescent="0.25">
      <c r="A620" s="1">
        <v>44743</v>
      </c>
      <c r="B620" s="9">
        <v>136.709</v>
      </c>
      <c r="C620" s="2">
        <f t="shared" si="9"/>
        <v>-1.6188473326554944</v>
      </c>
    </row>
    <row r="621" spans="1:3" x14ac:dyDescent="0.25">
      <c r="A621" s="1">
        <v>44774</v>
      </c>
      <c r="B621" s="9">
        <v>135.2835</v>
      </c>
      <c r="C621" s="2">
        <f t="shared" si="9"/>
        <v>-1.6464424708112961</v>
      </c>
    </row>
    <row r="622" spans="1:3" x14ac:dyDescent="0.25">
      <c r="A622" s="1">
        <v>44805</v>
      </c>
      <c r="B622" s="9">
        <v>143.2843</v>
      </c>
      <c r="C622" s="2">
        <f t="shared" si="9"/>
        <v>-1.4986687306285473</v>
      </c>
    </row>
    <row r="623" spans="1:3" x14ac:dyDescent="0.25">
      <c r="A623" s="1">
        <v>44835</v>
      </c>
      <c r="B623" s="9">
        <v>147.0515</v>
      </c>
      <c r="C623" s="2">
        <f t="shared" si="9"/>
        <v>-1.4346572459308473</v>
      </c>
    </row>
    <row r="624" spans="1:3" x14ac:dyDescent="0.25">
      <c r="A624" s="1">
        <v>44866</v>
      </c>
      <c r="B624" s="9">
        <v>142.44499999999999</v>
      </c>
      <c r="C624" s="2">
        <f t="shared" si="9"/>
        <v>-1.5133911334199164</v>
      </c>
    </row>
    <row r="625" spans="1:3" x14ac:dyDescent="0.25">
      <c r="A625" s="1">
        <v>44896</v>
      </c>
      <c r="B625" s="9">
        <v>134.91480000000001</v>
      </c>
      <c r="C625" s="2">
        <f t="shared" si="9"/>
        <v>-1.6536747636286009</v>
      </c>
    </row>
    <row r="626" spans="1:3" x14ac:dyDescent="0.25">
      <c r="A626" s="1">
        <v>44927</v>
      </c>
      <c r="B626" s="9">
        <v>130.44749999999999</v>
      </c>
      <c r="C626" s="2">
        <f t="shared" si="9"/>
        <v>-1.7445524061404014</v>
      </c>
    </row>
    <row r="627" spans="1:3" x14ac:dyDescent="0.25">
      <c r="A627" s="1">
        <v>44958</v>
      </c>
      <c r="B627" s="9">
        <v>133.0463</v>
      </c>
      <c r="C627" s="2">
        <f t="shared" si="9"/>
        <v>-1.6909429273869319</v>
      </c>
    </row>
    <row r="628" spans="1:3" x14ac:dyDescent="0.25">
      <c r="A628" s="1">
        <v>44986</v>
      </c>
      <c r="B628" s="9">
        <v>133.6643</v>
      </c>
      <c r="C628" s="2">
        <f t="shared" si="9"/>
        <v>-1.6785012901724694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1C432-D4E9-4F1F-B64D-42119E0971EB}">
  <sheetPr>
    <tabColor theme="2" tint="-0.249977111117893"/>
  </sheetPr>
  <dimension ref="A1:F173"/>
  <sheetViews>
    <sheetView topLeftCell="D1" workbookViewId="0">
      <selection activeCell="E2" sqref="E2"/>
    </sheetView>
  </sheetViews>
  <sheetFormatPr defaultRowHeight="15" outlineLevelCol="1" x14ac:dyDescent="0.25"/>
  <cols>
    <col min="1" max="3" width="11.5703125" hidden="1" customWidth="1" outlineLevel="1"/>
    <col min="4" max="4" width="11.85546875" bestFit="1" customWidth="1" collapsed="1"/>
    <col min="5" max="6" width="10.28515625" bestFit="1" customWidth="1"/>
  </cols>
  <sheetData>
    <row r="1" spans="1:6" x14ac:dyDescent="0.25">
      <c r="A1" t="s">
        <v>40</v>
      </c>
      <c r="B1" t="s">
        <v>43</v>
      </c>
      <c r="C1" t="s">
        <v>41</v>
      </c>
      <c r="D1" t="s">
        <v>44</v>
      </c>
      <c r="E1" t="s">
        <v>42</v>
      </c>
      <c r="F1" t="s">
        <v>51</v>
      </c>
    </row>
    <row r="2" spans="1:6" x14ac:dyDescent="0.25">
      <c r="A2">
        <v>94</v>
      </c>
      <c r="B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2" t="s">
        <v>45</v>
      </c>
      <c r="D2" s="1">
        <f>DATE(Text_1_2[[#This Row],[Text.1.1.12]],Text_1_2[[#This Row],[Text.1.1.2]],1)</f>
        <v>34335</v>
      </c>
      <c r="E2">
        <v>12500</v>
      </c>
      <c r="F2" s="2">
        <f>IFERROR(1-(E$2/E2),0)</f>
        <v>0</v>
      </c>
    </row>
    <row r="3" spans="1:6" x14ac:dyDescent="0.25">
      <c r="A3">
        <v>94</v>
      </c>
      <c r="B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3" t="s">
        <v>45</v>
      </c>
      <c r="D3" s="1">
        <f>DATE(Text_1_2[[#This Row],[Text.1.1.12]],Text_1_2[[#This Row],[Text.1.1.2]],1)</f>
        <v>34335</v>
      </c>
      <c r="E3">
        <v>12500</v>
      </c>
      <c r="F3" s="2">
        <f>IFERROR(1-(E$2/E3),0)</f>
        <v>0</v>
      </c>
    </row>
    <row r="4" spans="1:6" x14ac:dyDescent="0.25">
      <c r="A4">
        <v>94</v>
      </c>
      <c r="B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4" t="s">
        <v>46</v>
      </c>
      <c r="D4" s="1">
        <f>DATE(Text_1_2[[#This Row],[Text.1.1.12]],Text_1_2[[#This Row],[Text.1.1.2]],1)</f>
        <v>34425</v>
      </c>
      <c r="E4">
        <v>12600</v>
      </c>
      <c r="F4" s="2">
        <f>IFERROR(1-(E$2/E4),0)</f>
        <v>7.9365079365079083E-3</v>
      </c>
    </row>
    <row r="5" spans="1:6" x14ac:dyDescent="0.25">
      <c r="A5">
        <v>94</v>
      </c>
      <c r="B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5" t="s">
        <v>46</v>
      </c>
      <c r="D5" s="1">
        <f>DATE(Text_1_2[[#This Row],[Text.1.1.12]],Text_1_2[[#This Row],[Text.1.1.2]],1)</f>
        <v>34425</v>
      </c>
      <c r="E5">
        <v>12600</v>
      </c>
      <c r="F5" s="2">
        <f>IFERROR(1-(E$2/E5),0)</f>
        <v>7.9365079365079083E-3</v>
      </c>
    </row>
    <row r="6" spans="1:6" x14ac:dyDescent="0.25">
      <c r="A6">
        <v>94</v>
      </c>
      <c r="B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6" t="s">
        <v>47</v>
      </c>
      <c r="D6" s="1">
        <f>DATE(Text_1_2[[#This Row],[Text.1.1.12]],Text_1_2[[#This Row],[Text.1.1.2]],1)</f>
        <v>34516</v>
      </c>
      <c r="E6">
        <v>13600</v>
      </c>
      <c r="F6" s="2">
        <f>IFERROR(1-(E$2/E6),0)</f>
        <v>8.0882352941176516E-2</v>
      </c>
    </row>
    <row r="7" spans="1:6" x14ac:dyDescent="0.25">
      <c r="A7">
        <v>94</v>
      </c>
      <c r="B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7" t="s">
        <v>47</v>
      </c>
      <c r="D7" s="1">
        <f>DATE(Text_1_2[[#This Row],[Text.1.1.12]],Text_1_2[[#This Row],[Text.1.1.2]],1)</f>
        <v>34516</v>
      </c>
      <c r="E7">
        <v>13600</v>
      </c>
      <c r="F7" s="2">
        <f>IFERROR(1-(E$2/E7),0)</f>
        <v>8.0882352941176516E-2</v>
      </c>
    </row>
    <row r="8" spans="1:6" x14ac:dyDescent="0.25">
      <c r="A8">
        <v>94</v>
      </c>
      <c r="B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8" t="s">
        <v>48</v>
      </c>
      <c r="D8" s="1">
        <f>DATE(Text_1_2[[#This Row],[Text.1.1.12]],Text_1_2[[#This Row],[Text.1.1.2]],1)</f>
        <v>34608</v>
      </c>
      <c r="E8">
        <v>14100</v>
      </c>
      <c r="F8" s="2">
        <f>IFERROR(1-(E$2/E8),0)</f>
        <v>0.11347517730496459</v>
      </c>
    </row>
    <row r="9" spans="1:6" x14ac:dyDescent="0.25">
      <c r="A9">
        <v>94</v>
      </c>
      <c r="B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1994</v>
      </c>
      <c r="C9" t="s">
        <v>48</v>
      </c>
      <c r="D9" s="1">
        <f>DATE(Text_1_2[[#This Row],[Text.1.1.12]],Text_1_2[[#This Row],[Text.1.1.2]],1)</f>
        <v>34608</v>
      </c>
      <c r="E9">
        <v>14100</v>
      </c>
      <c r="F9" s="2">
        <f>IFERROR(1-(E$2/E9),0)</f>
        <v>0.11347517730496459</v>
      </c>
    </row>
    <row r="10" spans="1:6" x14ac:dyDescent="0.25">
      <c r="A10">
        <v>95</v>
      </c>
      <c r="B1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0" t="s">
        <v>45</v>
      </c>
      <c r="D10" s="1">
        <f>DATE(Text_1_2[[#This Row],[Text.1.1.12]],Text_1_2[[#This Row],[Text.1.1.2]],1)</f>
        <v>34700</v>
      </c>
      <c r="E10">
        <v>14100</v>
      </c>
      <c r="F10" s="2">
        <f>IFERROR(1-(E$2/E10),0)</f>
        <v>0.11347517730496459</v>
      </c>
    </row>
    <row r="11" spans="1:6" x14ac:dyDescent="0.25">
      <c r="A11">
        <v>95</v>
      </c>
      <c r="B1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1" t="s">
        <v>45</v>
      </c>
      <c r="D11" s="1">
        <f>DATE(Text_1_2[[#This Row],[Text.1.1.12]],Text_1_2[[#This Row],[Text.1.1.2]],1)</f>
        <v>34700</v>
      </c>
      <c r="E11">
        <v>14100</v>
      </c>
      <c r="F11" s="2">
        <f>IFERROR(1-(E$2/E11),0)</f>
        <v>0.11347517730496459</v>
      </c>
    </row>
    <row r="12" spans="1:6" x14ac:dyDescent="0.25">
      <c r="A12">
        <v>95</v>
      </c>
      <c r="B1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2" t="s">
        <v>46</v>
      </c>
      <c r="D12" s="1">
        <f>DATE(Text_1_2[[#This Row],[Text.1.1.12]],Text_1_2[[#This Row],[Text.1.1.2]],1)</f>
        <v>34790</v>
      </c>
      <c r="E12">
        <v>12800</v>
      </c>
      <c r="F12" s="2">
        <f>IFERROR(1-(E$2/E12),0)</f>
        <v>2.34375E-2</v>
      </c>
    </row>
    <row r="13" spans="1:6" x14ac:dyDescent="0.25">
      <c r="A13">
        <v>95</v>
      </c>
      <c r="B1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3" t="s">
        <v>46</v>
      </c>
      <c r="D13" s="1">
        <f>DATE(Text_1_2[[#This Row],[Text.1.1.12]],Text_1_2[[#This Row],[Text.1.1.2]],1)</f>
        <v>34790</v>
      </c>
      <c r="E13">
        <v>12800</v>
      </c>
      <c r="F13" s="2">
        <f>IFERROR(1-(E$2/E13),0)</f>
        <v>2.34375E-2</v>
      </c>
    </row>
    <row r="14" spans="1:6" x14ac:dyDescent="0.25">
      <c r="A14">
        <v>95</v>
      </c>
      <c r="B1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4" t="s">
        <v>47</v>
      </c>
      <c r="D14" s="1">
        <f>DATE(Text_1_2[[#This Row],[Text.1.1.12]],Text_1_2[[#This Row],[Text.1.1.2]],1)</f>
        <v>34881</v>
      </c>
      <c r="E14">
        <v>13100</v>
      </c>
      <c r="F14" s="2">
        <f>IFERROR(1-(E$2/E14),0)</f>
        <v>4.5801526717557217E-2</v>
      </c>
    </row>
    <row r="15" spans="1:6" x14ac:dyDescent="0.25">
      <c r="A15">
        <v>95</v>
      </c>
      <c r="B1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5" t="s">
        <v>47</v>
      </c>
      <c r="D15" s="1">
        <f>DATE(Text_1_2[[#This Row],[Text.1.1.12]],Text_1_2[[#This Row],[Text.1.1.2]],1)</f>
        <v>34881</v>
      </c>
      <c r="E15">
        <v>13100</v>
      </c>
      <c r="F15" s="2">
        <f>IFERROR(1-(E$2/E15),0)</f>
        <v>4.5801526717557217E-2</v>
      </c>
    </row>
    <row r="16" spans="1:6" x14ac:dyDescent="0.25">
      <c r="A16">
        <v>95</v>
      </c>
      <c r="B1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6" t="s">
        <v>48</v>
      </c>
      <c r="D16" s="1">
        <f>DATE(Text_1_2[[#This Row],[Text.1.1.12]],Text_1_2[[#This Row],[Text.1.1.2]],1)</f>
        <v>34973</v>
      </c>
      <c r="E16">
        <v>13600</v>
      </c>
      <c r="F16" s="2">
        <f>IFERROR(1-(E$2/E16),0)</f>
        <v>8.0882352941176516E-2</v>
      </c>
    </row>
    <row r="17" spans="1:6" x14ac:dyDescent="0.25">
      <c r="A17">
        <v>95</v>
      </c>
      <c r="B1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1995</v>
      </c>
      <c r="C17" t="s">
        <v>48</v>
      </c>
      <c r="D17" s="1">
        <f>DATE(Text_1_2[[#This Row],[Text.1.1.12]],Text_1_2[[#This Row],[Text.1.1.2]],1)</f>
        <v>34973</v>
      </c>
      <c r="E17">
        <v>13600</v>
      </c>
      <c r="F17" s="2">
        <f>IFERROR(1-(E$2/E17),0)</f>
        <v>8.0882352941176516E-2</v>
      </c>
    </row>
    <row r="18" spans="1:6" x14ac:dyDescent="0.25">
      <c r="A18">
        <v>96</v>
      </c>
      <c r="B1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18" t="s">
        <v>45</v>
      </c>
      <c r="D18" s="1">
        <f>DATE(Text_1_2[[#This Row],[Text.1.1.12]],Text_1_2[[#This Row],[Text.1.1.2]],1)</f>
        <v>35065</v>
      </c>
      <c r="E18">
        <v>14500</v>
      </c>
      <c r="F18" s="2">
        <f>IFERROR(1-(E$2/E18),0)</f>
        <v>0.13793103448275867</v>
      </c>
    </row>
    <row r="19" spans="1:6" x14ac:dyDescent="0.25">
      <c r="A19">
        <v>96</v>
      </c>
      <c r="B1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19" t="s">
        <v>45</v>
      </c>
      <c r="D19" s="1">
        <f>DATE(Text_1_2[[#This Row],[Text.1.1.12]],Text_1_2[[#This Row],[Text.1.1.2]],1)</f>
        <v>35065</v>
      </c>
      <c r="E19">
        <v>14500</v>
      </c>
      <c r="F19" s="2">
        <f>IFERROR(1-(E$2/E19),0)</f>
        <v>0.13793103448275867</v>
      </c>
    </row>
    <row r="20" spans="1:6" x14ac:dyDescent="0.25">
      <c r="A20">
        <v>96</v>
      </c>
      <c r="B2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20" t="s">
        <v>46</v>
      </c>
      <c r="D20" s="1">
        <f>DATE(Text_1_2[[#This Row],[Text.1.1.12]],Text_1_2[[#This Row],[Text.1.1.2]],1)</f>
        <v>35156</v>
      </c>
      <c r="E20">
        <v>16100</v>
      </c>
      <c r="F20" s="2">
        <f>IFERROR(1-(E$2/E20),0)</f>
        <v>0.22360248447204967</v>
      </c>
    </row>
    <row r="21" spans="1:6" x14ac:dyDescent="0.25">
      <c r="A21">
        <v>96</v>
      </c>
      <c r="B2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21" t="s">
        <v>46</v>
      </c>
      <c r="D21" s="1">
        <f>DATE(Text_1_2[[#This Row],[Text.1.1.12]],Text_1_2[[#This Row],[Text.1.1.2]],1)</f>
        <v>35156</v>
      </c>
      <c r="E21">
        <v>16100</v>
      </c>
      <c r="F21" s="2">
        <f>IFERROR(1-(E$2/E21),0)</f>
        <v>0.22360248447204967</v>
      </c>
    </row>
    <row r="22" spans="1:6" x14ac:dyDescent="0.25">
      <c r="A22">
        <v>96</v>
      </c>
      <c r="B2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22" t="s">
        <v>47</v>
      </c>
      <c r="D22" s="1">
        <f>DATE(Text_1_2[[#This Row],[Text.1.1.12]],Text_1_2[[#This Row],[Text.1.1.2]],1)</f>
        <v>35247</v>
      </c>
      <c r="E22">
        <v>16400</v>
      </c>
      <c r="F22" s="2">
        <f>IFERROR(1-(E$2/E22),0)</f>
        <v>0.23780487804878048</v>
      </c>
    </row>
    <row r="23" spans="1:6" x14ac:dyDescent="0.25">
      <c r="A23">
        <v>96</v>
      </c>
      <c r="B2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23" t="s">
        <v>47</v>
      </c>
      <c r="D23" s="1">
        <f>DATE(Text_1_2[[#This Row],[Text.1.1.12]],Text_1_2[[#This Row],[Text.1.1.2]],1)</f>
        <v>35247</v>
      </c>
      <c r="E23">
        <v>16400</v>
      </c>
      <c r="F23" s="2">
        <f>IFERROR(1-(E$2/E23),0)</f>
        <v>0.23780487804878048</v>
      </c>
    </row>
    <row r="24" spans="1:6" x14ac:dyDescent="0.25">
      <c r="A24">
        <v>96</v>
      </c>
      <c r="B2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24" t="s">
        <v>48</v>
      </c>
      <c r="D24" s="1">
        <f>DATE(Text_1_2[[#This Row],[Text.1.1.12]],Text_1_2[[#This Row],[Text.1.1.2]],1)</f>
        <v>35339</v>
      </c>
      <c r="E24">
        <v>18900</v>
      </c>
      <c r="F24" s="2">
        <f>IFERROR(1-(E$2/E24),0)</f>
        <v>0.33862433862433861</v>
      </c>
    </row>
    <row r="25" spans="1:6" x14ac:dyDescent="0.25">
      <c r="A25">
        <v>96</v>
      </c>
      <c r="B2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1996</v>
      </c>
      <c r="C25" t="s">
        <v>48</v>
      </c>
      <c r="D25" s="1">
        <f>DATE(Text_1_2[[#This Row],[Text.1.1.12]],Text_1_2[[#This Row],[Text.1.1.2]],1)</f>
        <v>35339</v>
      </c>
      <c r="E25">
        <v>18900</v>
      </c>
      <c r="F25" s="2">
        <f>IFERROR(1-(E$2/E25),0)</f>
        <v>0.33862433862433861</v>
      </c>
    </row>
    <row r="26" spans="1:6" x14ac:dyDescent="0.25">
      <c r="A26">
        <v>97</v>
      </c>
      <c r="B2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26" t="s">
        <v>45</v>
      </c>
      <c r="D26" s="1">
        <f>DATE(Text_1_2[[#This Row],[Text.1.1.12]],Text_1_2[[#This Row],[Text.1.1.2]],1)</f>
        <v>35431</v>
      </c>
      <c r="E26">
        <v>22100</v>
      </c>
      <c r="F26" s="2">
        <f>IFERROR(1-(E$2/E26),0)</f>
        <v>0.43438914027149322</v>
      </c>
    </row>
    <row r="27" spans="1:6" x14ac:dyDescent="0.25">
      <c r="A27">
        <v>97</v>
      </c>
      <c r="B2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27" t="s">
        <v>45</v>
      </c>
      <c r="D27" s="1">
        <f>DATE(Text_1_2[[#This Row],[Text.1.1.12]],Text_1_2[[#This Row],[Text.1.1.2]],1)</f>
        <v>35431</v>
      </c>
      <c r="E27">
        <v>22100</v>
      </c>
      <c r="F27" s="2">
        <f>IFERROR(1-(E$2/E27),0)</f>
        <v>0.43438914027149322</v>
      </c>
    </row>
    <row r="28" spans="1:6" x14ac:dyDescent="0.25">
      <c r="A28">
        <v>97</v>
      </c>
      <c r="B2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28" t="s">
        <v>46</v>
      </c>
      <c r="D28" s="1">
        <f>DATE(Text_1_2[[#This Row],[Text.1.1.12]],Text_1_2[[#This Row],[Text.1.1.2]],1)</f>
        <v>35521</v>
      </c>
      <c r="E28">
        <v>21100</v>
      </c>
      <c r="F28" s="2">
        <f>IFERROR(1-(E$2/E28),0)</f>
        <v>0.40758293838862558</v>
      </c>
    </row>
    <row r="29" spans="1:6" x14ac:dyDescent="0.25">
      <c r="A29">
        <v>97</v>
      </c>
      <c r="B2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29" t="s">
        <v>46</v>
      </c>
      <c r="D29" s="1">
        <f>DATE(Text_1_2[[#This Row],[Text.1.1.12]],Text_1_2[[#This Row],[Text.1.1.2]],1)</f>
        <v>35521</v>
      </c>
      <c r="E29">
        <v>21100</v>
      </c>
      <c r="F29" s="2">
        <f>IFERROR(1-(E$2/E29),0)</f>
        <v>0.40758293838862558</v>
      </c>
    </row>
    <row r="30" spans="1:6" x14ac:dyDescent="0.25">
      <c r="A30">
        <v>97</v>
      </c>
      <c r="B3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30" t="s">
        <v>47</v>
      </c>
      <c r="D30" s="1">
        <f>DATE(Text_1_2[[#This Row],[Text.1.1.12]],Text_1_2[[#This Row],[Text.1.1.2]],1)</f>
        <v>35612</v>
      </c>
      <c r="E30">
        <v>19200</v>
      </c>
      <c r="F30" s="2">
        <f>IFERROR(1-(E$2/E30),0)</f>
        <v>0.34895833333333337</v>
      </c>
    </row>
    <row r="31" spans="1:6" x14ac:dyDescent="0.25">
      <c r="A31">
        <v>97</v>
      </c>
      <c r="B3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31" t="s">
        <v>47</v>
      </c>
      <c r="D31" s="1">
        <f>DATE(Text_1_2[[#This Row],[Text.1.1.12]],Text_1_2[[#This Row],[Text.1.1.2]],1)</f>
        <v>35612</v>
      </c>
      <c r="E31">
        <v>19200</v>
      </c>
      <c r="F31" s="2">
        <f>IFERROR(1-(E$2/E31),0)</f>
        <v>0.34895833333333337</v>
      </c>
    </row>
    <row r="32" spans="1:6" x14ac:dyDescent="0.25">
      <c r="A32">
        <v>97</v>
      </c>
      <c r="B3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32" t="s">
        <v>48</v>
      </c>
      <c r="D32" s="1">
        <f>DATE(Text_1_2[[#This Row],[Text.1.1.12]],Text_1_2[[#This Row],[Text.1.1.2]],1)</f>
        <v>35704</v>
      </c>
      <c r="E32">
        <v>20400</v>
      </c>
      <c r="F32" s="2">
        <f>IFERROR(1-(E$2/E32),0)</f>
        <v>0.38725490196078427</v>
      </c>
    </row>
    <row r="33" spans="1:6" x14ac:dyDescent="0.25">
      <c r="A33">
        <v>97</v>
      </c>
      <c r="B3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1997</v>
      </c>
      <c r="C33" t="s">
        <v>48</v>
      </c>
      <c r="D33" s="1">
        <f>DATE(Text_1_2[[#This Row],[Text.1.1.12]],Text_1_2[[#This Row],[Text.1.1.2]],1)</f>
        <v>35704</v>
      </c>
      <c r="E33">
        <v>20400</v>
      </c>
      <c r="F33" s="2">
        <f>IFERROR(1-(E$2/E33),0)</f>
        <v>0.38725490196078427</v>
      </c>
    </row>
    <row r="34" spans="1:6" x14ac:dyDescent="0.25">
      <c r="A34">
        <v>98</v>
      </c>
      <c r="B3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34" t="s">
        <v>45</v>
      </c>
      <c r="D34" s="1">
        <f>DATE(Text_1_2[[#This Row],[Text.1.1.12]],Text_1_2[[#This Row],[Text.1.1.2]],1)</f>
        <v>35796</v>
      </c>
      <c r="E34">
        <v>18400</v>
      </c>
      <c r="F34" s="2">
        <f>IFERROR(1-(E$2/E34),0)</f>
        <v>0.32065217391304346</v>
      </c>
    </row>
    <row r="35" spans="1:6" x14ac:dyDescent="0.25">
      <c r="A35">
        <v>98</v>
      </c>
      <c r="B3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35" t="s">
        <v>45</v>
      </c>
      <c r="D35" s="1">
        <f>DATE(Text_1_2[[#This Row],[Text.1.1.12]],Text_1_2[[#This Row],[Text.1.1.2]],1)</f>
        <v>35796</v>
      </c>
      <c r="E35">
        <v>18400</v>
      </c>
      <c r="F35" s="2">
        <f>IFERROR(1-(E$2/E35),0)</f>
        <v>0.32065217391304346</v>
      </c>
    </row>
    <row r="36" spans="1:6" x14ac:dyDescent="0.25">
      <c r="A36">
        <v>98</v>
      </c>
      <c r="B3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36" t="s">
        <v>46</v>
      </c>
      <c r="D36" s="1">
        <f>DATE(Text_1_2[[#This Row],[Text.1.1.12]],Text_1_2[[#This Row],[Text.1.1.2]],1)</f>
        <v>35886</v>
      </c>
      <c r="E36">
        <v>17100</v>
      </c>
      <c r="F36" s="2">
        <f>IFERROR(1-(E$2/E36),0)</f>
        <v>0.26900584795321636</v>
      </c>
    </row>
    <row r="37" spans="1:6" x14ac:dyDescent="0.25">
      <c r="A37">
        <v>98</v>
      </c>
      <c r="B3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37" t="s">
        <v>46</v>
      </c>
      <c r="D37" s="1">
        <f>DATE(Text_1_2[[#This Row],[Text.1.1.12]],Text_1_2[[#This Row],[Text.1.1.2]],1)</f>
        <v>35886</v>
      </c>
      <c r="E37">
        <v>17100</v>
      </c>
      <c r="F37" s="2">
        <f>IFERROR(1-(E$2/E37),0)</f>
        <v>0.26900584795321636</v>
      </c>
    </row>
    <row r="38" spans="1:6" x14ac:dyDescent="0.25">
      <c r="A38">
        <v>98</v>
      </c>
      <c r="B3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38" t="s">
        <v>47</v>
      </c>
      <c r="D38" s="1">
        <f>DATE(Text_1_2[[#This Row],[Text.1.1.12]],Text_1_2[[#This Row],[Text.1.1.2]],1)</f>
        <v>35977</v>
      </c>
      <c r="E38">
        <v>15900</v>
      </c>
      <c r="F38" s="2">
        <f>IFERROR(1-(E$2/E38),0)</f>
        <v>0.21383647798742134</v>
      </c>
    </row>
    <row r="39" spans="1:6" x14ac:dyDescent="0.25">
      <c r="A39">
        <v>98</v>
      </c>
      <c r="B3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39" t="s">
        <v>47</v>
      </c>
      <c r="D39" s="1">
        <f>DATE(Text_1_2[[#This Row],[Text.1.1.12]],Text_1_2[[#This Row],[Text.1.1.2]],1)</f>
        <v>35977</v>
      </c>
      <c r="E39">
        <v>15900</v>
      </c>
      <c r="F39" s="2">
        <f>IFERROR(1-(E$2/E39),0)</f>
        <v>0.21383647798742134</v>
      </c>
    </row>
    <row r="40" spans="1:6" x14ac:dyDescent="0.25">
      <c r="A40">
        <v>98</v>
      </c>
      <c r="B4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40" t="s">
        <v>48</v>
      </c>
      <c r="D40" s="1">
        <f>DATE(Text_1_2[[#This Row],[Text.1.1.12]],Text_1_2[[#This Row],[Text.1.1.2]],1)</f>
        <v>36069</v>
      </c>
      <c r="E40">
        <v>14600</v>
      </c>
      <c r="F40" s="2">
        <f>IFERROR(1-(E$2/E40),0)</f>
        <v>0.14383561643835618</v>
      </c>
    </row>
    <row r="41" spans="1:6" x14ac:dyDescent="0.25">
      <c r="A41">
        <v>98</v>
      </c>
      <c r="B4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1998</v>
      </c>
      <c r="C41" t="s">
        <v>48</v>
      </c>
      <c r="D41" s="1">
        <f>DATE(Text_1_2[[#This Row],[Text.1.1.12]],Text_1_2[[#This Row],[Text.1.1.2]],1)</f>
        <v>36069</v>
      </c>
      <c r="E41">
        <v>14600</v>
      </c>
      <c r="F41" s="2">
        <f>IFERROR(1-(E$2/E41),0)</f>
        <v>0.14383561643835618</v>
      </c>
    </row>
    <row r="42" spans="1:6" x14ac:dyDescent="0.25">
      <c r="A42">
        <v>99</v>
      </c>
      <c r="B4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2" t="s">
        <v>45</v>
      </c>
      <c r="D42" s="1">
        <f>DATE(Text_1_2[[#This Row],[Text.1.1.12]],Text_1_2[[#This Row],[Text.1.1.2]],1)</f>
        <v>36161</v>
      </c>
      <c r="E42">
        <v>12300</v>
      </c>
      <c r="F42" s="2">
        <f>IFERROR(1-(E$2/E42),0)</f>
        <v>-1.6260162601626105E-2</v>
      </c>
    </row>
    <row r="43" spans="1:6" x14ac:dyDescent="0.25">
      <c r="A43">
        <v>99</v>
      </c>
      <c r="B4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3" t="s">
        <v>45</v>
      </c>
      <c r="D43" s="1">
        <f>DATE(Text_1_2[[#This Row],[Text.1.1.12]],Text_1_2[[#This Row],[Text.1.1.2]],1)</f>
        <v>36161</v>
      </c>
      <c r="E43">
        <v>12300</v>
      </c>
      <c r="F43" s="2">
        <f>IFERROR(1-(E$2/E43),0)</f>
        <v>-1.6260162601626105E-2</v>
      </c>
    </row>
    <row r="44" spans="1:6" x14ac:dyDescent="0.25">
      <c r="A44">
        <v>99</v>
      </c>
      <c r="B4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4" t="s">
        <v>46</v>
      </c>
      <c r="D44" s="1">
        <f>DATE(Text_1_2[[#This Row],[Text.1.1.12]],Text_1_2[[#This Row],[Text.1.1.2]],1)</f>
        <v>36251</v>
      </c>
      <c r="E44">
        <v>14800</v>
      </c>
      <c r="F44" s="2">
        <f>IFERROR(1-(E$2/E44),0)</f>
        <v>0.15540540540540537</v>
      </c>
    </row>
    <row r="45" spans="1:6" x14ac:dyDescent="0.25">
      <c r="A45">
        <v>99</v>
      </c>
      <c r="B4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5" t="s">
        <v>46</v>
      </c>
      <c r="D45" s="1">
        <f>DATE(Text_1_2[[#This Row],[Text.1.1.12]],Text_1_2[[#This Row],[Text.1.1.2]],1)</f>
        <v>36251</v>
      </c>
      <c r="E45">
        <v>14800</v>
      </c>
      <c r="F45" s="2">
        <f>IFERROR(1-(E$2/E45),0)</f>
        <v>0.15540540540540537</v>
      </c>
    </row>
    <row r="46" spans="1:6" x14ac:dyDescent="0.25">
      <c r="A46">
        <v>99</v>
      </c>
      <c r="B4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6" t="s">
        <v>47</v>
      </c>
      <c r="D46" s="1">
        <f>DATE(Text_1_2[[#This Row],[Text.1.1.12]],Text_1_2[[#This Row],[Text.1.1.2]],1)</f>
        <v>36342</v>
      </c>
      <c r="E46">
        <v>17700</v>
      </c>
      <c r="F46" s="2">
        <f>IFERROR(1-(E$2/E46),0)</f>
        <v>0.29378531073446323</v>
      </c>
    </row>
    <row r="47" spans="1:6" x14ac:dyDescent="0.25">
      <c r="A47">
        <v>99</v>
      </c>
      <c r="B4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7" t="s">
        <v>47</v>
      </c>
      <c r="D47" s="1">
        <f>DATE(Text_1_2[[#This Row],[Text.1.1.12]],Text_1_2[[#This Row],[Text.1.1.2]],1)</f>
        <v>36342</v>
      </c>
      <c r="E47">
        <v>17700</v>
      </c>
      <c r="F47" s="2">
        <f>IFERROR(1-(E$2/E47),0)</f>
        <v>0.29378531073446323</v>
      </c>
    </row>
    <row r="48" spans="1:6" x14ac:dyDescent="0.25">
      <c r="A48">
        <v>99</v>
      </c>
      <c r="B4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8" t="s">
        <v>48</v>
      </c>
      <c r="D48" s="1">
        <f>DATE(Text_1_2[[#This Row],[Text.1.1.12]],Text_1_2[[#This Row],[Text.1.1.2]],1)</f>
        <v>36434</v>
      </c>
      <c r="E48">
        <v>19100</v>
      </c>
      <c r="F48" s="2">
        <f>IFERROR(1-(E$2/E48),0)</f>
        <v>0.34554973821989532</v>
      </c>
    </row>
    <row r="49" spans="1:6" x14ac:dyDescent="0.25">
      <c r="A49">
        <v>99</v>
      </c>
      <c r="B4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1999</v>
      </c>
      <c r="C49" t="s">
        <v>48</v>
      </c>
      <c r="D49" s="1">
        <f>DATE(Text_1_2[[#This Row],[Text.1.1.12]],Text_1_2[[#This Row],[Text.1.1.2]],1)</f>
        <v>36434</v>
      </c>
      <c r="E49">
        <v>19100</v>
      </c>
      <c r="F49" s="2">
        <f>IFERROR(1-(E$2/E49),0)</f>
        <v>0.34554973821989532</v>
      </c>
    </row>
    <row r="50" spans="1:6" x14ac:dyDescent="0.25">
      <c r="A50">
        <v>0</v>
      </c>
      <c r="B5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0" t="s">
        <v>45</v>
      </c>
      <c r="D50" s="1">
        <f>DATE(Text_1_2[[#This Row],[Text.1.1.12]],Text_1_2[[#This Row],[Text.1.1.2]],1)</f>
        <v>36526</v>
      </c>
      <c r="E50">
        <v>20200</v>
      </c>
      <c r="F50" s="2">
        <f>IFERROR(1-(E$2/E50),0)</f>
        <v>0.38118811881188119</v>
      </c>
    </row>
    <row r="51" spans="1:6" x14ac:dyDescent="0.25">
      <c r="A51">
        <v>0</v>
      </c>
      <c r="B5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1" t="s">
        <v>45</v>
      </c>
      <c r="D51" s="1">
        <f>DATE(Text_1_2[[#This Row],[Text.1.1.12]],Text_1_2[[#This Row],[Text.1.1.2]],1)</f>
        <v>36526</v>
      </c>
      <c r="E51">
        <v>20200</v>
      </c>
      <c r="F51" s="2">
        <f>IFERROR(1-(E$2/E51),0)</f>
        <v>0.38118811881188119</v>
      </c>
    </row>
    <row r="52" spans="1:6" x14ac:dyDescent="0.25">
      <c r="A52">
        <v>0</v>
      </c>
      <c r="B5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2" t="s">
        <v>46</v>
      </c>
      <c r="D52" s="1">
        <f>DATE(Text_1_2[[#This Row],[Text.1.1.12]],Text_1_2[[#This Row],[Text.1.1.2]],1)</f>
        <v>36617</v>
      </c>
      <c r="E52">
        <v>21700</v>
      </c>
      <c r="F52" s="2">
        <f>IFERROR(1-(E$2/E52),0)</f>
        <v>0.42396313364055305</v>
      </c>
    </row>
    <row r="53" spans="1:6" x14ac:dyDescent="0.25">
      <c r="A53">
        <v>0</v>
      </c>
      <c r="B5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3" t="s">
        <v>46</v>
      </c>
      <c r="D53" s="1">
        <f>DATE(Text_1_2[[#This Row],[Text.1.1.12]],Text_1_2[[#This Row],[Text.1.1.2]],1)</f>
        <v>36617</v>
      </c>
      <c r="E53">
        <v>21700</v>
      </c>
      <c r="F53" s="2">
        <f>IFERROR(1-(E$2/E53),0)</f>
        <v>0.42396313364055305</v>
      </c>
    </row>
    <row r="54" spans="1:6" x14ac:dyDescent="0.25">
      <c r="A54">
        <v>0</v>
      </c>
      <c r="B5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4" t="s">
        <v>47</v>
      </c>
      <c r="D54" s="1">
        <f>DATE(Text_1_2[[#This Row],[Text.1.1.12]],Text_1_2[[#This Row],[Text.1.1.2]],1)</f>
        <v>36708</v>
      </c>
      <c r="E54">
        <v>22700</v>
      </c>
      <c r="F54" s="2">
        <f>IFERROR(1-(E$2/E54),0)</f>
        <v>0.4493392070484582</v>
      </c>
    </row>
    <row r="55" spans="1:6" x14ac:dyDescent="0.25">
      <c r="A55">
        <v>0</v>
      </c>
      <c r="B5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5" t="s">
        <v>47</v>
      </c>
      <c r="D55" s="1">
        <f>DATE(Text_1_2[[#This Row],[Text.1.1.12]],Text_1_2[[#This Row],[Text.1.1.2]],1)</f>
        <v>36708</v>
      </c>
      <c r="E55">
        <v>22700</v>
      </c>
      <c r="F55" s="2">
        <f>IFERROR(1-(E$2/E55),0)</f>
        <v>0.4493392070484582</v>
      </c>
    </row>
    <row r="56" spans="1:6" x14ac:dyDescent="0.25">
      <c r="A56">
        <v>0</v>
      </c>
      <c r="B5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6" t="s">
        <v>48</v>
      </c>
      <c r="D56" s="1">
        <f>DATE(Text_1_2[[#This Row],[Text.1.1.12]],Text_1_2[[#This Row],[Text.1.1.2]],1)</f>
        <v>36800</v>
      </c>
      <c r="E56">
        <v>25700</v>
      </c>
      <c r="F56" s="2">
        <f>IFERROR(1-(E$2/E56),0)</f>
        <v>0.51361867704280151</v>
      </c>
    </row>
    <row r="57" spans="1:6" x14ac:dyDescent="0.25">
      <c r="A57">
        <v>0</v>
      </c>
      <c r="B5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2000</v>
      </c>
      <c r="C57" t="s">
        <v>48</v>
      </c>
      <c r="D57" s="1">
        <f>DATE(Text_1_2[[#This Row],[Text.1.1.12]],Text_1_2[[#This Row],[Text.1.1.2]],1)</f>
        <v>36800</v>
      </c>
      <c r="E57">
        <v>25700</v>
      </c>
      <c r="F57" s="2">
        <f>IFERROR(1-(E$2/E57),0)</f>
        <v>0.51361867704280151</v>
      </c>
    </row>
    <row r="58" spans="1:6" x14ac:dyDescent="0.25">
      <c r="A58">
        <v>1</v>
      </c>
      <c r="B5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58" t="s">
        <v>45</v>
      </c>
      <c r="D58" s="1">
        <f>DATE(Text_1_2[[#This Row],[Text.1.1.12]],Text_1_2[[#This Row],[Text.1.1.2]],1)</f>
        <v>36892</v>
      </c>
      <c r="E58">
        <v>24000</v>
      </c>
      <c r="F58" s="2">
        <f>IFERROR(1-(E$2/E58),0)</f>
        <v>0.47916666666666663</v>
      </c>
    </row>
    <row r="59" spans="1:6" x14ac:dyDescent="0.25">
      <c r="A59">
        <v>1</v>
      </c>
      <c r="B5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59" t="s">
        <v>45</v>
      </c>
      <c r="D59" s="1">
        <f>DATE(Text_1_2[[#This Row],[Text.1.1.12]],Text_1_2[[#This Row],[Text.1.1.2]],1)</f>
        <v>36892</v>
      </c>
      <c r="E59">
        <v>24000</v>
      </c>
      <c r="F59" s="2">
        <f>IFERROR(1-(E$2/E59),0)</f>
        <v>0.47916666666666663</v>
      </c>
    </row>
    <row r="60" spans="1:6" x14ac:dyDescent="0.25">
      <c r="A60">
        <v>1</v>
      </c>
      <c r="B6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60" t="s">
        <v>46</v>
      </c>
      <c r="D60" s="1">
        <f>DATE(Text_1_2[[#This Row],[Text.1.1.12]],Text_1_2[[#This Row],[Text.1.1.2]],1)</f>
        <v>36982</v>
      </c>
      <c r="E60">
        <v>25300</v>
      </c>
      <c r="F60" s="2">
        <f>IFERROR(1-(E$2/E60),0)</f>
        <v>0.50592885375494068</v>
      </c>
    </row>
    <row r="61" spans="1:6" x14ac:dyDescent="0.25">
      <c r="A61">
        <v>1</v>
      </c>
      <c r="B6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61" t="s">
        <v>46</v>
      </c>
      <c r="D61" s="1">
        <f>DATE(Text_1_2[[#This Row],[Text.1.1.12]],Text_1_2[[#This Row],[Text.1.1.2]],1)</f>
        <v>36982</v>
      </c>
      <c r="E61">
        <v>25300</v>
      </c>
      <c r="F61" s="2">
        <f>IFERROR(1-(E$2/E61),0)</f>
        <v>0.50592885375494068</v>
      </c>
    </row>
    <row r="62" spans="1:6" x14ac:dyDescent="0.25">
      <c r="A62">
        <v>1</v>
      </c>
      <c r="B6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62" t="s">
        <v>47</v>
      </c>
      <c r="D62" s="1">
        <f>DATE(Text_1_2[[#This Row],[Text.1.1.12]],Text_1_2[[#This Row],[Text.1.1.2]],1)</f>
        <v>37073</v>
      </c>
      <c r="E62">
        <v>23600</v>
      </c>
      <c r="F62" s="2">
        <f>IFERROR(1-(E$2/E62),0)</f>
        <v>0.47033898305084743</v>
      </c>
    </row>
    <row r="63" spans="1:6" x14ac:dyDescent="0.25">
      <c r="A63">
        <v>1</v>
      </c>
      <c r="B6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63" t="s">
        <v>47</v>
      </c>
      <c r="D63" s="1">
        <f>DATE(Text_1_2[[#This Row],[Text.1.1.12]],Text_1_2[[#This Row],[Text.1.1.2]],1)</f>
        <v>37073</v>
      </c>
      <c r="E63">
        <v>23600</v>
      </c>
      <c r="F63" s="2">
        <f>IFERROR(1-(E$2/E63),0)</f>
        <v>0.47033898305084743</v>
      </c>
    </row>
    <row r="64" spans="1:6" x14ac:dyDescent="0.25">
      <c r="A64">
        <v>1</v>
      </c>
      <c r="B6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64" t="s">
        <v>48</v>
      </c>
      <c r="D64" s="1">
        <f>DATE(Text_1_2[[#This Row],[Text.1.1.12]],Text_1_2[[#This Row],[Text.1.1.2]],1)</f>
        <v>37165</v>
      </c>
      <c r="E64">
        <v>20000</v>
      </c>
      <c r="F64" s="2">
        <f>IFERROR(1-(E$2/E64),0)</f>
        <v>0.375</v>
      </c>
    </row>
    <row r="65" spans="1:6" x14ac:dyDescent="0.25">
      <c r="A65">
        <v>1</v>
      </c>
      <c r="B6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2001</v>
      </c>
      <c r="C65" t="s">
        <v>48</v>
      </c>
      <c r="D65" s="1">
        <f>DATE(Text_1_2[[#This Row],[Text.1.1.12]],Text_1_2[[#This Row],[Text.1.1.2]],1)</f>
        <v>37165</v>
      </c>
      <c r="E65">
        <v>20000</v>
      </c>
      <c r="F65" s="2">
        <f>IFERROR(1-(E$2/E65),0)</f>
        <v>0.375</v>
      </c>
    </row>
    <row r="66" spans="1:6" x14ac:dyDescent="0.25">
      <c r="A66">
        <v>2</v>
      </c>
      <c r="B6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66" t="s">
        <v>45</v>
      </c>
      <c r="D66" s="1">
        <f>DATE(Text_1_2[[#This Row],[Text.1.1.12]],Text_1_2[[#This Row],[Text.1.1.2]],1)</f>
        <v>37257</v>
      </c>
      <c r="E66">
        <v>19300</v>
      </c>
      <c r="F66" s="2">
        <f>IFERROR(1-(E$2/E66),0)</f>
        <v>0.35233160621761661</v>
      </c>
    </row>
    <row r="67" spans="1:6" x14ac:dyDescent="0.25">
      <c r="A67">
        <v>2</v>
      </c>
      <c r="B6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67" t="s">
        <v>45</v>
      </c>
      <c r="D67" s="1">
        <f>DATE(Text_1_2[[#This Row],[Text.1.1.12]],Text_1_2[[#This Row],[Text.1.1.2]],1)</f>
        <v>37257</v>
      </c>
      <c r="E67">
        <v>19300</v>
      </c>
      <c r="F67" s="2">
        <f>IFERROR(1-(E$2/E67),0)</f>
        <v>0.35233160621761661</v>
      </c>
    </row>
    <row r="68" spans="1:6" x14ac:dyDescent="0.25">
      <c r="A68">
        <v>2</v>
      </c>
      <c r="B6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68" t="s">
        <v>46</v>
      </c>
      <c r="D68" s="1">
        <f>DATE(Text_1_2[[#This Row],[Text.1.1.12]],Text_1_2[[#This Row],[Text.1.1.2]],1)</f>
        <v>37347</v>
      </c>
      <c r="E68">
        <v>23400</v>
      </c>
      <c r="F68" s="2">
        <f>IFERROR(1-(E$2/E68),0)</f>
        <v>0.46581196581196582</v>
      </c>
    </row>
    <row r="69" spans="1:6" x14ac:dyDescent="0.25">
      <c r="A69">
        <v>2</v>
      </c>
      <c r="B6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69" t="s">
        <v>46</v>
      </c>
      <c r="D69" s="1">
        <f>DATE(Text_1_2[[#This Row],[Text.1.1.12]],Text_1_2[[#This Row],[Text.1.1.2]],1)</f>
        <v>37347</v>
      </c>
      <c r="E69">
        <v>23400</v>
      </c>
      <c r="F69" s="2">
        <f>IFERROR(1-(E$2/E69),0)</f>
        <v>0.46581196581196582</v>
      </c>
    </row>
    <row r="70" spans="1:6" x14ac:dyDescent="0.25">
      <c r="A70">
        <v>2</v>
      </c>
      <c r="B7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70" t="s">
        <v>47</v>
      </c>
      <c r="D70" s="1">
        <f>DATE(Text_1_2[[#This Row],[Text.1.1.12]],Text_1_2[[#This Row],[Text.1.1.2]],1)</f>
        <v>37438</v>
      </c>
      <c r="E70">
        <v>21800</v>
      </c>
      <c r="F70" s="2">
        <f>IFERROR(1-(E$2/E70),0)</f>
        <v>0.42660550458715596</v>
      </c>
    </row>
    <row r="71" spans="1:6" x14ac:dyDescent="0.25">
      <c r="A71">
        <v>2</v>
      </c>
      <c r="B7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71" t="s">
        <v>47</v>
      </c>
      <c r="D71" s="1">
        <f>DATE(Text_1_2[[#This Row],[Text.1.1.12]],Text_1_2[[#This Row],[Text.1.1.2]],1)</f>
        <v>37438</v>
      </c>
      <c r="E71">
        <v>21800</v>
      </c>
      <c r="F71" s="2">
        <f>IFERROR(1-(E$2/E71),0)</f>
        <v>0.42660550458715596</v>
      </c>
    </row>
    <row r="72" spans="1:6" x14ac:dyDescent="0.25">
      <c r="A72">
        <v>2</v>
      </c>
      <c r="B7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72" t="s">
        <v>48</v>
      </c>
      <c r="D72" s="1">
        <f>DATE(Text_1_2[[#This Row],[Text.1.1.12]],Text_1_2[[#This Row],[Text.1.1.2]],1)</f>
        <v>37530</v>
      </c>
      <c r="E72">
        <v>23900</v>
      </c>
      <c r="F72" s="2">
        <f>IFERROR(1-(E$2/E72),0)</f>
        <v>0.47698744769874479</v>
      </c>
    </row>
    <row r="73" spans="1:6" x14ac:dyDescent="0.25">
      <c r="A73">
        <v>2</v>
      </c>
      <c r="B7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2002</v>
      </c>
      <c r="C73" t="s">
        <v>48</v>
      </c>
      <c r="D73" s="1">
        <f>DATE(Text_1_2[[#This Row],[Text.1.1.12]],Text_1_2[[#This Row],[Text.1.1.2]],1)</f>
        <v>37530</v>
      </c>
      <c r="E73">
        <v>23900</v>
      </c>
      <c r="F73" s="2">
        <f>IFERROR(1-(E$2/E73),0)</f>
        <v>0.47698744769874479</v>
      </c>
    </row>
    <row r="74" spans="1:6" x14ac:dyDescent="0.25">
      <c r="A74">
        <v>3</v>
      </c>
      <c r="B7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74" t="s">
        <v>45</v>
      </c>
      <c r="D74" s="1">
        <f>DATE(Text_1_2[[#This Row],[Text.1.1.12]],Text_1_2[[#This Row],[Text.1.1.2]],1)</f>
        <v>37622</v>
      </c>
      <c r="E74">
        <v>26700</v>
      </c>
      <c r="F74" s="2">
        <f>IFERROR(1-(E$2/E74),0)</f>
        <v>0.53183520599250933</v>
      </c>
    </row>
    <row r="75" spans="1:6" x14ac:dyDescent="0.25">
      <c r="A75">
        <v>3</v>
      </c>
      <c r="B7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75" t="s">
        <v>45</v>
      </c>
      <c r="D75" s="1">
        <f>DATE(Text_1_2[[#This Row],[Text.1.1.12]],Text_1_2[[#This Row],[Text.1.1.2]],1)</f>
        <v>37622</v>
      </c>
      <c r="E75">
        <v>26700</v>
      </c>
      <c r="F75" s="2">
        <f>IFERROR(1-(E$2/E75),0)</f>
        <v>0.53183520599250933</v>
      </c>
    </row>
    <row r="76" spans="1:6" x14ac:dyDescent="0.25">
      <c r="A76">
        <v>3</v>
      </c>
      <c r="B7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76" t="s">
        <v>46</v>
      </c>
      <c r="D76" s="1">
        <f>DATE(Text_1_2[[#This Row],[Text.1.1.12]],Text_1_2[[#This Row],[Text.1.1.2]],1)</f>
        <v>37712</v>
      </c>
      <c r="E76">
        <v>26500</v>
      </c>
      <c r="F76" s="2">
        <f>IFERROR(1-(E$2/E76),0)</f>
        <v>0.52830188679245282</v>
      </c>
    </row>
    <row r="77" spans="1:6" x14ac:dyDescent="0.25">
      <c r="A77">
        <v>3</v>
      </c>
      <c r="B7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77" t="s">
        <v>46</v>
      </c>
      <c r="D77" s="1">
        <f>DATE(Text_1_2[[#This Row],[Text.1.1.12]],Text_1_2[[#This Row],[Text.1.1.2]],1)</f>
        <v>37712</v>
      </c>
      <c r="E77">
        <v>26500</v>
      </c>
      <c r="F77" s="2">
        <f>IFERROR(1-(E$2/E77),0)</f>
        <v>0.52830188679245282</v>
      </c>
    </row>
    <row r="78" spans="1:6" x14ac:dyDescent="0.25">
      <c r="A78">
        <v>3</v>
      </c>
      <c r="B7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78" t="s">
        <v>47</v>
      </c>
      <c r="D78" s="1">
        <f>DATE(Text_1_2[[#This Row],[Text.1.1.12]],Text_1_2[[#This Row],[Text.1.1.2]],1)</f>
        <v>37803</v>
      </c>
      <c r="E78">
        <v>24200</v>
      </c>
      <c r="F78" s="2">
        <f>IFERROR(1-(E$2/E78),0)</f>
        <v>0.48347107438016534</v>
      </c>
    </row>
    <row r="79" spans="1:6" x14ac:dyDescent="0.25">
      <c r="A79">
        <v>3</v>
      </c>
      <c r="B7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79" t="s">
        <v>47</v>
      </c>
      <c r="D79" s="1">
        <f>DATE(Text_1_2[[#This Row],[Text.1.1.12]],Text_1_2[[#This Row],[Text.1.1.2]],1)</f>
        <v>37803</v>
      </c>
      <c r="E79">
        <v>24200</v>
      </c>
      <c r="F79" s="2">
        <f>IFERROR(1-(E$2/E79),0)</f>
        <v>0.48347107438016534</v>
      </c>
    </row>
    <row r="80" spans="1:6" x14ac:dyDescent="0.25">
      <c r="A80">
        <v>3</v>
      </c>
      <c r="B8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80" t="s">
        <v>48</v>
      </c>
      <c r="D80" s="1">
        <f>DATE(Text_1_2[[#This Row],[Text.1.1.12]],Text_1_2[[#This Row],[Text.1.1.2]],1)</f>
        <v>37895</v>
      </c>
      <c r="E80">
        <v>24000</v>
      </c>
      <c r="F80" s="2">
        <f>IFERROR(1-(E$2/E80),0)</f>
        <v>0.47916666666666663</v>
      </c>
    </row>
    <row r="81" spans="1:6" x14ac:dyDescent="0.25">
      <c r="A81">
        <v>3</v>
      </c>
      <c r="B8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2003</v>
      </c>
      <c r="C81" t="s">
        <v>48</v>
      </c>
      <c r="D81" s="1">
        <f>DATE(Text_1_2[[#This Row],[Text.1.1.12]],Text_1_2[[#This Row],[Text.1.1.2]],1)</f>
        <v>37895</v>
      </c>
      <c r="E81">
        <v>24000</v>
      </c>
      <c r="F81" s="2">
        <f>IFERROR(1-(E$2/E81),0)</f>
        <v>0.47916666666666663</v>
      </c>
    </row>
    <row r="82" spans="1:6" x14ac:dyDescent="0.25">
      <c r="A82">
        <v>4</v>
      </c>
      <c r="B8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2" t="s">
        <v>45</v>
      </c>
      <c r="D82" s="1">
        <f>DATE(Text_1_2[[#This Row],[Text.1.1.12]],Text_1_2[[#This Row],[Text.1.1.2]],1)</f>
        <v>37987</v>
      </c>
      <c r="E82">
        <v>27600</v>
      </c>
      <c r="F82" s="2">
        <f>IFERROR(1-(E$2/E82),0)</f>
        <v>0.54710144927536231</v>
      </c>
    </row>
    <row r="83" spans="1:6" x14ac:dyDescent="0.25">
      <c r="A83">
        <v>4</v>
      </c>
      <c r="B8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3" t="s">
        <v>45</v>
      </c>
      <c r="D83" s="1">
        <f>DATE(Text_1_2[[#This Row],[Text.1.1.12]],Text_1_2[[#This Row],[Text.1.1.2]],1)</f>
        <v>37987</v>
      </c>
      <c r="E83">
        <v>27600</v>
      </c>
      <c r="F83" s="2">
        <f>IFERROR(1-(E$2/E83),0)</f>
        <v>0.54710144927536231</v>
      </c>
    </row>
    <row r="84" spans="1:6" x14ac:dyDescent="0.25">
      <c r="A84">
        <v>4</v>
      </c>
      <c r="B8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4" t="s">
        <v>46</v>
      </c>
      <c r="D84" s="1">
        <f>DATE(Text_1_2[[#This Row],[Text.1.1.12]],Text_1_2[[#This Row],[Text.1.1.2]],1)</f>
        <v>38078</v>
      </c>
      <c r="E84">
        <v>29100</v>
      </c>
      <c r="F84" s="2">
        <f>IFERROR(1-(E$2/E84),0)</f>
        <v>0.57044673539518898</v>
      </c>
    </row>
    <row r="85" spans="1:6" x14ac:dyDescent="0.25">
      <c r="A85">
        <v>4</v>
      </c>
      <c r="B8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5" t="s">
        <v>46</v>
      </c>
      <c r="D85" s="1">
        <f>DATE(Text_1_2[[#This Row],[Text.1.1.12]],Text_1_2[[#This Row],[Text.1.1.2]],1)</f>
        <v>38078</v>
      </c>
      <c r="E85">
        <v>29100</v>
      </c>
      <c r="F85" s="2">
        <f>IFERROR(1-(E$2/E85),0)</f>
        <v>0.57044673539518898</v>
      </c>
    </row>
    <row r="86" spans="1:6" x14ac:dyDescent="0.25">
      <c r="A86">
        <v>4</v>
      </c>
      <c r="B8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6" t="s">
        <v>47</v>
      </c>
      <c r="D86" s="1">
        <f>DATE(Text_1_2[[#This Row],[Text.1.1.12]],Text_1_2[[#This Row],[Text.1.1.2]],1)</f>
        <v>38169</v>
      </c>
      <c r="E86">
        <v>31300</v>
      </c>
      <c r="F86" s="2">
        <f>IFERROR(1-(E$2/E86),0)</f>
        <v>0.60063897763578278</v>
      </c>
    </row>
    <row r="87" spans="1:6" x14ac:dyDescent="0.25">
      <c r="A87">
        <v>4</v>
      </c>
      <c r="B8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7" t="s">
        <v>47</v>
      </c>
      <c r="D87" s="1">
        <f>DATE(Text_1_2[[#This Row],[Text.1.1.12]],Text_1_2[[#This Row],[Text.1.1.2]],1)</f>
        <v>38169</v>
      </c>
      <c r="E87">
        <v>31300</v>
      </c>
      <c r="F87" s="2">
        <f>IFERROR(1-(E$2/E87),0)</f>
        <v>0.60063897763578278</v>
      </c>
    </row>
    <row r="88" spans="1:6" x14ac:dyDescent="0.25">
      <c r="A88">
        <v>4</v>
      </c>
      <c r="B8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8" t="s">
        <v>48</v>
      </c>
      <c r="D88" s="1">
        <f>DATE(Text_1_2[[#This Row],[Text.1.1.12]],Text_1_2[[#This Row],[Text.1.1.2]],1)</f>
        <v>38261</v>
      </c>
      <c r="E88">
        <v>35000</v>
      </c>
      <c r="F88" s="2">
        <f>IFERROR(1-(E$2/E88),0)</f>
        <v>0.64285714285714279</v>
      </c>
    </row>
    <row r="89" spans="1:6" x14ac:dyDescent="0.25">
      <c r="A89">
        <v>4</v>
      </c>
      <c r="B8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2004</v>
      </c>
      <c r="C89" t="s">
        <v>48</v>
      </c>
      <c r="D89" s="1">
        <f>DATE(Text_1_2[[#This Row],[Text.1.1.12]],Text_1_2[[#This Row],[Text.1.1.2]],1)</f>
        <v>38261</v>
      </c>
      <c r="E89">
        <v>35000</v>
      </c>
      <c r="F89" s="2">
        <f>IFERROR(1-(E$2/E89),0)</f>
        <v>0.64285714285714279</v>
      </c>
    </row>
    <row r="90" spans="1:6" x14ac:dyDescent="0.25">
      <c r="A90">
        <v>5</v>
      </c>
      <c r="B9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0" t="s">
        <v>45</v>
      </c>
      <c r="D90" s="1">
        <f>DATE(Text_1_2[[#This Row],[Text.1.1.12]],Text_1_2[[#This Row],[Text.1.1.2]],1)</f>
        <v>38353</v>
      </c>
      <c r="E90">
        <v>33200</v>
      </c>
      <c r="F90" s="2">
        <f>IFERROR(1-(E$2/E90),0)</f>
        <v>0.62349397590361444</v>
      </c>
    </row>
    <row r="91" spans="1:6" x14ac:dyDescent="0.25">
      <c r="A91">
        <v>5</v>
      </c>
      <c r="B9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1" t="s">
        <v>45</v>
      </c>
      <c r="D91" s="1">
        <f>DATE(Text_1_2[[#This Row],[Text.1.1.12]],Text_1_2[[#This Row],[Text.1.1.2]],1)</f>
        <v>38353</v>
      </c>
      <c r="E91">
        <v>33200</v>
      </c>
      <c r="F91" s="2">
        <f>IFERROR(1-(E$2/E91),0)</f>
        <v>0.62349397590361444</v>
      </c>
    </row>
    <row r="92" spans="1:6" x14ac:dyDescent="0.25">
      <c r="A92">
        <v>5</v>
      </c>
      <c r="B9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2" t="s">
        <v>46</v>
      </c>
      <c r="D92" s="1">
        <f>DATE(Text_1_2[[#This Row],[Text.1.1.12]],Text_1_2[[#This Row],[Text.1.1.2]],1)</f>
        <v>38443</v>
      </c>
      <c r="E92">
        <v>36900</v>
      </c>
      <c r="F92" s="2">
        <f>IFERROR(1-(E$2/E92),0)</f>
        <v>0.66124661246612471</v>
      </c>
    </row>
    <row r="93" spans="1:6" x14ac:dyDescent="0.25">
      <c r="A93">
        <v>5</v>
      </c>
      <c r="B9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3" t="s">
        <v>46</v>
      </c>
      <c r="D93" s="1">
        <f>DATE(Text_1_2[[#This Row],[Text.1.1.12]],Text_1_2[[#This Row],[Text.1.1.2]],1)</f>
        <v>38443</v>
      </c>
      <c r="E93">
        <v>36900</v>
      </c>
      <c r="F93" s="2">
        <f>IFERROR(1-(E$2/E93),0)</f>
        <v>0.66124661246612471</v>
      </c>
    </row>
    <row r="94" spans="1:6" x14ac:dyDescent="0.25">
      <c r="A94">
        <v>5</v>
      </c>
      <c r="B9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4" t="s">
        <v>47</v>
      </c>
      <c r="D94" s="1">
        <f>DATE(Text_1_2[[#This Row],[Text.1.1.12]],Text_1_2[[#This Row],[Text.1.1.2]],1)</f>
        <v>38534</v>
      </c>
      <c r="E94">
        <v>39100</v>
      </c>
      <c r="F94" s="2">
        <f>IFERROR(1-(E$2/E94),0)</f>
        <v>0.68030690537084393</v>
      </c>
    </row>
    <row r="95" spans="1:6" x14ac:dyDescent="0.25">
      <c r="A95">
        <v>5</v>
      </c>
      <c r="B9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5" t="s">
        <v>47</v>
      </c>
      <c r="D95" s="1">
        <f>DATE(Text_1_2[[#This Row],[Text.1.1.12]],Text_1_2[[#This Row],[Text.1.1.2]],1)</f>
        <v>38534</v>
      </c>
      <c r="E95">
        <v>39100</v>
      </c>
      <c r="F95" s="2">
        <f>IFERROR(1-(E$2/E95),0)</f>
        <v>0.68030690537084393</v>
      </c>
    </row>
    <row r="96" spans="1:6" x14ac:dyDescent="0.25">
      <c r="A96">
        <v>5</v>
      </c>
      <c r="B9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6" t="s">
        <v>48</v>
      </c>
      <c r="D96" s="1">
        <f>DATE(Text_1_2[[#This Row],[Text.1.1.12]],Text_1_2[[#This Row],[Text.1.1.2]],1)</f>
        <v>38626</v>
      </c>
      <c r="E96">
        <v>47300</v>
      </c>
      <c r="F96" s="2">
        <f>IFERROR(1-(E$2/E96),0)</f>
        <v>0.73572938689217759</v>
      </c>
    </row>
    <row r="97" spans="1:6" x14ac:dyDescent="0.25">
      <c r="A97">
        <v>5</v>
      </c>
      <c r="B9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2005</v>
      </c>
      <c r="C97" t="s">
        <v>48</v>
      </c>
      <c r="D97" s="1">
        <f>DATE(Text_1_2[[#This Row],[Text.1.1.12]],Text_1_2[[#This Row],[Text.1.1.2]],1)</f>
        <v>38626</v>
      </c>
      <c r="E97">
        <v>47300</v>
      </c>
      <c r="F97" s="2">
        <f>IFERROR(1-(E$2/E97),0)</f>
        <v>0.73572938689217759</v>
      </c>
    </row>
    <row r="98" spans="1:6" x14ac:dyDescent="0.25">
      <c r="A98">
        <v>6</v>
      </c>
      <c r="B9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98" t="s">
        <v>45</v>
      </c>
      <c r="D98" s="1">
        <f>DATE(Text_1_2[[#This Row],[Text.1.1.12]],Text_1_2[[#This Row],[Text.1.1.2]],1)</f>
        <v>38718</v>
      </c>
      <c r="E98">
        <v>46100</v>
      </c>
      <c r="F98" s="2">
        <f>IFERROR(1-(E$2/E98),0)</f>
        <v>0.72885032537960948</v>
      </c>
    </row>
    <row r="99" spans="1:6" x14ac:dyDescent="0.25">
      <c r="A99">
        <v>6</v>
      </c>
      <c r="B9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99" t="s">
        <v>45</v>
      </c>
      <c r="D99" s="1">
        <f>DATE(Text_1_2[[#This Row],[Text.1.1.12]],Text_1_2[[#This Row],[Text.1.1.2]],1)</f>
        <v>38718</v>
      </c>
      <c r="E99">
        <v>46100</v>
      </c>
      <c r="F99" s="2">
        <f>IFERROR(1-(E$2/E99),0)</f>
        <v>0.72885032537960948</v>
      </c>
    </row>
    <row r="100" spans="1:6" x14ac:dyDescent="0.25">
      <c r="A100">
        <v>6</v>
      </c>
      <c r="B10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100" t="s">
        <v>46</v>
      </c>
      <c r="D100" s="1">
        <f>DATE(Text_1_2[[#This Row],[Text.1.1.12]],Text_1_2[[#This Row],[Text.1.1.2]],1)</f>
        <v>38808</v>
      </c>
      <c r="E100">
        <v>48800</v>
      </c>
      <c r="F100" s="2">
        <f>IFERROR(1-(E$2/E100),0)</f>
        <v>0.74385245901639352</v>
      </c>
    </row>
    <row r="101" spans="1:6" x14ac:dyDescent="0.25">
      <c r="A101">
        <v>6</v>
      </c>
      <c r="B10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101" t="s">
        <v>46</v>
      </c>
      <c r="D101" s="1">
        <f>DATE(Text_1_2[[#This Row],[Text.1.1.12]],Text_1_2[[#This Row],[Text.1.1.2]],1)</f>
        <v>38808</v>
      </c>
      <c r="E101">
        <v>48800</v>
      </c>
      <c r="F101" s="2">
        <f>IFERROR(1-(E$2/E101),0)</f>
        <v>0.74385245901639352</v>
      </c>
    </row>
    <row r="102" spans="1:6" x14ac:dyDescent="0.25">
      <c r="A102">
        <v>6</v>
      </c>
      <c r="B10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102" t="s">
        <v>47</v>
      </c>
      <c r="D102" s="1">
        <f>DATE(Text_1_2[[#This Row],[Text.1.1.12]],Text_1_2[[#This Row],[Text.1.1.2]],1)</f>
        <v>38899</v>
      </c>
      <c r="E102">
        <v>54100</v>
      </c>
      <c r="F102" s="2">
        <f>IFERROR(1-(E$2/E102),0)</f>
        <v>0.76894639556377076</v>
      </c>
    </row>
    <row r="103" spans="1:6" x14ac:dyDescent="0.25">
      <c r="A103">
        <v>6</v>
      </c>
      <c r="B10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103" t="s">
        <v>47</v>
      </c>
      <c r="D103" s="1">
        <f>DATE(Text_1_2[[#This Row],[Text.1.1.12]],Text_1_2[[#This Row],[Text.1.1.2]],1)</f>
        <v>38899</v>
      </c>
      <c r="E103">
        <v>54100</v>
      </c>
      <c r="F103" s="2">
        <f>IFERROR(1-(E$2/E103),0)</f>
        <v>0.76894639556377076</v>
      </c>
    </row>
    <row r="104" spans="1:6" x14ac:dyDescent="0.25">
      <c r="A104">
        <v>6</v>
      </c>
      <c r="B10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104" t="s">
        <v>48</v>
      </c>
      <c r="D104" s="1">
        <f>DATE(Text_1_2[[#This Row],[Text.1.1.12]],Text_1_2[[#This Row],[Text.1.1.2]],1)</f>
        <v>38991</v>
      </c>
      <c r="E104">
        <v>48100</v>
      </c>
      <c r="F104" s="2">
        <f>IFERROR(1-(E$2/E104),0)</f>
        <v>0.74012474012474017</v>
      </c>
    </row>
    <row r="105" spans="1:6" x14ac:dyDescent="0.25">
      <c r="A105">
        <v>6</v>
      </c>
      <c r="B10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2006</v>
      </c>
      <c r="C105" t="s">
        <v>48</v>
      </c>
      <c r="D105" s="1">
        <f>DATE(Text_1_2[[#This Row],[Text.1.1.12]],Text_1_2[[#This Row],[Text.1.1.2]],1)</f>
        <v>38991</v>
      </c>
      <c r="E105">
        <v>48100</v>
      </c>
      <c r="F105" s="2">
        <f>IFERROR(1-(E$2/E105),0)</f>
        <v>0.74012474012474017</v>
      </c>
    </row>
    <row r="106" spans="1:6" x14ac:dyDescent="0.25">
      <c r="A106">
        <v>7</v>
      </c>
      <c r="B10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2007</v>
      </c>
      <c r="C106" t="s">
        <v>45</v>
      </c>
      <c r="D106" s="1">
        <f>DATE(Text_1_2[[#This Row],[Text.1.1.12]],Text_1_2[[#This Row],[Text.1.1.2]],1)</f>
        <v>39083</v>
      </c>
      <c r="E106">
        <v>48800</v>
      </c>
      <c r="F106" s="2">
        <f>IFERROR(1-(E$2/E106),0)</f>
        <v>0.74385245901639352</v>
      </c>
    </row>
    <row r="107" spans="1:6" x14ac:dyDescent="0.25">
      <c r="A107">
        <v>7</v>
      </c>
      <c r="B10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2007</v>
      </c>
      <c r="C107" t="s">
        <v>46</v>
      </c>
      <c r="D107" s="1">
        <f>DATE(Text_1_2[[#This Row],[Text.1.1.12]],Text_1_2[[#This Row],[Text.1.1.2]],1)</f>
        <v>39173</v>
      </c>
      <c r="E107">
        <v>57800</v>
      </c>
      <c r="F107" s="2">
        <f>IFERROR(1-(E$2/E107),0)</f>
        <v>0.7837370242214533</v>
      </c>
    </row>
    <row r="108" spans="1:6" x14ac:dyDescent="0.25">
      <c r="A108">
        <v>7</v>
      </c>
      <c r="B10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2007</v>
      </c>
      <c r="C108" t="s">
        <v>47</v>
      </c>
      <c r="D108" s="1">
        <f>DATE(Text_1_2[[#This Row],[Text.1.1.12]],Text_1_2[[#This Row],[Text.1.1.2]],1)</f>
        <v>39264</v>
      </c>
      <c r="E108">
        <v>59700</v>
      </c>
      <c r="F108" s="2">
        <f>IFERROR(1-(E$2/E108),0)</f>
        <v>0.79061976549413737</v>
      </c>
    </row>
    <row r="109" spans="1:6" x14ac:dyDescent="0.25">
      <c r="A109">
        <v>7</v>
      </c>
      <c r="B10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2007</v>
      </c>
      <c r="C109" t="s">
        <v>48</v>
      </c>
      <c r="D109" s="1">
        <f>DATE(Text_1_2[[#This Row],[Text.1.1.12]],Text_1_2[[#This Row],[Text.1.1.2]],1)</f>
        <v>39356</v>
      </c>
      <c r="E109">
        <v>61600</v>
      </c>
      <c r="F109" s="2">
        <f>IFERROR(1-(E$2/E109),0)</f>
        <v>0.79707792207792205</v>
      </c>
    </row>
    <row r="110" spans="1:6" x14ac:dyDescent="0.25">
      <c r="A110">
        <v>8</v>
      </c>
      <c r="B11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2008</v>
      </c>
      <c r="C110" t="s">
        <v>45</v>
      </c>
      <c r="D110" s="1">
        <f>DATE(Text_1_2[[#This Row],[Text.1.1.12]],Text_1_2[[#This Row],[Text.1.1.2]],1)</f>
        <v>39448</v>
      </c>
      <c r="E110">
        <v>66700</v>
      </c>
      <c r="F110" s="2">
        <f>IFERROR(1-(E$2/E110),0)</f>
        <v>0.81259370314842583</v>
      </c>
    </row>
    <row r="111" spans="1:6" x14ac:dyDescent="0.25">
      <c r="A111">
        <v>8</v>
      </c>
      <c r="B11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2008</v>
      </c>
      <c r="C111" t="s">
        <v>46</v>
      </c>
      <c r="D111" s="1">
        <f>DATE(Text_1_2[[#This Row],[Text.1.1.12]],Text_1_2[[#This Row],[Text.1.1.2]],1)</f>
        <v>39539</v>
      </c>
      <c r="E111">
        <v>70900</v>
      </c>
      <c r="F111" s="2">
        <f>IFERROR(1-(E$2/E111),0)</f>
        <v>0.82369534555712276</v>
      </c>
    </row>
    <row r="112" spans="1:6" x14ac:dyDescent="0.25">
      <c r="A112">
        <v>8</v>
      </c>
      <c r="B11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2008</v>
      </c>
      <c r="C112" t="s">
        <v>47</v>
      </c>
      <c r="D112" s="1">
        <f>DATE(Text_1_2[[#This Row],[Text.1.1.12]],Text_1_2[[#This Row],[Text.1.1.2]],1)</f>
        <v>39630</v>
      </c>
      <c r="E112">
        <v>85800</v>
      </c>
      <c r="F112" s="2">
        <f>IFERROR(1-(E$2/E112),0)</f>
        <v>0.85431235431235431</v>
      </c>
    </row>
    <row r="113" spans="1:6" x14ac:dyDescent="0.25">
      <c r="A113">
        <v>8</v>
      </c>
      <c r="B11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2008</v>
      </c>
      <c r="C113" t="s">
        <v>48</v>
      </c>
      <c r="D113" s="1">
        <f>DATE(Text_1_2[[#This Row],[Text.1.1.12]],Text_1_2[[#This Row],[Text.1.1.2]],1)</f>
        <v>39722</v>
      </c>
      <c r="E113">
        <v>52000</v>
      </c>
      <c r="F113" s="2">
        <f>IFERROR(1-(E$2/E113),0)</f>
        <v>0.75961538461538458</v>
      </c>
    </row>
    <row r="114" spans="1:6" x14ac:dyDescent="0.25">
      <c r="A114">
        <v>9</v>
      </c>
      <c r="B11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2009</v>
      </c>
      <c r="C114" t="s">
        <v>45</v>
      </c>
      <c r="D114" s="1">
        <f>DATE(Text_1_2[[#This Row],[Text.1.1.12]],Text_1_2[[#This Row],[Text.1.1.2]],1)</f>
        <v>39814</v>
      </c>
      <c r="E114">
        <v>27000</v>
      </c>
      <c r="F114" s="2">
        <f>IFERROR(1-(E$2/E114),0)</f>
        <v>0.53703703703703698</v>
      </c>
    </row>
    <row r="115" spans="1:6" x14ac:dyDescent="0.25">
      <c r="A115">
        <v>9</v>
      </c>
      <c r="B11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2009</v>
      </c>
      <c r="C115" t="s">
        <v>46</v>
      </c>
      <c r="D115" s="1">
        <f>DATE(Text_1_2[[#This Row],[Text.1.1.12]],Text_1_2[[#This Row],[Text.1.1.2]],1)</f>
        <v>39904</v>
      </c>
      <c r="E115">
        <v>33300</v>
      </c>
      <c r="F115" s="2">
        <f>IFERROR(1-(E$2/E115),0)</f>
        <v>0.62462462462462465</v>
      </c>
    </row>
    <row r="116" spans="1:6" x14ac:dyDescent="0.25">
      <c r="A116">
        <v>9</v>
      </c>
      <c r="B11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2009</v>
      </c>
      <c r="C116" t="s">
        <v>47</v>
      </c>
      <c r="D116" s="1">
        <f>DATE(Text_1_2[[#This Row],[Text.1.1.12]],Text_1_2[[#This Row],[Text.1.1.2]],1)</f>
        <v>39995</v>
      </c>
      <c r="E116">
        <v>41200</v>
      </c>
      <c r="F116" s="2">
        <f>IFERROR(1-(E$2/E116),0)</f>
        <v>0.69660194174757284</v>
      </c>
    </row>
    <row r="117" spans="1:6" x14ac:dyDescent="0.25">
      <c r="A117">
        <v>9</v>
      </c>
      <c r="B11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2009</v>
      </c>
      <c r="C117" t="s">
        <v>48</v>
      </c>
      <c r="D117" s="1">
        <f>DATE(Text_1_2[[#This Row],[Text.1.1.12]],Text_1_2[[#This Row],[Text.1.1.2]],1)</f>
        <v>40087</v>
      </c>
      <c r="E117">
        <v>42500</v>
      </c>
      <c r="F117" s="2">
        <f>IFERROR(1-(E$2/E117),0)</f>
        <v>0.70588235294117641</v>
      </c>
    </row>
    <row r="118" spans="1:6" x14ac:dyDescent="0.25">
      <c r="A118">
        <v>10</v>
      </c>
      <c r="B11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2010</v>
      </c>
      <c r="C118" t="s">
        <v>45</v>
      </c>
      <c r="D118" s="1">
        <f>DATE(Text_1_2[[#This Row],[Text.1.1.12]],Text_1_2[[#This Row],[Text.1.1.2]],1)</f>
        <v>40179</v>
      </c>
      <c r="E118">
        <v>47700</v>
      </c>
      <c r="F118" s="2">
        <f>IFERROR(1-(E$2/E118),0)</f>
        <v>0.73794549266247378</v>
      </c>
    </row>
    <row r="119" spans="1:6" x14ac:dyDescent="0.25">
      <c r="A119">
        <v>10</v>
      </c>
      <c r="B11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2010</v>
      </c>
      <c r="C119" t="s">
        <v>46</v>
      </c>
      <c r="D119" s="1">
        <f>DATE(Text_1_2[[#This Row],[Text.1.1.12]],Text_1_2[[#This Row],[Text.1.1.2]],1)</f>
        <v>40269</v>
      </c>
      <c r="E119">
        <v>49700</v>
      </c>
      <c r="F119" s="2">
        <f>IFERROR(1-(E$2/E119),0)</f>
        <v>0.74849094567404428</v>
      </c>
    </row>
    <row r="120" spans="1:6" x14ac:dyDescent="0.25">
      <c r="A120">
        <v>10</v>
      </c>
      <c r="B12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2010</v>
      </c>
      <c r="C120" t="s">
        <v>47</v>
      </c>
      <c r="D120" s="1">
        <f>DATE(Text_1_2[[#This Row],[Text.1.1.12]],Text_1_2[[#This Row],[Text.1.1.2]],1)</f>
        <v>40360</v>
      </c>
      <c r="E120">
        <v>42700</v>
      </c>
      <c r="F120" s="2">
        <f>IFERROR(1-(E$2/E120),0)</f>
        <v>0.70725995316159251</v>
      </c>
    </row>
    <row r="121" spans="1:6" x14ac:dyDescent="0.25">
      <c r="A121">
        <v>10</v>
      </c>
      <c r="B12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2010</v>
      </c>
      <c r="C121" t="s">
        <v>48</v>
      </c>
      <c r="D121" s="1">
        <f>DATE(Text_1_2[[#This Row],[Text.1.1.12]],Text_1_2[[#This Row],[Text.1.1.2]],1)</f>
        <v>40452</v>
      </c>
      <c r="E121">
        <v>45100</v>
      </c>
      <c r="F121" s="2">
        <f>IFERROR(1-(E$2/E121),0)</f>
        <v>0.72283813747228387</v>
      </c>
    </row>
    <row r="122" spans="1:6" x14ac:dyDescent="0.25">
      <c r="A122">
        <v>11</v>
      </c>
      <c r="B12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2011</v>
      </c>
      <c r="C122" t="s">
        <v>45</v>
      </c>
      <c r="D122" s="1">
        <f>DATE(Text_1_2[[#This Row],[Text.1.1.12]],Text_1_2[[#This Row],[Text.1.1.2]],1)</f>
        <v>40544</v>
      </c>
      <c r="E122">
        <v>52400</v>
      </c>
      <c r="F122" s="2">
        <f>IFERROR(1-(E$2/E122),0)</f>
        <v>0.76145038167938928</v>
      </c>
    </row>
    <row r="123" spans="1:6" x14ac:dyDescent="0.25">
      <c r="A123">
        <v>11</v>
      </c>
      <c r="B12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2011</v>
      </c>
      <c r="C123" t="s">
        <v>46</v>
      </c>
      <c r="D123" s="1">
        <f>DATE(Text_1_2[[#This Row],[Text.1.1.12]],Text_1_2[[#This Row],[Text.1.1.2]],1)</f>
        <v>40634</v>
      </c>
      <c r="E123">
        <v>59000</v>
      </c>
      <c r="F123" s="2">
        <f>IFERROR(1-(E$2/E123),0)</f>
        <v>0.78813559322033899</v>
      </c>
    </row>
    <row r="124" spans="1:6" x14ac:dyDescent="0.25">
      <c r="A124">
        <v>11</v>
      </c>
      <c r="B12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2011</v>
      </c>
      <c r="C124" t="s">
        <v>47</v>
      </c>
      <c r="D124" s="1">
        <f>DATE(Text_1_2[[#This Row],[Text.1.1.12]],Text_1_2[[#This Row],[Text.1.1.2]],1)</f>
        <v>40725</v>
      </c>
      <c r="E124">
        <v>54900</v>
      </c>
      <c r="F124" s="2">
        <f>IFERROR(1-(E$2/E124),0)</f>
        <v>0.77231329690346084</v>
      </c>
    </row>
    <row r="125" spans="1:6" x14ac:dyDescent="0.25">
      <c r="A125">
        <v>11</v>
      </c>
      <c r="B12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2011</v>
      </c>
      <c r="C125" t="s">
        <v>48</v>
      </c>
      <c r="D125" s="1">
        <f>DATE(Text_1_2[[#This Row],[Text.1.1.12]],Text_1_2[[#This Row],[Text.1.1.2]],1)</f>
        <v>40817</v>
      </c>
      <c r="E125">
        <v>51700</v>
      </c>
      <c r="F125" s="2">
        <f>IFERROR(1-(E$2/E125),0)</f>
        <v>0.75822050290135401</v>
      </c>
    </row>
    <row r="126" spans="1:6" x14ac:dyDescent="0.25">
      <c r="A126">
        <v>12</v>
      </c>
      <c r="B12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2012</v>
      </c>
      <c r="C126" t="s">
        <v>45</v>
      </c>
      <c r="D126" s="1">
        <f>DATE(Text_1_2[[#This Row],[Text.1.1.12]],Text_1_2[[#This Row],[Text.1.1.2]],1)</f>
        <v>40909</v>
      </c>
      <c r="E126">
        <v>54100</v>
      </c>
      <c r="F126" s="2">
        <f>IFERROR(1-(E$2/E126),0)</f>
        <v>0.76894639556377076</v>
      </c>
    </row>
    <row r="127" spans="1:6" x14ac:dyDescent="0.25">
      <c r="A127">
        <v>12</v>
      </c>
      <c r="B12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2012</v>
      </c>
      <c r="C127" t="s">
        <v>46</v>
      </c>
      <c r="D127" s="1">
        <f>DATE(Text_1_2[[#This Row],[Text.1.1.12]],Text_1_2[[#This Row],[Text.1.1.2]],1)</f>
        <v>41000</v>
      </c>
      <c r="E127">
        <v>60600</v>
      </c>
      <c r="F127" s="2">
        <f>IFERROR(1-(E$2/E127),0)</f>
        <v>0.79372937293729373</v>
      </c>
    </row>
    <row r="128" spans="1:6" x14ac:dyDescent="0.25">
      <c r="A128">
        <v>12</v>
      </c>
      <c r="B12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2012</v>
      </c>
      <c r="C128" t="s">
        <v>47</v>
      </c>
      <c r="D128" s="1">
        <f>DATE(Text_1_2[[#This Row],[Text.1.1.12]],Text_1_2[[#This Row],[Text.1.1.2]],1)</f>
        <v>41091</v>
      </c>
      <c r="E128">
        <v>49800</v>
      </c>
      <c r="F128" s="2">
        <f>IFERROR(1-(E$2/E128),0)</f>
        <v>0.74899598393574296</v>
      </c>
    </row>
    <row r="129" spans="1:6" x14ac:dyDescent="0.25">
      <c r="A129">
        <v>12</v>
      </c>
      <c r="B12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2012</v>
      </c>
      <c r="C129" t="s">
        <v>48</v>
      </c>
      <c r="D129" s="1">
        <f>DATE(Text_1_2[[#This Row],[Text.1.1.12]],Text_1_2[[#This Row],[Text.1.1.2]],1)</f>
        <v>41183</v>
      </c>
      <c r="E129">
        <v>55800</v>
      </c>
      <c r="F129" s="2">
        <f>IFERROR(1-(E$2/E129),0)</f>
        <v>0.77598566308243733</v>
      </c>
    </row>
    <row r="130" spans="1:6" x14ac:dyDescent="0.25">
      <c r="A130">
        <v>13</v>
      </c>
      <c r="B13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2013</v>
      </c>
      <c r="C130" t="s">
        <v>45</v>
      </c>
      <c r="D130" s="1">
        <f>DATE(Text_1_2[[#This Row],[Text.1.1.12]],Text_1_2[[#This Row],[Text.1.1.2]],1)</f>
        <v>41275</v>
      </c>
      <c r="E130">
        <v>63800</v>
      </c>
      <c r="F130" s="2">
        <f>IFERROR(1-(E$2/E130),0)</f>
        <v>0.8040752351097179</v>
      </c>
    </row>
    <row r="131" spans="1:6" x14ac:dyDescent="0.25">
      <c r="A131">
        <v>13</v>
      </c>
      <c r="B13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2013</v>
      </c>
      <c r="C131" t="s">
        <v>46</v>
      </c>
      <c r="D131" s="1">
        <f>DATE(Text_1_2[[#This Row],[Text.1.1.12]],Text_1_2[[#This Row],[Text.1.1.2]],1)</f>
        <v>41365</v>
      </c>
      <c r="E131">
        <v>65500</v>
      </c>
      <c r="F131" s="2">
        <f>IFERROR(1-(E$2/E131),0)</f>
        <v>0.80916030534351147</v>
      </c>
    </row>
    <row r="132" spans="1:6" x14ac:dyDescent="0.25">
      <c r="A132">
        <v>13</v>
      </c>
      <c r="B13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2013</v>
      </c>
      <c r="C132" t="s">
        <v>47</v>
      </c>
      <c r="D132" s="1">
        <f>DATE(Text_1_2[[#This Row],[Text.1.1.12]],Text_1_2[[#This Row],[Text.1.1.2]],1)</f>
        <v>41456</v>
      </c>
      <c r="E132">
        <v>63900</v>
      </c>
      <c r="F132" s="2">
        <f>IFERROR(1-(E$2/E132),0)</f>
        <v>0.80438184663536783</v>
      </c>
    </row>
    <row r="133" spans="1:6" x14ac:dyDescent="0.25">
      <c r="A133">
        <v>13</v>
      </c>
      <c r="B13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2013</v>
      </c>
      <c r="C133" t="s">
        <v>48</v>
      </c>
      <c r="D133" s="1">
        <f>DATE(Text_1_2[[#This Row],[Text.1.1.12]],Text_1_2[[#This Row],[Text.1.1.2]],1)</f>
        <v>41548</v>
      </c>
      <c r="E133">
        <v>67800</v>
      </c>
      <c r="F133" s="2">
        <f>IFERROR(1-(E$2/E133),0)</f>
        <v>0.81563421828908556</v>
      </c>
    </row>
    <row r="134" spans="1:6" x14ac:dyDescent="0.25">
      <c r="A134">
        <v>14</v>
      </c>
      <c r="B13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2014</v>
      </c>
      <c r="C134" t="s">
        <v>45</v>
      </c>
      <c r="D134" s="1">
        <f>DATE(Text_1_2[[#This Row],[Text.1.1.12]],Text_1_2[[#This Row],[Text.1.1.2]],1)</f>
        <v>41640</v>
      </c>
      <c r="E134">
        <v>72000</v>
      </c>
      <c r="F134" s="2">
        <f>IFERROR(1-(E$2/E134),0)</f>
        <v>0.82638888888888884</v>
      </c>
    </row>
    <row r="135" spans="1:6" x14ac:dyDescent="0.25">
      <c r="A135">
        <v>14</v>
      </c>
      <c r="B13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2014</v>
      </c>
      <c r="C135" t="s">
        <v>46</v>
      </c>
      <c r="D135" s="1">
        <f>DATE(Text_1_2[[#This Row],[Text.1.1.12]],Text_1_2[[#This Row],[Text.1.1.2]],1)</f>
        <v>41730</v>
      </c>
      <c r="F135" s="2">
        <f>IFERROR(1-(E$2/E135),0)</f>
        <v>0</v>
      </c>
    </row>
    <row r="136" spans="1:6" x14ac:dyDescent="0.25">
      <c r="A136">
        <v>14</v>
      </c>
      <c r="B13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2014</v>
      </c>
      <c r="C136" t="s">
        <v>47</v>
      </c>
      <c r="D136" s="1">
        <f>DATE(Text_1_2[[#This Row],[Text.1.1.12]],Text_1_2[[#This Row],[Text.1.1.2]],1)</f>
        <v>41821</v>
      </c>
      <c r="E136">
        <v>70900</v>
      </c>
      <c r="F136" s="2">
        <f>IFERROR(1-(E$2/E136),0)</f>
        <v>0.82369534555712276</v>
      </c>
    </row>
    <row r="137" spans="1:6" x14ac:dyDescent="0.25">
      <c r="A137">
        <v>14</v>
      </c>
      <c r="B13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2014</v>
      </c>
      <c r="C137" t="s">
        <v>48</v>
      </c>
      <c r="D137" s="1">
        <f>DATE(Text_1_2[[#This Row],[Text.1.1.12]],Text_1_2[[#This Row],[Text.1.1.2]],1)</f>
        <v>41913</v>
      </c>
      <c r="E137">
        <v>66000</v>
      </c>
      <c r="F137" s="2">
        <f>IFERROR(1-(E$2/E137),0)</f>
        <v>0.81060606060606055</v>
      </c>
    </row>
    <row r="138" spans="1:6" x14ac:dyDescent="0.25">
      <c r="A138">
        <v>15</v>
      </c>
      <c r="B13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2015</v>
      </c>
      <c r="C138" t="s">
        <v>45</v>
      </c>
      <c r="D138" s="1">
        <f>DATE(Text_1_2[[#This Row],[Text.1.1.12]],Text_1_2[[#This Row],[Text.1.1.2]],1)</f>
        <v>42005</v>
      </c>
      <c r="E138">
        <v>47000</v>
      </c>
      <c r="F138" s="2">
        <f>IFERROR(1-(E$2/E138),0)</f>
        <v>0.73404255319148937</v>
      </c>
    </row>
    <row r="139" spans="1:6" x14ac:dyDescent="0.25">
      <c r="A139">
        <v>15</v>
      </c>
      <c r="B13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2015</v>
      </c>
      <c r="C139" t="s">
        <v>46</v>
      </c>
      <c r="D139" s="1">
        <f>DATE(Text_1_2[[#This Row],[Text.1.1.12]],Text_1_2[[#This Row],[Text.1.1.2]],1)</f>
        <v>42095</v>
      </c>
      <c r="E139">
        <v>48800</v>
      </c>
      <c r="F139" s="2">
        <f>IFERROR(1-(E$2/E139),0)</f>
        <v>0.74385245901639352</v>
      </c>
    </row>
    <row r="140" spans="1:6" x14ac:dyDescent="0.25">
      <c r="A140">
        <v>15</v>
      </c>
      <c r="B14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2015</v>
      </c>
      <c r="C140" t="s">
        <v>47</v>
      </c>
      <c r="D140" s="1">
        <f>DATE(Text_1_2[[#This Row],[Text.1.1.12]],Text_1_2[[#This Row],[Text.1.1.2]],1)</f>
        <v>42186</v>
      </c>
      <c r="E140">
        <v>47200</v>
      </c>
      <c r="F140" s="2">
        <f>IFERROR(1-(E$2/E140),0)</f>
        <v>0.73516949152542366</v>
      </c>
    </row>
    <row r="141" spans="1:6" x14ac:dyDescent="0.25">
      <c r="A141">
        <v>15</v>
      </c>
      <c r="B14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2015</v>
      </c>
      <c r="C141" t="s">
        <v>48</v>
      </c>
      <c r="D141" s="1">
        <f>DATE(Text_1_2[[#This Row],[Text.1.1.12]],Text_1_2[[#This Row],[Text.1.1.2]],1)</f>
        <v>42278</v>
      </c>
      <c r="E141">
        <v>40900</v>
      </c>
      <c r="F141" s="2">
        <f>IFERROR(1-(E$2/E141),0)</f>
        <v>0.69437652811735939</v>
      </c>
    </row>
    <row r="142" spans="1:6" x14ac:dyDescent="0.25">
      <c r="A142">
        <v>16</v>
      </c>
      <c r="B14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2016</v>
      </c>
      <c r="C142" t="s">
        <v>45</v>
      </c>
      <c r="D142" s="1">
        <f>DATE(Text_1_2[[#This Row],[Text.1.1.12]],Text_1_2[[#This Row],[Text.1.1.2]],1)</f>
        <v>42370</v>
      </c>
      <c r="E142">
        <v>34300</v>
      </c>
      <c r="F142" s="2">
        <f>IFERROR(1-(E$2/E142),0)</f>
        <v>0.63556851311953355</v>
      </c>
    </row>
    <row r="143" spans="1:6" x14ac:dyDescent="0.25">
      <c r="A143">
        <v>16</v>
      </c>
      <c r="B14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2016</v>
      </c>
      <c r="C143" t="s">
        <v>46</v>
      </c>
      <c r="D143" s="1">
        <f>DATE(Text_1_2[[#This Row],[Text.1.1.12]],Text_1_2[[#This Row],[Text.1.1.2]],1)</f>
        <v>42461</v>
      </c>
      <c r="E143">
        <v>31600</v>
      </c>
      <c r="F143" s="2">
        <f>IFERROR(1-(E$2/E143),0)</f>
        <v>0.60443037974683544</v>
      </c>
    </row>
    <row r="144" spans="1:6" x14ac:dyDescent="0.25">
      <c r="A144">
        <v>16</v>
      </c>
      <c r="B14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2016</v>
      </c>
      <c r="C144" t="s">
        <v>47</v>
      </c>
      <c r="D144" s="1">
        <f>DATE(Text_1_2[[#This Row],[Text.1.1.12]],Text_1_2[[#This Row],[Text.1.1.2]],1)</f>
        <v>42552</v>
      </c>
      <c r="E144">
        <v>31300</v>
      </c>
      <c r="F144" s="2">
        <f>IFERROR(1-(E$2/E144),0)</f>
        <v>0.60063897763578278</v>
      </c>
    </row>
    <row r="145" spans="1:6" x14ac:dyDescent="0.25">
      <c r="A145">
        <v>16</v>
      </c>
      <c r="B14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2016</v>
      </c>
      <c r="C145" t="s">
        <v>48</v>
      </c>
      <c r="D145" s="1">
        <f>DATE(Text_1_2[[#This Row],[Text.1.1.12]],Text_1_2[[#This Row],[Text.1.1.2]],1)</f>
        <v>42644</v>
      </c>
      <c r="E145">
        <v>34000</v>
      </c>
      <c r="F145" s="2">
        <f>IFERROR(1-(E$2/E145),0)</f>
        <v>0.63235294117647056</v>
      </c>
    </row>
    <row r="146" spans="1:6" x14ac:dyDescent="0.25">
      <c r="A146">
        <v>17</v>
      </c>
      <c r="B14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2017</v>
      </c>
      <c r="C146" t="s">
        <v>45</v>
      </c>
      <c r="D146" s="1">
        <f>DATE(Text_1_2[[#This Row],[Text.1.1.12]],Text_1_2[[#This Row],[Text.1.1.2]],1)</f>
        <v>42736</v>
      </c>
      <c r="E146">
        <v>41800</v>
      </c>
      <c r="F146" s="2">
        <f>IFERROR(1-(E$2/E146),0)</f>
        <v>0.700956937799043</v>
      </c>
    </row>
    <row r="147" spans="1:6" x14ac:dyDescent="0.25">
      <c r="A147">
        <v>17</v>
      </c>
      <c r="B14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2017</v>
      </c>
      <c r="C147" t="s">
        <v>46</v>
      </c>
      <c r="D147" s="1">
        <f>DATE(Text_1_2[[#This Row],[Text.1.1.12]],Text_1_2[[#This Row],[Text.1.1.2]],1)</f>
        <v>42826</v>
      </c>
      <c r="E147">
        <v>39100</v>
      </c>
      <c r="F147" s="2">
        <f>IFERROR(1-(E$2/E147),0)</f>
        <v>0.68030690537084393</v>
      </c>
    </row>
    <row r="148" spans="1:6" x14ac:dyDescent="0.25">
      <c r="A148">
        <v>17</v>
      </c>
      <c r="B14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2017</v>
      </c>
      <c r="C148" t="s">
        <v>47</v>
      </c>
      <c r="D148" s="1">
        <f>DATE(Text_1_2[[#This Row],[Text.1.1.12]],Text_1_2[[#This Row],[Text.1.1.2]],1)</f>
        <v>42917</v>
      </c>
      <c r="E148">
        <v>36100</v>
      </c>
      <c r="F148" s="2">
        <f>IFERROR(1-(E$2/E148),0)</f>
        <v>0.65373961218836563</v>
      </c>
    </row>
    <row r="149" spans="1:6" x14ac:dyDescent="0.25">
      <c r="A149">
        <v>17</v>
      </c>
      <c r="B14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2017</v>
      </c>
      <c r="C149" t="s">
        <v>48</v>
      </c>
      <c r="D149" s="1">
        <f>DATE(Text_1_2[[#This Row],[Text.1.1.12]],Text_1_2[[#This Row],[Text.1.1.2]],1)</f>
        <v>43009</v>
      </c>
      <c r="E149">
        <v>44600</v>
      </c>
      <c r="F149" s="2">
        <f>IFERROR(1-(E$2/E149),0)</f>
        <v>0.71973094170403584</v>
      </c>
    </row>
    <row r="150" spans="1:6" x14ac:dyDescent="0.25">
      <c r="A150">
        <v>18</v>
      </c>
      <c r="B15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2018</v>
      </c>
      <c r="C150" t="s">
        <v>45</v>
      </c>
      <c r="D150" s="1">
        <f>DATE(Text_1_2[[#This Row],[Text.1.1.12]],Text_1_2[[#This Row],[Text.1.1.2]],1)</f>
        <v>43101</v>
      </c>
      <c r="E150">
        <v>47900</v>
      </c>
      <c r="F150" s="2">
        <f>IFERROR(1-(E$2/E150),0)</f>
        <v>0.73903966597077242</v>
      </c>
    </row>
    <row r="151" spans="1:6" x14ac:dyDescent="0.25">
      <c r="A151">
        <v>18</v>
      </c>
      <c r="B15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2018</v>
      </c>
      <c r="C151" t="s">
        <v>46</v>
      </c>
      <c r="D151" s="1">
        <f>DATE(Text_1_2[[#This Row],[Text.1.1.12]],Text_1_2[[#This Row],[Text.1.1.2]],1)</f>
        <v>43191</v>
      </c>
      <c r="E151">
        <v>48700</v>
      </c>
      <c r="F151" s="2">
        <f>IFERROR(1-(E$2/E151),0)</f>
        <v>0.74332648870636553</v>
      </c>
    </row>
    <row r="152" spans="1:6" x14ac:dyDescent="0.25">
      <c r="A152">
        <v>18</v>
      </c>
      <c r="B15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2018</v>
      </c>
      <c r="C152" t="s">
        <v>47</v>
      </c>
      <c r="D152" s="1">
        <f>DATE(Text_1_2[[#This Row],[Text.1.1.12]],Text_1_2[[#This Row],[Text.1.1.2]],1)</f>
        <v>43282</v>
      </c>
      <c r="E152">
        <v>53500</v>
      </c>
      <c r="F152" s="2">
        <f>IFERROR(1-(E$2/E152),0)</f>
        <v>0.76635514018691586</v>
      </c>
    </row>
    <row r="153" spans="1:6" x14ac:dyDescent="0.25">
      <c r="A153">
        <v>18</v>
      </c>
      <c r="B15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2018</v>
      </c>
      <c r="C153" t="s">
        <v>48</v>
      </c>
      <c r="D153" s="1">
        <f>DATE(Text_1_2[[#This Row],[Text.1.1.12]],Text_1_2[[#This Row],[Text.1.1.2]],1)</f>
        <v>43374</v>
      </c>
      <c r="E153">
        <v>54200</v>
      </c>
      <c r="F153" s="2">
        <f>IFERROR(1-(E$2/E153),0)</f>
        <v>0.76937269372693728</v>
      </c>
    </row>
    <row r="154" spans="1:6" x14ac:dyDescent="0.25">
      <c r="A154">
        <v>19</v>
      </c>
      <c r="B15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2019</v>
      </c>
      <c r="C154" t="s">
        <v>45</v>
      </c>
      <c r="D154" s="1">
        <f>DATE(Text_1_2[[#This Row],[Text.1.1.12]],Text_1_2[[#This Row],[Text.1.1.2]],1)</f>
        <v>43466</v>
      </c>
      <c r="E154">
        <v>41200</v>
      </c>
      <c r="F154" s="2">
        <f>IFERROR(1-(E$2/E154),0)</f>
        <v>0.69660194174757284</v>
      </c>
    </row>
    <row r="155" spans="1:6" x14ac:dyDescent="0.25">
      <c r="A155">
        <v>19</v>
      </c>
      <c r="B15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2019</v>
      </c>
      <c r="C155" t="s">
        <v>46</v>
      </c>
      <c r="D155" s="1">
        <f>DATE(Text_1_2[[#This Row],[Text.1.1.12]],Text_1_2[[#This Row],[Text.1.1.2]],1)</f>
        <v>43556</v>
      </c>
      <c r="E155">
        <v>45400</v>
      </c>
      <c r="F155" s="2">
        <f>IFERROR(1-(E$2/E155),0)</f>
        <v>0.72466960352422904</v>
      </c>
    </row>
    <row r="156" spans="1:6" x14ac:dyDescent="0.25">
      <c r="A156">
        <v>19</v>
      </c>
      <c r="B15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2019</v>
      </c>
      <c r="C156" t="s">
        <v>47</v>
      </c>
      <c r="D156" s="1">
        <f>DATE(Text_1_2[[#This Row],[Text.1.1.12]],Text_1_2[[#This Row],[Text.1.1.2]],1)</f>
        <v>43647</v>
      </c>
      <c r="E156">
        <v>40200</v>
      </c>
      <c r="F156" s="2">
        <f>IFERROR(1-(E$2/E156),0)</f>
        <v>0.68905472636815923</v>
      </c>
    </row>
    <row r="157" spans="1:6" x14ac:dyDescent="0.25">
      <c r="A157">
        <v>19</v>
      </c>
      <c r="B15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2019</v>
      </c>
      <c r="C157" t="s">
        <v>48</v>
      </c>
      <c r="D157" s="1">
        <f>DATE(Text_1_2[[#This Row],[Text.1.1.12]],Text_1_2[[#This Row],[Text.1.1.2]],1)</f>
        <v>43739</v>
      </c>
      <c r="E157">
        <v>41300</v>
      </c>
      <c r="F157" s="2">
        <f>IFERROR(1-(E$2/E157),0)</f>
        <v>0.69733656174334135</v>
      </c>
    </row>
    <row r="158" spans="1:6" x14ac:dyDescent="0.25">
      <c r="A158">
        <v>20</v>
      </c>
      <c r="B15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2020</v>
      </c>
      <c r="C158" t="s">
        <v>45</v>
      </c>
      <c r="D158" s="1">
        <f>DATE(Text_1_2[[#This Row],[Text.1.1.12]],Text_1_2[[#This Row],[Text.1.1.2]],1)</f>
        <v>43831</v>
      </c>
      <c r="E158">
        <v>44800</v>
      </c>
      <c r="F158" s="2">
        <f>IFERROR(1-(E$2/E158),0)</f>
        <v>0.72098214285714279</v>
      </c>
    </row>
    <row r="159" spans="1:6" x14ac:dyDescent="0.25">
      <c r="A159">
        <v>20</v>
      </c>
      <c r="B15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2020</v>
      </c>
      <c r="C159" t="s">
        <v>46</v>
      </c>
      <c r="D159" s="1">
        <f>DATE(Text_1_2[[#This Row],[Text.1.1.12]],Text_1_2[[#This Row],[Text.1.1.2]],1)</f>
        <v>43922</v>
      </c>
      <c r="E159">
        <v>25000</v>
      </c>
      <c r="F159" s="2">
        <f>IFERROR(1-(E$2/E159),0)</f>
        <v>0.5</v>
      </c>
    </row>
    <row r="160" spans="1:6" x14ac:dyDescent="0.25">
      <c r="A160">
        <v>20</v>
      </c>
      <c r="B16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2020</v>
      </c>
      <c r="C160" t="s">
        <v>47</v>
      </c>
      <c r="D160" s="1">
        <f>DATE(Text_1_2[[#This Row],[Text.1.1.12]],Text_1_2[[#This Row],[Text.1.1.2]],1)</f>
        <v>44013</v>
      </c>
      <c r="E160">
        <v>30200</v>
      </c>
      <c r="F160" s="2">
        <f>IFERROR(1-(E$2/E160),0)</f>
        <v>0.58609271523178808</v>
      </c>
    </row>
    <row r="161" spans="1:6" x14ac:dyDescent="0.25">
      <c r="A161">
        <v>20</v>
      </c>
      <c r="B16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2020</v>
      </c>
      <c r="C161" t="s">
        <v>48</v>
      </c>
      <c r="D161" s="1">
        <f>DATE(Text_1_2[[#This Row],[Text.1.1.12]],Text_1_2[[#This Row],[Text.1.1.2]],1)</f>
        <v>44105</v>
      </c>
      <c r="E161">
        <v>31300</v>
      </c>
      <c r="F161" s="2">
        <f>IFERROR(1-(E$2/E161),0)</f>
        <v>0.60063897763578278</v>
      </c>
    </row>
    <row r="162" spans="1:6" x14ac:dyDescent="0.25">
      <c r="A162">
        <v>21</v>
      </c>
      <c r="B16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2021</v>
      </c>
      <c r="C162" t="s">
        <v>45</v>
      </c>
      <c r="D162" s="1">
        <f>DATE(Text_1_2[[#This Row],[Text.1.1.12]],Text_1_2[[#This Row],[Text.1.1.2]],1)</f>
        <v>44197</v>
      </c>
      <c r="E162">
        <v>38800</v>
      </c>
      <c r="F162" s="2">
        <f>IFERROR(1-(E$2/E162),0)</f>
        <v>0.67783505154639179</v>
      </c>
    </row>
    <row r="163" spans="1:6" x14ac:dyDescent="0.25">
      <c r="A163">
        <v>21</v>
      </c>
      <c r="B16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2021</v>
      </c>
      <c r="C163" t="s">
        <v>46</v>
      </c>
      <c r="D163" s="1">
        <f>DATE(Text_1_2[[#This Row],[Text.1.1.12]],Text_1_2[[#This Row],[Text.1.1.2]],1)</f>
        <v>44287</v>
      </c>
      <c r="E163">
        <v>47700</v>
      </c>
      <c r="F163" s="2">
        <f>IFERROR(1-(E$2/E163),0)</f>
        <v>0.73794549266247378</v>
      </c>
    </row>
    <row r="164" spans="1:6" x14ac:dyDescent="0.25">
      <c r="A164">
        <v>21</v>
      </c>
      <c r="B164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2021</v>
      </c>
      <c r="C164" t="s">
        <v>47</v>
      </c>
      <c r="D164" s="1">
        <f>DATE(Text_1_2[[#This Row],[Text.1.1.12]],Text_1_2[[#This Row],[Text.1.1.2]],1)</f>
        <v>44378</v>
      </c>
      <c r="E164">
        <v>53500</v>
      </c>
      <c r="F164" s="2">
        <f>IFERROR(1-(E$2/E164),0)</f>
        <v>0.76635514018691586</v>
      </c>
    </row>
    <row r="165" spans="1:6" x14ac:dyDescent="0.25">
      <c r="A165">
        <v>21</v>
      </c>
      <c r="B165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2021</v>
      </c>
      <c r="C165" t="s">
        <v>48</v>
      </c>
      <c r="D165" s="1">
        <f>DATE(Text_1_2[[#This Row],[Text.1.1.12]],Text_1_2[[#This Row],[Text.1.1.2]],1)</f>
        <v>44470</v>
      </c>
      <c r="E165">
        <v>60700</v>
      </c>
      <c r="F165" s="2">
        <f>IFERROR(1-(E$2/E165),0)</f>
        <v>0.79406919275123555</v>
      </c>
    </row>
    <row r="166" spans="1:6" x14ac:dyDescent="0.25">
      <c r="A166">
        <v>22</v>
      </c>
      <c r="B166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2022</v>
      </c>
      <c r="C166" t="s">
        <v>45</v>
      </c>
      <c r="D166" s="1">
        <f>DATE(Text_1_2[[#This Row],[Text.1.1.12]],Text_1_2[[#This Row],[Text.1.1.2]],1)</f>
        <v>44562</v>
      </c>
      <c r="E166">
        <v>64600</v>
      </c>
      <c r="F166" s="2">
        <f>IFERROR(1-(E$2/E166),0)</f>
        <v>0.80650154798761609</v>
      </c>
    </row>
    <row r="167" spans="1:6" x14ac:dyDescent="0.25">
      <c r="A167">
        <v>22</v>
      </c>
      <c r="B167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2022</v>
      </c>
      <c r="C167" t="s">
        <v>46</v>
      </c>
      <c r="D167" s="1">
        <f>DATE(Text_1_2[[#This Row],[Text.1.1.12]],Text_1_2[[#This Row],[Text.1.1.2]],1)</f>
        <v>44652</v>
      </c>
      <c r="E167">
        <v>86100</v>
      </c>
      <c r="F167" s="2">
        <f>IFERROR(1-(E$2/E167),0)</f>
        <v>0.85481997677119625</v>
      </c>
    </row>
    <row r="168" spans="1:6" x14ac:dyDescent="0.25">
      <c r="A168">
        <v>22</v>
      </c>
      <c r="B168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2022</v>
      </c>
      <c r="C168" t="s">
        <v>47</v>
      </c>
      <c r="D168" s="1">
        <f>DATE(Text_1_2[[#This Row],[Text.1.1.12]],Text_1_2[[#This Row],[Text.1.1.2]],1)</f>
        <v>44743</v>
      </c>
      <c r="E168">
        <v>81400</v>
      </c>
      <c r="F168" s="2">
        <f>IFERROR(1-(E$2/E168),0)</f>
        <v>0.84643734643734647</v>
      </c>
    </row>
    <row r="169" spans="1:6" x14ac:dyDescent="0.25">
      <c r="A169">
        <v>22</v>
      </c>
      <c r="B169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2022</v>
      </c>
      <c r="C169" t="s">
        <v>48</v>
      </c>
      <c r="D169" s="1">
        <f>DATE(Text_1_2[[#This Row],[Text.1.1.12]],Text_1_2[[#This Row],[Text.1.1.2]],1)</f>
        <v>44835</v>
      </c>
      <c r="E169">
        <v>72500</v>
      </c>
      <c r="F169" s="2">
        <f>IFERROR(1-(E$2/E169),0)</f>
        <v>0.82758620689655171</v>
      </c>
    </row>
    <row r="170" spans="1:6" x14ac:dyDescent="0.25">
      <c r="A170">
        <v>23</v>
      </c>
      <c r="B170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2023</v>
      </c>
      <c r="C170" t="s">
        <v>45</v>
      </c>
      <c r="D170" s="1">
        <f>DATE(Text_1_2[[#This Row],[Text.1.1.12]],Text_1_2[[#This Row],[Text.1.1.2]],1)</f>
        <v>44927</v>
      </c>
      <c r="E170">
        <v>60000</v>
      </c>
      <c r="F170" s="2">
        <f>IFERROR(1-(E$2/E170),0)</f>
        <v>0.79166666666666663</v>
      </c>
    </row>
    <row r="171" spans="1:6" x14ac:dyDescent="0.25">
      <c r="A171">
        <v>23</v>
      </c>
      <c r="B171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2023</v>
      </c>
      <c r="C171" t="s">
        <v>46</v>
      </c>
      <c r="D171" s="1">
        <f>DATE(Text_1_2[[#This Row],[Text.1.1.12]],Text_1_2[[#This Row],[Text.1.1.2]],1)</f>
        <v>45017</v>
      </c>
      <c r="F171" s="2">
        <f>IFERROR(1-(E$2/E171),0)</f>
        <v>0</v>
      </c>
    </row>
    <row r="172" spans="1:6" x14ac:dyDescent="0.25">
      <c r="A172">
        <v>23</v>
      </c>
      <c r="B172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2023</v>
      </c>
      <c r="C172" t="s">
        <v>47</v>
      </c>
      <c r="D172" s="1">
        <f>DATE(Text_1_2[[#This Row],[Text.1.1.12]],Text_1_2[[#This Row],[Text.1.1.2]],1)</f>
        <v>45108</v>
      </c>
      <c r="F172" s="2">
        <f>IFERROR(1-(E$2/E172),0)</f>
        <v>0</v>
      </c>
    </row>
    <row r="173" spans="1:6" x14ac:dyDescent="0.25">
      <c r="A173">
        <v>23</v>
      </c>
      <c r="B173" t="str">
        <f>_xlfn.IFS(AND(LEN(Text_1_2[[#This Row],[Text.1.1.1]])=2,LEFT(Text_1_2[[#This Row],[Text.1.1.1]],1)="9"),_xlfn.CONCAT("19",Text_1_2[[#This Row],[Text.1.1.1]]),LEN(Text_1_2[[#This Row],[Text.1.1.1]])=1,_xlfn.CONCAT("200",Text_1_2[[#This Row],[Text.1.1.1]]),AND(LEN(Text_1_2[[#This Row],[Text.1.1.1]])=2,LEFT(Text_1_2[[#This Row],[Text.1.1.1]],1)&lt;&gt;"9"),_xlfn.CONCAT("20",Text_1_2[[#This Row],[Text.1.1.1]]))</f>
        <v>2023</v>
      </c>
      <c r="C173" t="s">
        <v>48</v>
      </c>
      <c r="D173" s="1">
        <f>DATE(Text_1_2[[#This Row],[Text.1.1.12]],Text_1_2[[#This Row],[Text.1.1.2]],1)</f>
        <v>45200</v>
      </c>
      <c r="F173" s="2">
        <f>IFERROR(1-(E$2/E173),0)</f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71D88-55D4-4C70-8753-1A822E2B124A}">
  <sheetPr codeName="Sheet9">
    <tabColor theme="1"/>
  </sheetPr>
  <dimension ref="A1:P901"/>
  <sheetViews>
    <sheetView zoomScale="74" workbookViewId="0">
      <selection activeCell="O2" sqref="O2"/>
    </sheetView>
  </sheetViews>
  <sheetFormatPr defaultRowHeight="15" x14ac:dyDescent="0.25"/>
  <cols>
    <col min="1" max="1" width="11" bestFit="1" customWidth="1"/>
    <col min="2" max="2" width="10.28515625" customWidth="1"/>
    <col min="3" max="3" width="15.7109375" customWidth="1"/>
    <col min="4" max="4" width="19" customWidth="1"/>
    <col min="5" max="5" width="20.140625" customWidth="1"/>
    <col min="6" max="6" width="23.42578125" customWidth="1"/>
    <col min="7" max="7" width="17.140625" customWidth="1"/>
    <col min="8" max="8" width="20.42578125" customWidth="1"/>
    <col min="9" max="9" width="16.42578125" customWidth="1"/>
    <col min="10" max="10" width="19.7109375" customWidth="1"/>
    <col min="11" max="11" width="15.28515625" customWidth="1"/>
    <col min="12" max="12" width="18.7109375" customWidth="1"/>
    <col min="13" max="13" width="10.28515625" customWidth="1"/>
    <col min="14" max="14" width="13.7109375" customWidth="1"/>
    <col min="15" max="15" width="12.5703125" bestFit="1" customWidth="1"/>
    <col min="16" max="16" width="14.5703125" bestFit="1" customWidth="1"/>
  </cols>
  <sheetData>
    <row r="1" spans="1:16" x14ac:dyDescent="0.25">
      <c r="A1" t="s">
        <v>10</v>
      </c>
      <c r="B1" t="s">
        <v>20</v>
      </c>
      <c r="C1" t="s">
        <v>6</v>
      </c>
      <c r="D1" t="s">
        <v>14</v>
      </c>
      <c r="E1" t="s">
        <v>7</v>
      </c>
      <c r="F1" t="s">
        <v>15</v>
      </c>
      <c r="G1" t="s">
        <v>8</v>
      </c>
      <c r="H1" t="s">
        <v>16</v>
      </c>
      <c r="I1" t="s">
        <v>9</v>
      </c>
      <c r="J1" t="s">
        <v>17</v>
      </c>
      <c r="K1" t="s">
        <v>2</v>
      </c>
      <c r="L1" t="s">
        <v>18</v>
      </c>
      <c r="M1" t="s">
        <v>3</v>
      </c>
      <c r="N1" t="s">
        <v>19</v>
      </c>
      <c r="O1" t="s">
        <v>56</v>
      </c>
      <c r="P1" t="s">
        <v>52</v>
      </c>
    </row>
    <row r="2" spans="1:16" x14ac:dyDescent="0.25">
      <c r="A2" s="1">
        <v>21186</v>
      </c>
      <c r="B2" t="str">
        <f>HLOOKUP(Dashboard!$I$27,results,ROW(A2),FALSE)</f>
        <v/>
      </c>
      <c r="C2">
        <f>IFERROR(VLOOKUP(A2,observations_series_id_PCU22112222112243_api_key_ecc133893ea92a842ee685c73424608[],2,FALSE),"")</f>
        <v>17.399999999999999</v>
      </c>
      <c r="D2" s="2">
        <f>IFERROR(VLOOKUP(A2,observations_series_id_PCU22112222112243_api_key_ecc133893ea92a842ee685c73424608[],3,FALSE),"")</f>
        <v>0</v>
      </c>
      <c r="E2" t="str">
        <f>IFERROR(VLOOKUP($A2,observations_series_id_WPU0613020T_api_key_ecc133893ea92a842ee685c734246086_file[],2,FALSE),"")</f>
        <v/>
      </c>
      <c r="F2" s="2" t="str">
        <f>IFERROR(VLOOKUP($A2,observations_series_id_WPU0613020T_api_key_ecc133893ea92a842ee685c734246086_file[],3,FALSE),"")</f>
        <v/>
      </c>
      <c r="G2" t="str">
        <f>IFERROR(VLOOKUP($A2,observations_series_id_PCU22122212_api_key_ecc133893ea92a842ee685c734246086_file[],2,FALSE),"")</f>
        <v/>
      </c>
      <c r="H2" s="2" t="str">
        <f>IFERROR(VLOOKUP($A2,observations_series_id_PCU22122212_api_key_ecc133893ea92a842ee685c734246086_file[],3,FALSE),"")</f>
        <v/>
      </c>
      <c r="I2" t="str">
        <f>IFERROR(VLOOKUP($A2,observations_series_id_PCU3241913241910_api_key_ecc133893ea92a842ee685c734246086[],2,FALSE),"")</f>
        <v/>
      </c>
      <c r="J2" s="2" t="str">
        <f>IFERROR(VLOOKUP($A2,observations_series_id_PCU3241913241910_api_key_ecc133893ea92a842ee685c734246086[],3,FALSE),"")</f>
        <v/>
      </c>
      <c r="K2" t="str">
        <f>IFERROR(VLOOKUP($A2,observations_series_id_EXJPUS_api_key_ecc133893ea92a842ee685c734246086_file_type[],2,FALSE),"")</f>
        <v/>
      </c>
      <c r="L2" s="2" t="str">
        <f>IFERROR(VLOOKUP($A2,observations_series_id_EXJPUS_api_key_ecc133893ea92a842ee685c734246086_file_type[],3,FALSE),"")</f>
        <v/>
      </c>
      <c r="M2" t="str">
        <f>IFERROR(AVERAGEIFS(timeseries_access_key_fqeas14oitk235763mntlb1c0brnk9w3fenzqbk313q5kvxyf52kukw1pa[Value.LME-ZNC],timeseries_access_key_fqeas14oitk235763mntlb1c0brnk9w3fenzqbk313q5kvxyf52kukw1pa[Month],MONTH(Data!$A2),timeseries_access_key_fqeas14oitk235763mntlb1c0brnk9w3fenzqbk313q5kvxyf52kukw1pa[Year],YEAR(Data!$A2)),"")</f>
        <v/>
      </c>
      <c r="N2" s="2" t="str">
        <f>IFERROR(AVERAGEIFS(timeseries_access_key_fqeas14oitk235763mntlb1c0brnk9w3fenzqbk313q5kvxyf52kukw1pa[Column1],timeseries_access_key_fqeas14oitk235763mntlb1c0brnk9w3fenzqbk313q5kvxyf52kukw1pa[Month],MONTH(Data!$A2),timeseries_access_key_fqeas14oitk235763mntlb1c0brnk9w3fenzqbk313q5kvxyf52kukw1pa[Year],YEAR(Data!$A2)),"")</f>
        <v/>
      </c>
      <c r="O2" s="8" t="str">
        <f>IFERROR(VLOOKUP($A2,Text_1_2[[Text.1.1.3]:[Text.1.3]],2,FALSE),"")</f>
        <v/>
      </c>
      <c r="P2" s="2"/>
    </row>
    <row r="3" spans="1:16" x14ac:dyDescent="0.25">
      <c r="A3" s="1">
        <v>21217</v>
      </c>
      <c r="B3" t="str">
        <f>HLOOKUP(Dashboard!$I$27,results,ROW(A3),FALSE)</f>
        <v/>
      </c>
      <c r="C3">
        <f>IFERROR(VLOOKUP(A3,observations_series_id_PCU22112222112243_api_key_ecc133893ea92a842ee685c73424608[],2,FALSE),"")</f>
        <v>17.399999999999999</v>
      </c>
      <c r="D3" s="2">
        <f>IFERROR(VLOOKUP(A3,observations_series_id_PCU22112222112243_api_key_ecc133893ea92a842ee685c73424608[],3,FALSE),"")</f>
        <v>0</v>
      </c>
      <c r="E3" t="str">
        <f>IFERROR(VLOOKUP($A3,observations_series_id_WPU0613020T_api_key_ecc133893ea92a842ee685c734246086_file[],2,FALSE),"")</f>
        <v/>
      </c>
      <c r="F3" s="2" t="str">
        <f>IFERROR(VLOOKUP($A3,observations_series_id_WPU0613020T_api_key_ecc133893ea92a842ee685c734246086_file[],3,FALSE),"")</f>
        <v/>
      </c>
      <c r="G3" t="str">
        <f>IFERROR(VLOOKUP($A3,observations_series_id_PCU22122212_api_key_ecc133893ea92a842ee685c734246086_file[],2,FALSE),"")</f>
        <v/>
      </c>
      <c r="H3" s="2" t="str">
        <f>IFERROR(VLOOKUP($A3,observations_series_id_PCU22122212_api_key_ecc133893ea92a842ee685c734246086_file[],3,FALSE),"")</f>
        <v/>
      </c>
      <c r="I3" t="str">
        <f>IFERROR(VLOOKUP($A3,observations_series_id_PCU3241913241910_api_key_ecc133893ea92a842ee685c734246086[],2,FALSE),"")</f>
        <v/>
      </c>
      <c r="J3" s="2" t="str">
        <f>IFERROR(VLOOKUP($A3,observations_series_id_PCU3241913241910_api_key_ecc133893ea92a842ee685c734246086[],3,FALSE),"")</f>
        <v/>
      </c>
      <c r="K3" t="str">
        <f>IFERROR(VLOOKUP($A3,observations_series_id_EXJPUS_api_key_ecc133893ea92a842ee685c734246086_file_type[],2,FALSE),"")</f>
        <v/>
      </c>
      <c r="L3" s="2" t="str">
        <f>IFERROR(VLOOKUP($A3,observations_series_id_EXJPUS_api_key_ecc133893ea92a842ee685c734246086_file_type[],3,FALSE),"")</f>
        <v/>
      </c>
      <c r="M3" t="str">
        <f>IFERROR(AVERAGEIFS(timeseries_access_key_fqeas14oitk235763mntlb1c0brnk9w3fenzqbk313q5kvxyf52kukw1pa[Value.LME-ZNC],timeseries_access_key_fqeas14oitk235763mntlb1c0brnk9w3fenzqbk313q5kvxyf52kukw1pa[Month],MONTH(Data!$A3),timeseries_access_key_fqeas14oitk235763mntlb1c0brnk9w3fenzqbk313q5kvxyf52kukw1pa[Year],YEAR(Data!$A3)),"")</f>
        <v/>
      </c>
      <c r="N3" s="2" t="str">
        <f>IFERROR(AVERAGEIFS(timeseries_access_key_fqeas14oitk235763mntlb1c0brnk9w3fenzqbk313q5kvxyf52kukw1pa[Column1],timeseries_access_key_fqeas14oitk235763mntlb1c0brnk9w3fenzqbk313q5kvxyf52kukw1pa[Month],MONTH(Data!$A3),timeseries_access_key_fqeas14oitk235763mntlb1c0brnk9w3fenzqbk313q5kvxyf52kukw1pa[Year],YEAR(Data!$A3)),"")</f>
        <v/>
      </c>
      <c r="O3" s="8" t="str">
        <f>IFERROR(VLOOKUP($A3,Text_1_2[[Text.1.1.3]:[Text.1.3]],2,FALSE),"")</f>
        <v/>
      </c>
      <c r="P3" s="2"/>
    </row>
    <row r="4" spans="1:16" x14ac:dyDescent="0.25">
      <c r="A4" s="1">
        <v>21245</v>
      </c>
      <c r="B4" t="str">
        <f>HLOOKUP(Dashboard!$I$27,results,ROW(A4),FALSE)</f>
        <v/>
      </c>
      <c r="C4">
        <f>IFERROR(VLOOKUP(A4,observations_series_id_PCU22112222112243_api_key_ecc133893ea92a842ee685c73424608[],2,FALSE),"")</f>
        <v>17.399999999999999</v>
      </c>
      <c r="D4" s="2">
        <f>IFERROR(VLOOKUP(A4,observations_series_id_PCU22112222112243_api_key_ecc133893ea92a842ee685c73424608[],3,FALSE),"")</f>
        <v>0</v>
      </c>
      <c r="E4" t="str">
        <f>IFERROR(VLOOKUP($A4,observations_series_id_WPU0613020T_api_key_ecc133893ea92a842ee685c734246086_file[],2,FALSE),"")</f>
        <v/>
      </c>
      <c r="F4" s="2" t="str">
        <f>IFERROR(VLOOKUP($A4,observations_series_id_WPU0613020T_api_key_ecc133893ea92a842ee685c734246086_file[],3,FALSE),"")</f>
        <v/>
      </c>
      <c r="G4" t="str">
        <f>IFERROR(VLOOKUP($A4,observations_series_id_PCU22122212_api_key_ecc133893ea92a842ee685c734246086_file[],2,FALSE),"")</f>
        <v/>
      </c>
      <c r="H4" s="2" t="str">
        <f>IFERROR(VLOOKUP($A4,observations_series_id_PCU22122212_api_key_ecc133893ea92a842ee685c734246086_file[],3,FALSE),"")</f>
        <v/>
      </c>
      <c r="I4" t="str">
        <f>IFERROR(VLOOKUP($A4,observations_series_id_PCU3241913241910_api_key_ecc133893ea92a842ee685c734246086[],2,FALSE),"")</f>
        <v/>
      </c>
      <c r="J4" s="2" t="str">
        <f>IFERROR(VLOOKUP($A4,observations_series_id_PCU3241913241910_api_key_ecc133893ea92a842ee685c734246086[],3,FALSE),"")</f>
        <v/>
      </c>
      <c r="K4" t="str">
        <f>IFERROR(VLOOKUP($A4,observations_series_id_EXJPUS_api_key_ecc133893ea92a842ee685c734246086_file_type[],2,FALSE),"")</f>
        <v/>
      </c>
      <c r="L4" s="2" t="str">
        <f>IFERROR(VLOOKUP($A4,observations_series_id_EXJPUS_api_key_ecc133893ea92a842ee685c734246086_file_type[],3,FALSE),"")</f>
        <v/>
      </c>
      <c r="M4" t="str">
        <f>IFERROR(AVERAGEIFS(timeseries_access_key_fqeas14oitk235763mntlb1c0brnk9w3fenzqbk313q5kvxyf52kukw1pa[Value.LME-ZNC],timeseries_access_key_fqeas14oitk235763mntlb1c0brnk9w3fenzqbk313q5kvxyf52kukw1pa[Month],MONTH(Data!$A4),timeseries_access_key_fqeas14oitk235763mntlb1c0brnk9w3fenzqbk313q5kvxyf52kukw1pa[Year],YEAR(Data!$A4)),"")</f>
        <v/>
      </c>
      <c r="N4" s="2" t="str">
        <f>IFERROR(AVERAGEIFS(timeseries_access_key_fqeas14oitk235763mntlb1c0brnk9w3fenzqbk313q5kvxyf52kukw1pa[Column1],timeseries_access_key_fqeas14oitk235763mntlb1c0brnk9w3fenzqbk313q5kvxyf52kukw1pa[Month],MONTH(Data!$A4),timeseries_access_key_fqeas14oitk235763mntlb1c0brnk9w3fenzqbk313q5kvxyf52kukw1pa[Year],YEAR(Data!$A4)),"")</f>
        <v/>
      </c>
      <c r="O4" s="8" t="str">
        <f>IFERROR(VLOOKUP($A4,Text_1_2[[Text.1.1.3]:[Text.1.3]],2,FALSE),"")</f>
        <v/>
      </c>
      <c r="P4" s="2"/>
    </row>
    <row r="5" spans="1:16" x14ac:dyDescent="0.25">
      <c r="A5" s="1">
        <v>21276</v>
      </c>
      <c r="B5" t="str">
        <f>HLOOKUP(Dashboard!$I$27,results,ROW(A5),FALSE)</f>
        <v/>
      </c>
      <c r="C5">
        <f>IFERROR(VLOOKUP(A5,observations_series_id_PCU22112222112243_api_key_ecc133893ea92a842ee685c73424608[],2,FALSE),"")</f>
        <v>17.399999999999999</v>
      </c>
      <c r="D5" s="2">
        <f>IFERROR(VLOOKUP(A5,observations_series_id_PCU22112222112243_api_key_ecc133893ea92a842ee685c73424608[],3,FALSE),"")</f>
        <v>0</v>
      </c>
      <c r="E5" t="str">
        <f>IFERROR(VLOOKUP($A5,observations_series_id_WPU0613020T_api_key_ecc133893ea92a842ee685c734246086_file[],2,FALSE),"")</f>
        <v/>
      </c>
      <c r="F5" s="2" t="str">
        <f>IFERROR(VLOOKUP($A5,observations_series_id_WPU0613020T_api_key_ecc133893ea92a842ee685c734246086_file[],3,FALSE),"")</f>
        <v/>
      </c>
      <c r="G5" t="str">
        <f>IFERROR(VLOOKUP($A5,observations_series_id_PCU22122212_api_key_ecc133893ea92a842ee685c734246086_file[],2,FALSE),"")</f>
        <v/>
      </c>
      <c r="H5" s="2" t="str">
        <f>IFERROR(VLOOKUP($A5,observations_series_id_PCU22122212_api_key_ecc133893ea92a842ee685c734246086_file[],3,FALSE),"")</f>
        <v/>
      </c>
      <c r="I5" t="str">
        <f>IFERROR(VLOOKUP($A5,observations_series_id_PCU3241913241910_api_key_ecc133893ea92a842ee685c734246086[],2,FALSE),"")</f>
        <v/>
      </c>
      <c r="J5" s="2" t="str">
        <f>IFERROR(VLOOKUP($A5,observations_series_id_PCU3241913241910_api_key_ecc133893ea92a842ee685c734246086[],3,FALSE),"")</f>
        <v/>
      </c>
      <c r="K5" t="str">
        <f>IFERROR(VLOOKUP($A5,observations_series_id_EXJPUS_api_key_ecc133893ea92a842ee685c734246086_file_type[],2,FALSE),"")</f>
        <v/>
      </c>
      <c r="L5" s="2" t="str">
        <f>IFERROR(VLOOKUP($A5,observations_series_id_EXJPUS_api_key_ecc133893ea92a842ee685c734246086_file_type[],3,FALSE),"")</f>
        <v/>
      </c>
      <c r="M5" t="str">
        <f>IFERROR(AVERAGEIFS(timeseries_access_key_fqeas14oitk235763mntlb1c0brnk9w3fenzqbk313q5kvxyf52kukw1pa[Value.LME-ZNC],timeseries_access_key_fqeas14oitk235763mntlb1c0brnk9w3fenzqbk313q5kvxyf52kukw1pa[Month],MONTH(Data!$A5),timeseries_access_key_fqeas14oitk235763mntlb1c0brnk9w3fenzqbk313q5kvxyf52kukw1pa[Year],YEAR(Data!$A5)),"")</f>
        <v/>
      </c>
      <c r="N5" s="2" t="str">
        <f>IFERROR(AVERAGEIFS(timeseries_access_key_fqeas14oitk235763mntlb1c0brnk9w3fenzqbk313q5kvxyf52kukw1pa[Column1],timeseries_access_key_fqeas14oitk235763mntlb1c0brnk9w3fenzqbk313q5kvxyf52kukw1pa[Month],MONTH(Data!$A5),timeseries_access_key_fqeas14oitk235763mntlb1c0brnk9w3fenzqbk313q5kvxyf52kukw1pa[Year],YEAR(Data!$A5)),"")</f>
        <v/>
      </c>
      <c r="O5" s="8" t="str">
        <f>IFERROR(VLOOKUP($A5,Text_1_2[[Text.1.1.3]:[Text.1.3]],2,FALSE),"")</f>
        <v/>
      </c>
      <c r="P5" s="2"/>
    </row>
    <row r="6" spans="1:16" x14ac:dyDescent="0.25">
      <c r="A6" s="1">
        <v>21306</v>
      </c>
      <c r="B6" t="str">
        <f>HLOOKUP(Dashboard!$I$27,results,ROW(A6),FALSE)</f>
        <v/>
      </c>
      <c r="C6">
        <f>IFERROR(VLOOKUP(A6,observations_series_id_PCU22112222112243_api_key_ecc133893ea92a842ee685c73424608[],2,FALSE),"")</f>
        <v>17.399999999999999</v>
      </c>
      <c r="D6" s="2">
        <f>IFERROR(VLOOKUP(A6,observations_series_id_PCU22112222112243_api_key_ecc133893ea92a842ee685c73424608[],3,FALSE),"")</f>
        <v>0</v>
      </c>
      <c r="E6" t="str">
        <f>IFERROR(VLOOKUP($A6,observations_series_id_WPU0613020T_api_key_ecc133893ea92a842ee685c734246086_file[],2,FALSE),"")</f>
        <v/>
      </c>
      <c r="F6" s="2" t="str">
        <f>IFERROR(VLOOKUP($A6,observations_series_id_WPU0613020T_api_key_ecc133893ea92a842ee685c734246086_file[],3,FALSE),"")</f>
        <v/>
      </c>
      <c r="G6" t="str">
        <f>IFERROR(VLOOKUP($A6,observations_series_id_PCU22122212_api_key_ecc133893ea92a842ee685c734246086_file[],2,FALSE),"")</f>
        <v/>
      </c>
      <c r="H6" s="2" t="str">
        <f>IFERROR(VLOOKUP($A6,observations_series_id_PCU22122212_api_key_ecc133893ea92a842ee685c734246086_file[],3,FALSE),"")</f>
        <v/>
      </c>
      <c r="I6" t="str">
        <f>IFERROR(VLOOKUP($A6,observations_series_id_PCU3241913241910_api_key_ecc133893ea92a842ee685c734246086[],2,FALSE),"")</f>
        <v/>
      </c>
      <c r="J6" s="2" t="str">
        <f>IFERROR(VLOOKUP($A6,observations_series_id_PCU3241913241910_api_key_ecc133893ea92a842ee685c734246086[],3,FALSE),"")</f>
        <v/>
      </c>
      <c r="K6" t="str">
        <f>IFERROR(VLOOKUP($A6,observations_series_id_EXJPUS_api_key_ecc133893ea92a842ee685c734246086_file_type[],2,FALSE),"")</f>
        <v/>
      </c>
      <c r="L6" s="2" t="str">
        <f>IFERROR(VLOOKUP($A6,observations_series_id_EXJPUS_api_key_ecc133893ea92a842ee685c734246086_file_type[],3,FALSE),"")</f>
        <v/>
      </c>
      <c r="M6" t="str">
        <f>IFERROR(AVERAGEIFS(timeseries_access_key_fqeas14oitk235763mntlb1c0brnk9w3fenzqbk313q5kvxyf52kukw1pa[Value.LME-ZNC],timeseries_access_key_fqeas14oitk235763mntlb1c0brnk9w3fenzqbk313q5kvxyf52kukw1pa[Month],MONTH(Data!$A6),timeseries_access_key_fqeas14oitk235763mntlb1c0brnk9w3fenzqbk313q5kvxyf52kukw1pa[Year],YEAR(Data!$A6)),"")</f>
        <v/>
      </c>
      <c r="N6" s="2" t="str">
        <f>IFERROR(AVERAGEIFS(timeseries_access_key_fqeas14oitk235763mntlb1c0brnk9w3fenzqbk313q5kvxyf52kukw1pa[Column1],timeseries_access_key_fqeas14oitk235763mntlb1c0brnk9w3fenzqbk313q5kvxyf52kukw1pa[Month],MONTH(Data!$A6),timeseries_access_key_fqeas14oitk235763mntlb1c0brnk9w3fenzqbk313q5kvxyf52kukw1pa[Year],YEAR(Data!$A6)),"")</f>
        <v/>
      </c>
      <c r="O6" s="8" t="str">
        <f>IFERROR(VLOOKUP($A6,Text_1_2[[Text.1.1.3]:[Text.1.3]],2,FALSE),"")</f>
        <v/>
      </c>
      <c r="P6" s="2"/>
    </row>
    <row r="7" spans="1:16" x14ac:dyDescent="0.25">
      <c r="A7" s="1">
        <v>21337</v>
      </c>
      <c r="B7" t="str">
        <f>HLOOKUP(Dashboard!$I$27,results,ROW(A7),FALSE)</f>
        <v/>
      </c>
      <c r="C7">
        <f>IFERROR(VLOOKUP(A7,observations_series_id_PCU22112222112243_api_key_ecc133893ea92a842ee685c73424608[],2,FALSE),"")</f>
        <v>17.399999999999999</v>
      </c>
      <c r="D7" s="2">
        <f>IFERROR(VLOOKUP(A7,observations_series_id_PCU22112222112243_api_key_ecc133893ea92a842ee685c73424608[],3,FALSE),"")</f>
        <v>0</v>
      </c>
      <c r="E7" t="str">
        <f>IFERROR(VLOOKUP($A7,observations_series_id_WPU0613020T_api_key_ecc133893ea92a842ee685c734246086_file[],2,FALSE),"")</f>
        <v/>
      </c>
      <c r="F7" s="2" t="str">
        <f>IFERROR(VLOOKUP($A7,observations_series_id_WPU0613020T_api_key_ecc133893ea92a842ee685c734246086_file[],3,FALSE),"")</f>
        <v/>
      </c>
      <c r="G7" t="str">
        <f>IFERROR(VLOOKUP($A7,observations_series_id_PCU22122212_api_key_ecc133893ea92a842ee685c734246086_file[],2,FALSE),"")</f>
        <v/>
      </c>
      <c r="H7" s="2" t="str">
        <f>IFERROR(VLOOKUP($A7,observations_series_id_PCU22122212_api_key_ecc133893ea92a842ee685c734246086_file[],3,FALSE),"")</f>
        <v/>
      </c>
      <c r="I7" t="str">
        <f>IFERROR(VLOOKUP($A7,observations_series_id_PCU3241913241910_api_key_ecc133893ea92a842ee685c734246086[],2,FALSE),"")</f>
        <v/>
      </c>
      <c r="J7" s="2" t="str">
        <f>IFERROR(VLOOKUP($A7,observations_series_id_PCU3241913241910_api_key_ecc133893ea92a842ee685c734246086[],3,FALSE),"")</f>
        <v/>
      </c>
      <c r="K7" t="str">
        <f>IFERROR(VLOOKUP($A7,observations_series_id_EXJPUS_api_key_ecc133893ea92a842ee685c734246086_file_type[],2,FALSE),"")</f>
        <v/>
      </c>
      <c r="L7" s="2" t="str">
        <f>IFERROR(VLOOKUP($A7,observations_series_id_EXJPUS_api_key_ecc133893ea92a842ee685c734246086_file_type[],3,FALSE),"")</f>
        <v/>
      </c>
      <c r="M7" t="str">
        <f>IFERROR(AVERAGEIFS(timeseries_access_key_fqeas14oitk235763mntlb1c0brnk9w3fenzqbk313q5kvxyf52kukw1pa[Value.LME-ZNC],timeseries_access_key_fqeas14oitk235763mntlb1c0brnk9w3fenzqbk313q5kvxyf52kukw1pa[Month],MONTH(Data!$A7),timeseries_access_key_fqeas14oitk235763mntlb1c0brnk9w3fenzqbk313q5kvxyf52kukw1pa[Year],YEAR(Data!$A7)),"")</f>
        <v/>
      </c>
      <c r="N7" s="2" t="str">
        <f>IFERROR(AVERAGEIFS(timeseries_access_key_fqeas14oitk235763mntlb1c0brnk9w3fenzqbk313q5kvxyf52kukw1pa[Column1],timeseries_access_key_fqeas14oitk235763mntlb1c0brnk9w3fenzqbk313q5kvxyf52kukw1pa[Month],MONTH(Data!$A7),timeseries_access_key_fqeas14oitk235763mntlb1c0brnk9w3fenzqbk313q5kvxyf52kukw1pa[Year],YEAR(Data!$A7)),"")</f>
        <v/>
      </c>
      <c r="O7" s="8" t="str">
        <f>IFERROR(VLOOKUP($A7,Text_1_2[[Text.1.1.3]:[Text.1.3]],2,FALSE),"")</f>
        <v/>
      </c>
      <c r="P7" s="2"/>
    </row>
    <row r="8" spans="1:16" x14ac:dyDescent="0.25">
      <c r="A8" s="1">
        <v>21367</v>
      </c>
      <c r="B8" t="str">
        <f>HLOOKUP(Dashboard!$I$27,results,ROW(A8),FALSE)</f>
        <v/>
      </c>
      <c r="C8">
        <f>IFERROR(VLOOKUP(A8,observations_series_id_PCU22112222112243_api_key_ecc133893ea92a842ee685c73424608[],2,FALSE),"")</f>
        <v>17.399999999999999</v>
      </c>
      <c r="D8" s="2">
        <f>IFERROR(VLOOKUP(A8,observations_series_id_PCU22112222112243_api_key_ecc133893ea92a842ee685c73424608[],3,FALSE),"")</f>
        <v>0</v>
      </c>
      <c r="E8" t="str">
        <f>IFERROR(VLOOKUP($A8,observations_series_id_WPU0613020T_api_key_ecc133893ea92a842ee685c734246086_file[],2,FALSE),"")</f>
        <v/>
      </c>
      <c r="F8" s="2" t="str">
        <f>IFERROR(VLOOKUP($A8,observations_series_id_WPU0613020T_api_key_ecc133893ea92a842ee685c734246086_file[],3,FALSE),"")</f>
        <v/>
      </c>
      <c r="G8" t="str">
        <f>IFERROR(VLOOKUP($A8,observations_series_id_PCU22122212_api_key_ecc133893ea92a842ee685c734246086_file[],2,FALSE),"")</f>
        <v/>
      </c>
      <c r="H8" s="2" t="str">
        <f>IFERROR(VLOOKUP($A8,observations_series_id_PCU22122212_api_key_ecc133893ea92a842ee685c734246086_file[],3,FALSE),"")</f>
        <v/>
      </c>
      <c r="I8" t="str">
        <f>IFERROR(VLOOKUP($A8,observations_series_id_PCU3241913241910_api_key_ecc133893ea92a842ee685c734246086[],2,FALSE),"")</f>
        <v/>
      </c>
      <c r="J8" s="2" t="str">
        <f>IFERROR(VLOOKUP($A8,observations_series_id_PCU3241913241910_api_key_ecc133893ea92a842ee685c734246086[],3,FALSE),"")</f>
        <v/>
      </c>
      <c r="K8" t="str">
        <f>IFERROR(VLOOKUP($A8,observations_series_id_EXJPUS_api_key_ecc133893ea92a842ee685c734246086_file_type[],2,FALSE),"")</f>
        <v/>
      </c>
      <c r="L8" s="2" t="str">
        <f>IFERROR(VLOOKUP($A8,observations_series_id_EXJPUS_api_key_ecc133893ea92a842ee685c734246086_file_type[],3,FALSE),"")</f>
        <v/>
      </c>
      <c r="M8" t="str">
        <f>IFERROR(AVERAGEIFS(timeseries_access_key_fqeas14oitk235763mntlb1c0brnk9w3fenzqbk313q5kvxyf52kukw1pa[Value.LME-ZNC],timeseries_access_key_fqeas14oitk235763mntlb1c0brnk9w3fenzqbk313q5kvxyf52kukw1pa[Month],MONTH(Data!$A8),timeseries_access_key_fqeas14oitk235763mntlb1c0brnk9w3fenzqbk313q5kvxyf52kukw1pa[Year],YEAR(Data!$A8)),"")</f>
        <v/>
      </c>
      <c r="N8" s="2" t="str">
        <f>IFERROR(AVERAGEIFS(timeseries_access_key_fqeas14oitk235763mntlb1c0brnk9w3fenzqbk313q5kvxyf52kukw1pa[Column1],timeseries_access_key_fqeas14oitk235763mntlb1c0brnk9w3fenzqbk313q5kvxyf52kukw1pa[Month],MONTH(Data!$A8),timeseries_access_key_fqeas14oitk235763mntlb1c0brnk9w3fenzqbk313q5kvxyf52kukw1pa[Year],YEAR(Data!$A8)),"")</f>
        <v/>
      </c>
      <c r="O8" s="8" t="str">
        <f>IFERROR(VLOOKUP($A8,Text_1_2[[Text.1.1.3]:[Text.1.3]],2,FALSE),"")</f>
        <v/>
      </c>
      <c r="P8" s="2"/>
    </row>
    <row r="9" spans="1:16" x14ac:dyDescent="0.25">
      <c r="A9" s="1">
        <v>21398</v>
      </c>
      <c r="B9" t="str">
        <f>HLOOKUP(Dashboard!$I$27,results,ROW(A9),FALSE)</f>
        <v/>
      </c>
      <c r="C9">
        <f>IFERROR(VLOOKUP(A9,observations_series_id_PCU22112222112243_api_key_ecc133893ea92a842ee685c73424608[],2,FALSE),"")</f>
        <v>17.5</v>
      </c>
      <c r="D9" s="2">
        <f>IFERROR(VLOOKUP(A9,observations_series_id_PCU22112222112243_api_key_ecc133893ea92a842ee685c73424608[],3,FALSE),"")</f>
        <v>5.7142857142857828E-3</v>
      </c>
      <c r="E9" t="str">
        <f>IFERROR(VLOOKUP($A9,observations_series_id_WPU0613020T_api_key_ecc133893ea92a842ee685c734246086_file[],2,FALSE),"")</f>
        <v/>
      </c>
      <c r="F9" s="2" t="str">
        <f>IFERROR(VLOOKUP($A9,observations_series_id_WPU0613020T_api_key_ecc133893ea92a842ee685c734246086_file[],3,FALSE),"")</f>
        <v/>
      </c>
      <c r="G9" t="str">
        <f>IFERROR(VLOOKUP($A9,observations_series_id_PCU22122212_api_key_ecc133893ea92a842ee685c734246086_file[],2,FALSE),"")</f>
        <v/>
      </c>
      <c r="H9" s="2" t="str">
        <f>IFERROR(VLOOKUP($A9,observations_series_id_PCU22122212_api_key_ecc133893ea92a842ee685c734246086_file[],3,FALSE),"")</f>
        <v/>
      </c>
      <c r="I9" t="str">
        <f>IFERROR(VLOOKUP($A9,observations_series_id_PCU3241913241910_api_key_ecc133893ea92a842ee685c734246086[],2,FALSE),"")</f>
        <v/>
      </c>
      <c r="J9" s="2" t="str">
        <f>IFERROR(VLOOKUP($A9,observations_series_id_PCU3241913241910_api_key_ecc133893ea92a842ee685c734246086[],3,FALSE),"")</f>
        <v/>
      </c>
      <c r="K9" t="str">
        <f>IFERROR(VLOOKUP($A9,observations_series_id_EXJPUS_api_key_ecc133893ea92a842ee685c734246086_file_type[],2,FALSE),"")</f>
        <v/>
      </c>
      <c r="L9" s="2" t="str">
        <f>IFERROR(VLOOKUP($A9,observations_series_id_EXJPUS_api_key_ecc133893ea92a842ee685c734246086_file_type[],3,FALSE),"")</f>
        <v/>
      </c>
      <c r="M9" t="str">
        <f>IFERROR(AVERAGEIFS(timeseries_access_key_fqeas14oitk235763mntlb1c0brnk9w3fenzqbk313q5kvxyf52kukw1pa[Value.LME-ZNC],timeseries_access_key_fqeas14oitk235763mntlb1c0brnk9w3fenzqbk313q5kvxyf52kukw1pa[Month],MONTH(Data!$A9),timeseries_access_key_fqeas14oitk235763mntlb1c0brnk9w3fenzqbk313q5kvxyf52kukw1pa[Year],YEAR(Data!$A9)),"")</f>
        <v/>
      </c>
      <c r="N9" s="2" t="str">
        <f>IFERROR(AVERAGEIFS(timeseries_access_key_fqeas14oitk235763mntlb1c0brnk9w3fenzqbk313q5kvxyf52kukw1pa[Column1],timeseries_access_key_fqeas14oitk235763mntlb1c0brnk9w3fenzqbk313q5kvxyf52kukw1pa[Month],MONTH(Data!$A9),timeseries_access_key_fqeas14oitk235763mntlb1c0brnk9w3fenzqbk313q5kvxyf52kukw1pa[Year],YEAR(Data!$A9)),"")</f>
        <v/>
      </c>
      <c r="O9" s="8" t="str">
        <f>IFERROR(VLOOKUP($A9,Text_1_2[[Text.1.1.3]:[Text.1.3]],2,FALSE),"")</f>
        <v/>
      </c>
      <c r="P9" s="2"/>
    </row>
    <row r="10" spans="1:16" x14ac:dyDescent="0.25">
      <c r="A10" s="1">
        <v>21429</v>
      </c>
      <c r="B10" t="str">
        <f>HLOOKUP(Dashboard!$I$27,results,ROW(A10),FALSE)</f>
        <v/>
      </c>
      <c r="C10">
        <f>IFERROR(VLOOKUP(A10,observations_series_id_PCU22112222112243_api_key_ecc133893ea92a842ee685c73424608[],2,FALSE),"")</f>
        <v>17.5</v>
      </c>
      <c r="D10" s="2">
        <f>IFERROR(VLOOKUP(A10,observations_series_id_PCU22112222112243_api_key_ecc133893ea92a842ee685c73424608[],3,FALSE),"")</f>
        <v>5.7142857142857828E-3</v>
      </c>
      <c r="E10" t="str">
        <f>IFERROR(VLOOKUP($A10,observations_series_id_WPU0613020T_api_key_ecc133893ea92a842ee685c734246086_file[],2,FALSE),"")</f>
        <v/>
      </c>
      <c r="F10" s="2" t="str">
        <f>IFERROR(VLOOKUP($A10,observations_series_id_WPU0613020T_api_key_ecc133893ea92a842ee685c734246086_file[],3,FALSE),"")</f>
        <v/>
      </c>
      <c r="G10" t="str">
        <f>IFERROR(VLOOKUP($A10,observations_series_id_PCU22122212_api_key_ecc133893ea92a842ee685c734246086_file[],2,FALSE),"")</f>
        <v/>
      </c>
      <c r="H10" s="2" t="str">
        <f>IFERROR(VLOOKUP($A10,observations_series_id_PCU22122212_api_key_ecc133893ea92a842ee685c734246086_file[],3,FALSE),"")</f>
        <v/>
      </c>
      <c r="I10" t="str">
        <f>IFERROR(VLOOKUP($A10,observations_series_id_PCU3241913241910_api_key_ecc133893ea92a842ee685c734246086[],2,FALSE),"")</f>
        <v/>
      </c>
      <c r="J10" s="2" t="str">
        <f>IFERROR(VLOOKUP($A10,observations_series_id_PCU3241913241910_api_key_ecc133893ea92a842ee685c734246086[],3,FALSE),"")</f>
        <v/>
      </c>
      <c r="K10" t="str">
        <f>IFERROR(VLOOKUP($A10,observations_series_id_EXJPUS_api_key_ecc133893ea92a842ee685c734246086_file_type[],2,FALSE),"")</f>
        <v/>
      </c>
      <c r="L10" s="2" t="str">
        <f>IFERROR(VLOOKUP($A10,observations_series_id_EXJPUS_api_key_ecc133893ea92a842ee685c734246086_file_type[],3,FALSE),"")</f>
        <v/>
      </c>
      <c r="M10" t="str">
        <f>IFERROR(AVERAGEIFS(timeseries_access_key_fqeas14oitk235763mntlb1c0brnk9w3fenzqbk313q5kvxyf52kukw1pa[Value.LME-ZNC],timeseries_access_key_fqeas14oitk235763mntlb1c0brnk9w3fenzqbk313q5kvxyf52kukw1pa[Month],MONTH(Data!$A10),timeseries_access_key_fqeas14oitk235763mntlb1c0brnk9w3fenzqbk313q5kvxyf52kukw1pa[Year],YEAR(Data!$A10)),"")</f>
        <v/>
      </c>
      <c r="N10" s="2" t="str">
        <f>IFERROR(AVERAGEIFS(timeseries_access_key_fqeas14oitk235763mntlb1c0brnk9w3fenzqbk313q5kvxyf52kukw1pa[Column1],timeseries_access_key_fqeas14oitk235763mntlb1c0brnk9w3fenzqbk313q5kvxyf52kukw1pa[Month],MONTH(Data!$A10),timeseries_access_key_fqeas14oitk235763mntlb1c0brnk9w3fenzqbk313q5kvxyf52kukw1pa[Year],YEAR(Data!$A10)),"")</f>
        <v/>
      </c>
      <c r="O10" s="8" t="str">
        <f>IFERROR(VLOOKUP($A10,Text_1_2[[Text.1.1.3]:[Text.1.3]],2,FALSE),"")</f>
        <v/>
      </c>
      <c r="P10" s="2"/>
    </row>
    <row r="11" spans="1:16" x14ac:dyDescent="0.25">
      <c r="A11" s="1">
        <v>21459</v>
      </c>
      <c r="B11" t="str">
        <f>HLOOKUP(Dashboard!$I$27,results,ROW(A11),FALSE)</f>
        <v/>
      </c>
      <c r="C11">
        <f>IFERROR(VLOOKUP(A11,observations_series_id_PCU22112222112243_api_key_ecc133893ea92a842ee685c73424608[],2,FALSE),"")</f>
        <v>17.5</v>
      </c>
      <c r="D11" s="2">
        <f>IFERROR(VLOOKUP(A11,observations_series_id_PCU22112222112243_api_key_ecc133893ea92a842ee685c73424608[],3,FALSE),"")</f>
        <v>5.7142857142857828E-3</v>
      </c>
      <c r="E11" t="str">
        <f>IFERROR(VLOOKUP($A11,observations_series_id_WPU0613020T_api_key_ecc133893ea92a842ee685c734246086_file[],2,FALSE),"")</f>
        <v/>
      </c>
      <c r="F11" s="2" t="str">
        <f>IFERROR(VLOOKUP($A11,observations_series_id_WPU0613020T_api_key_ecc133893ea92a842ee685c734246086_file[],3,FALSE),"")</f>
        <v/>
      </c>
      <c r="G11" t="str">
        <f>IFERROR(VLOOKUP($A11,observations_series_id_PCU22122212_api_key_ecc133893ea92a842ee685c734246086_file[],2,FALSE),"")</f>
        <v/>
      </c>
      <c r="H11" s="2" t="str">
        <f>IFERROR(VLOOKUP($A11,observations_series_id_PCU22122212_api_key_ecc133893ea92a842ee685c734246086_file[],3,FALSE),"")</f>
        <v/>
      </c>
      <c r="I11" t="str">
        <f>IFERROR(VLOOKUP($A11,observations_series_id_PCU3241913241910_api_key_ecc133893ea92a842ee685c734246086[],2,FALSE),"")</f>
        <v/>
      </c>
      <c r="J11" s="2" t="str">
        <f>IFERROR(VLOOKUP($A11,observations_series_id_PCU3241913241910_api_key_ecc133893ea92a842ee685c734246086[],3,FALSE),"")</f>
        <v/>
      </c>
      <c r="K11" t="str">
        <f>IFERROR(VLOOKUP($A11,observations_series_id_EXJPUS_api_key_ecc133893ea92a842ee685c734246086_file_type[],2,FALSE),"")</f>
        <v/>
      </c>
      <c r="L11" s="2" t="str">
        <f>IFERROR(VLOOKUP($A11,observations_series_id_EXJPUS_api_key_ecc133893ea92a842ee685c734246086_file_type[],3,FALSE),"")</f>
        <v/>
      </c>
      <c r="M11" t="str">
        <f>IFERROR(AVERAGEIFS(timeseries_access_key_fqeas14oitk235763mntlb1c0brnk9w3fenzqbk313q5kvxyf52kukw1pa[Value.LME-ZNC],timeseries_access_key_fqeas14oitk235763mntlb1c0brnk9w3fenzqbk313q5kvxyf52kukw1pa[Month],MONTH(Data!$A11),timeseries_access_key_fqeas14oitk235763mntlb1c0brnk9w3fenzqbk313q5kvxyf52kukw1pa[Year],YEAR(Data!$A11)),"")</f>
        <v/>
      </c>
      <c r="N11" s="2" t="str">
        <f>IFERROR(AVERAGEIFS(timeseries_access_key_fqeas14oitk235763mntlb1c0brnk9w3fenzqbk313q5kvxyf52kukw1pa[Column1],timeseries_access_key_fqeas14oitk235763mntlb1c0brnk9w3fenzqbk313q5kvxyf52kukw1pa[Month],MONTH(Data!$A11),timeseries_access_key_fqeas14oitk235763mntlb1c0brnk9w3fenzqbk313q5kvxyf52kukw1pa[Year],YEAR(Data!$A11)),"")</f>
        <v/>
      </c>
      <c r="O11" s="8" t="str">
        <f>IFERROR(VLOOKUP($A11,Text_1_2[[Text.1.1.3]:[Text.1.3]],2,FALSE),"")</f>
        <v/>
      </c>
      <c r="P11" s="2"/>
    </row>
    <row r="12" spans="1:16" x14ac:dyDescent="0.25">
      <c r="A12" s="1">
        <v>21490</v>
      </c>
      <c r="B12" t="str">
        <f>HLOOKUP(Dashboard!$I$27,results,ROW(A12),FALSE)</f>
        <v/>
      </c>
      <c r="C12">
        <f>IFERROR(VLOOKUP(A12,observations_series_id_PCU22112222112243_api_key_ecc133893ea92a842ee685c73424608[],2,FALSE),"")</f>
        <v>17.5</v>
      </c>
      <c r="D12" s="2">
        <f>IFERROR(VLOOKUP(A12,observations_series_id_PCU22112222112243_api_key_ecc133893ea92a842ee685c73424608[],3,FALSE),"")</f>
        <v>5.7142857142857828E-3</v>
      </c>
      <c r="E12" t="str">
        <f>IFERROR(VLOOKUP($A12,observations_series_id_WPU0613020T_api_key_ecc133893ea92a842ee685c734246086_file[],2,FALSE),"")</f>
        <v/>
      </c>
      <c r="F12" s="2" t="str">
        <f>IFERROR(VLOOKUP($A12,observations_series_id_WPU0613020T_api_key_ecc133893ea92a842ee685c734246086_file[],3,FALSE),"")</f>
        <v/>
      </c>
      <c r="G12" t="str">
        <f>IFERROR(VLOOKUP($A12,observations_series_id_PCU22122212_api_key_ecc133893ea92a842ee685c734246086_file[],2,FALSE),"")</f>
        <v/>
      </c>
      <c r="H12" s="2" t="str">
        <f>IFERROR(VLOOKUP($A12,observations_series_id_PCU22122212_api_key_ecc133893ea92a842ee685c734246086_file[],3,FALSE),"")</f>
        <v/>
      </c>
      <c r="I12" t="str">
        <f>IFERROR(VLOOKUP($A12,observations_series_id_PCU3241913241910_api_key_ecc133893ea92a842ee685c734246086[],2,FALSE),"")</f>
        <v/>
      </c>
      <c r="J12" s="2" t="str">
        <f>IFERROR(VLOOKUP($A12,observations_series_id_PCU3241913241910_api_key_ecc133893ea92a842ee685c734246086[],3,FALSE),"")</f>
        <v/>
      </c>
      <c r="K12" t="str">
        <f>IFERROR(VLOOKUP($A12,observations_series_id_EXJPUS_api_key_ecc133893ea92a842ee685c734246086_file_type[],2,FALSE),"")</f>
        <v/>
      </c>
      <c r="L12" s="2" t="str">
        <f>IFERROR(VLOOKUP($A12,observations_series_id_EXJPUS_api_key_ecc133893ea92a842ee685c734246086_file_type[],3,FALSE),"")</f>
        <v/>
      </c>
      <c r="M12" t="str">
        <f>IFERROR(AVERAGEIFS(timeseries_access_key_fqeas14oitk235763mntlb1c0brnk9w3fenzqbk313q5kvxyf52kukw1pa[Value.LME-ZNC],timeseries_access_key_fqeas14oitk235763mntlb1c0brnk9w3fenzqbk313q5kvxyf52kukw1pa[Month],MONTH(Data!$A12),timeseries_access_key_fqeas14oitk235763mntlb1c0brnk9w3fenzqbk313q5kvxyf52kukw1pa[Year],YEAR(Data!$A12)),"")</f>
        <v/>
      </c>
      <c r="N12" s="2" t="str">
        <f>IFERROR(AVERAGEIFS(timeseries_access_key_fqeas14oitk235763mntlb1c0brnk9w3fenzqbk313q5kvxyf52kukw1pa[Column1],timeseries_access_key_fqeas14oitk235763mntlb1c0brnk9w3fenzqbk313q5kvxyf52kukw1pa[Month],MONTH(Data!$A12),timeseries_access_key_fqeas14oitk235763mntlb1c0brnk9w3fenzqbk313q5kvxyf52kukw1pa[Year],YEAR(Data!$A12)),"")</f>
        <v/>
      </c>
      <c r="O12" s="8" t="str">
        <f>IFERROR(VLOOKUP($A12,Text_1_2[[Text.1.1.3]:[Text.1.3]],2,FALSE),"")</f>
        <v/>
      </c>
      <c r="P12" s="2"/>
    </row>
    <row r="13" spans="1:16" x14ac:dyDescent="0.25">
      <c r="A13" s="1">
        <v>21520</v>
      </c>
      <c r="B13" t="str">
        <f>HLOOKUP(Dashboard!$I$27,results,ROW(A13),FALSE)</f>
        <v/>
      </c>
      <c r="C13">
        <f>IFERROR(VLOOKUP(A13,observations_series_id_PCU22112222112243_api_key_ecc133893ea92a842ee685c73424608[],2,FALSE),"")</f>
        <v>17.5</v>
      </c>
      <c r="D13" s="2">
        <f>IFERROR(VLOOKUP(A13,observations_series_id_PCU22112222112243_api_key_ecc133893ea92a842ee685c73424608[],3,FALSE),"")</f>
        <v>5.7142857142857828E-3</v>
      </c>
      <c r="E13" t="str">
        <f>IFERROR(VLOOKUP($A13,observations_series_id_WPU0613020T_api_key_ecc133893ea92a842ee685c734246086_file[],2,FALSE),"")</f>
        <v/>
      </c>
      <c r="F13" s="2" t="str">
        <f>IFERROR(VLOOKUP($A13,observations_series_id_WPU0613020T_api_key_ecc133893ea92a842ee685c734246086_file[],3,FALSE),"")</f>
        <v/>
      </c>
      <c r="G13" t="str">
        <f>IFERROR(VLOOKUP($A13,observations_series_id_PCU22122212_api_key_ecc133893ea92a842ee685c734246086_file[],2,FALSE),"")</f>
        <v/>
      </c>
      <c r="H13" s="2" t="str">
        <f>IFERROR(VLOOKUP($A13,observations_series_id_PCU22122212_api_key_ecc133893ea92a842ee685c734246086_file[],3,FALSE),"")</f>
        <v/>
      </c>
      <c r="I13" t="str">
        <f>IFERROR(VLOOKUP($A13,observations_series_id_PCU3241913241910_api_key_ecc133893ea92a842ee685c734246086[],2,FALSE),"")</f>
        <v/>
      </c>
      <c r="J13" s="2" t="str">
        <f>IFERROR(VLOOKUP($A13,observations_series_id_PCU3241913241910_api_key_ecc133893ea92a842ee685c734246086[],3,FALSE),"")</f>
        <v/>
      </c>
      <c r="K13" t="str">
        <f>IFERROR(VLOOKUP($A13,observations_series_id_EXJPUS_api_key_ecc133893ea92a842ee685c734246086_file_type[],2,FALSE),"")</f>
        <v/>
      </c>
      <c r="L13" s="2" t="str">
        <f>IFERROR(VLOOKUP($A13,observations_series_id_EXJPUS_api_key_ecc133893ea92a842ee685c734246086_file_type[],3,FALSE),"")</f>
        <v/>
      </c>
      <c r="M13" t="str">
        <f>IFERROR(AVERAGEIFS(timeseries_access_key_fqeas14oitk235763mntlb1c0brnk9w3fenzqbk313q5kvxyf52kukw1pa[Value.LME-ZNC],timeseries_access_key_fqeas14oitk235763mntlb1c0brnk9w3fenzqbk313q5kvxyf52kukw1pa[Month],MONTH(Data!$A13),timeseries_access_key_fqeas14oitk235763mntlb1c0brnk9w3fenzqbk313q5kvxyf52kukw1pa[Year],YEAR(Data!$A13)),"")</f>
        <v/>
      </c>
      <c r="N13" s="2" t="str">
        <f>IFERROR(AVERAGEIFS(timeseries_access_key_fqeas14oitk235763mntlb1c0brnk9w3fenzqbk313q5kvxyf52kukw1pa[Column1],timeseries_access_key_fqeas14oitk235763mntlb1c0brnk9w3fenzqbk313q5kvxyf52kukw1pa[Month],MONTH(Data!$A13),timeseries_access_key_fqeas14oitk235763mntlb1c0brnk9w3fenzqbk313q5kvxyf52kukw1pa[Year],YEAR(Data!$A13)),"")</f>
        <v/>
      </c>
      <c r="O13" s="8" t="str">
        <f>IFERROR(VLOOKUP($A13,Text_1_2[[Text.1.1.3]:[Text.1.3]],2,FALSE),"")</f>
        <v/>
      </c>
      <c r="P13" s="2"/>
    </row>
    <row r="14" spans="1:16" x14ac:dyDescent="0.25">
      <c r="A14" s="1">
        <v>21551</v>
      </c>
      <c r="B14" t="str">
        <f>HLOOKUP(Dashboard!$I$27,results,ROW(A14),FALSE)</f>
        <v/>
      </c>
      <c r="C14">
        <f>IFERROR(VLOOKUP(A14,observations_series_id_PCU22112222112243_api_key_ecc133893ea92a842ee685c73424608[],2,FALSE),"")</f>
        <v>17.5</v>
      </c>
      <c r="D14" s="2">
        <f>IFERROR(VLOOKUP(A14,observations_series_id_PCU22112222112243_api_key_ecc133893ea92a842ee685c73424608[],3,FALSE),"")</f>
        <v>5.7142857142857828E-3</v>
      </c>
      <c r="E14" t="str">
        <f>IFERROR(VLOOKUP($A14,observations_series_id_WPU0613020T_api_key_ecc133893ea92a842ee685c734246086_file[],2,FALSE),"")</f>
        <v/>
      </c>
      <c r="F14" s="2" t="str">
        <f>IFERROR(VLOOKUP($A14,observations_series_id_WPU0613020T_api_key_ecc133893ea92a842ee685c734246086_file[],3,FALSE),"")</f>
        <v/>
      </c>
      <c r="G14" t="str">
        <f>IFERROR(VLOOKUP($A14,observations_series_id_PCU22122212_api_key_ecc133893ea92a842ee685c734246086_file[],2,FALSE),"")</f>
        <v/>
      </c>
      <c r="H14" s="2" t="str">
        <f>IFERROR(VLOOKUP($A14,observations_series_id_PCU22122212_api_key_ecc133893ea92a842ee685c734246086_file[],3,FALSE),"")</f>
        <v/>
      </c>
      <c r="I14" t="str">
        <f>IFERROR(VLOOKUP($A14,observations_series_id_PCU3241913241910_api_key_ecc133893ea92a842ee685c734246086[],2,FALSE),"")</f>
        <v/>
      </c>
      <c r="J14" s="2" t="str">
        <f>IFERROR(VLOOKUP($A14,observations_series_id_PCU3241913241910_api_key_ecc133893ea92a842ee685c734246086[],3,FALSE),"")</f>
        <v/>
      </c>
      <c r="K14" t="str">
        <f>IFERROR(VLOOKUP($A14,observations_series_id_EXJPUS_api_key_ecc133893ea92a842ee685c734246086_file_type[],2,FALSE),"")</f>
        <v/>
      </c>
      <c r="L14" s="2" t="str">
        <f>IFERROR(VLOOKUP($A14,observations_series_id_EXJPUS_api_key_ecc133893ea92a842ee685c734246086_file_type[],3,FALSE),"")</f>
        <v/>
      </c>
      <c r="M14" t="str">
        <f>IFERROR(AVERAGEIFS(timeseries_access_key_fqeas14oitk235763mntlb1c0brnk9w3fenzqbk313q5kvxyf52kukw1pa[Value.LME-ZNC],timeseries_access_key_fqeas14oitk235763mntlb1c0brnk9w3fenzqbk313q5kvxyf52kukw1pa[Month],MONTH(Data!$A14),timeseries_access_key_fqeas14oitk235763mntlb1c0brnk9w3fenzqbk313q5kvxyf52kukw1pa[Year],YEAR(Data!$A14)),"")</f>
        <v/>
      </c>
      <c r="N14" s="2" t="str">
        <f>IFERROR(AVERAGEIFS(timeseries_access_key_fqeas14oitk235763mntlb1c0brnk9w3fenzqbk313q5kvxyf52kukw1pa[Column1],timeseries_access_key_fqeas14oitk235763mntlb1c0brnk9w3fenzqbk313q5kvxyf52kukw1pa[Month],MONTH(Data!$A14),timeseries_access_key_fqeas14oitk235763mntlb1c0brnk9w3fenzqbk313q5kvxyf52kukw1pa[Year],YEAR(Data!$A14)),"")</f>
        <v/>
      </c>
      <c r="O14" s="8" t="str">
        <f>IFERROR(VLOOKUP($A14,Text_1_2[[Text.1.1.3]:[Text.1.3]],2,FALSE),"")</f>
        <v/>
      </c>
      <c r="P14" s="2"/>
    </row>
    <row r="15" spans="1:16" x14ac:dyDescent="0.25">
      <c r="A15" s="1">
        <v>21582</v>
      </c>
      <c r="B15" t="str">
        <f>HLOOKUP(Dashboard!$I$27,results,ROW(A15),FALSE)</f>
        <v/>
      </c>
      <c r="C15">
        <f>IFERROR(VLOOKUP(A15,observations_series_id_PCU22112222112243_api_key_ecc133893ea92a842ee685c73424608[],2,FALSE),"")</f>
        <v>17.5</v>
      </c>
      <c r="D15" s="2">
        <f>IFERROR(VLOOKUP(A15,observations_series_id_PCU22112222112243_api_key_ecc133893ea92a842ee685c73424608[],3,FALSE),"")</f>
        <v>5.7142857142857828E-3</v>
      </c>
      <c r="E15" t="str">
        <f>IFERROR(VLOOKUP($A15,observations_series_id_WPU0613020T_api_key_ecc133893ea92a842ee685c734246086_file[],2,FALSE),"")</f>
        <v/>
      </c>
      <c r="F15" s="2" t="str">
        <f>IFERROR(VLOOKUP($A15,observations_series_id_WPU0613020T_api_key_ecc133893ea92a842ee685c734246086_file[],3,FALSE),"")</f>
        <v/>
      </c>
      <c r="G15" t="str">
        <f>IFERROR(VLOOKUP($A15,observations_series_id_PCU22122212_api_key_ecc133893ea92a842ee685c734246086_file[],2,FALSE),"")</f>
        <v/>
      </c>
      <c r="H15" s="2" t="str">
        <f>IFERROR(VLOOKUP($A15,observations_series_id_PCU22122212_api_key_ecc133893ea92a842ee685c734246086_file[],3,FALSE),"")</f>
        <v/>
      </c>
      <c r="I15" t="str">
        <f>IFERROR(VLOOKUP($A15,observations_series_id_PCU3241913241910_api_key_ecc133893ea92a842ee685c734246086[],2,FALSE),"")</f>
        <v/>
      </c>
      <c r="J15" s="2" t="str">
        <f>IFERROR(VLOOKUP($A15,observations_series_id_PCU3241913241910_api_key_ecc133893ea92a842ee685c734246086[],3,FALSE),"")</f>
        <v/>
      </c>
      <c r="K15" t="str">
        <f>IFERROR(VLOOKUP($A15,observations_series_id_EXJPUS_api_key_ecc133893ea92a842ee685c734246086_file_type[],2,FALSE),"")</f>
        <v/>
      </c>
      <c r="L15" s="2" t="str">
        <f>IFERROR(VLOOKUP($A15,observations_series_id_EXJPUS_api_key_ecc133893ea92a842ee685c734246086_file_type[],3,FALSE),"")</f>
        <v/>
      </c>
      <c r="M15" t="str">
        <f>IFERROR(AVERAGEIFS(timeseries_access_key_fqeas14oitk235763mntlb1c0brnk9w3fenzqbk313q5kvxyf52kukw1pa[Value.LME-ZNC],timeseries_access_key_fqeas14oitk235763mntlb1c0brnk9w3fenzqbk313q5kvxyf52kukw1pa[Month],MONTH(Data!$A15),timeseries_access_key_fqeas14oitk235763mntlb1c0brnk9w3fenzqbk313q5kvxyf52kukw1pa[Year],YEAR(Data!$A15)),"")</f>
        <v/>
      </c>
      <c r="N15" s="2" t="str">
        <f>IFERROR(AVERAGEIFS(timeseries_access_key_fqeas14oitk235763mntlb1c0brnk9w3fenzqbk313q5kvxyf52kukw1pa[Column1],timeseries_access_key_fqeas14oitk235763mntlb1c0brnk9w3fenzqbk313q5kvxyf52kukw1pa[Month],MONTH(Data!$A15),timeseries_access_key_fqeas14oitk235763mntlb1c0brnk9w3fenzqbk313q5kvxyf52kukw1pa[Year],YEAR(Data!$A15)),"")</f>
        <v/>
      </c>
      <c r="O15" s="8" t="str">
        <f>IFERROR(VLOOKUP($A15,Text_1_2[[Text.1.1.3]:[Text.1.3]],2,FALSE),"")</f>
        <v/>
      </c>
      <c r="P15" s="2"/>
    </row>
    <row r="16" spans="1:16" x14ac:dyDescent="0.25">
      <c r="A16" s="1">
        <v>21610</v>
      </c>
      <c r="B16" t="str">
        <f>HLOOKUP(Dashboard!$I$27,results,ROW(A16),FALSE)</f>
        <v/>
      </c>
      <c r="C16">
        <f>IFERROR(VLOOKUP(A16,observations_series_id_PCU22112222112243_api_key_ecc133893ea92a842ee685c73424608[],2,FALSE),"")</f>
        <v>17.5</v>
      </c>
      <c r="D16" s="2">
        <f>IFERROR(VLOOKUP(A16,observations_series_id_PCU22112222112243_api_key_ecc133893ea92a842ee685c73424608[],3,FALSE),"")</f>
        <v>5.7142857142857828E-3</v>
      </c>
      <c r="E16" t="str">
        <f>IFERROR(VLOOKUP($A16,observations_series_id_WPU0613020T_api_key_ecc133893ea92a842ee685c734246086_file[],2,FALSE),"")</f>
        <v/>
      </c>
      <c r="F16" s="2" t="str">
        <f>IFERROR(VLOOKUP($A16,observations_series_id_WPU0613020T_api_key_ecc133893ea92a842ee685c734246086_file[],3,FALSE),"")</f>
        <v/>
      </c>
      <c r="G16" t="str">
        <f>IFERROR(VLOOKUP($A16,observations_series_id_PCU22122212_api_key_ecc133893ea92a842ee685c734246086_file[],2,FALSE),"")</f>
        <v/>
      </c>
      <c r="H16" s="2" t="str">
        <f>IFERROR(VLOOKUP($A16,observations_series_id_PCU22122212_api_key_ecc133893ea92a842ee685c734246086_file[],3,FALSE),"")</f>
        <v/>
      </c>
      <c r="I16" t="str">
        <f>IFERROR(VLOOKUP($A16,observations_series_id_PCU3241913241910_api_key_ecc133893ea92a842ee685c734246086[],2,FALSE),"")</f>
        <v/>
      </c>
      <c r="J16" s="2" t="str">
        <f>IFERROR(VLOOKUP($A16,observations_series_id_PCU3241913241910_api_key_ecc133893ea92a842ee685c734246086[],3,FALSE),"")</f>
        <v/>
      </c>
      <c r="K16" t="str">
        <f>IFERROR(VLOOKUP($A16,observations_series_id_EXJPUS_api_key_ecc133893ea92a842ee685c734246086_file_type[],2,FALSE),"")</f>
        <v/>
      </c>
      <c r="L16" s="2" t="str">
        <f>IFERROR(VLOOKUP($A16,observations_series_id_EXJPUS_api_key_ecc133893ea92a842ee685c734246086_file_type[],3,FALSE),"")</f>
        <v/>
      </c>
      <c r="M16" t="str">
        <f>IFERROR(AVERAGEIFS(timeseries_access_key_fqeas14oitk235763mntlb1c0brnk9w3fenzqbk313q5kvxyf52kukw1pa[Value.LME-ZNC],timeseries_access_key_fqeas14oitk235763mntlb1c0brnk9w3fenzqbk313q5kvxyf52kukw1pa[Month],MONTH(Data!$A16),timeseries_access_key_fqeas14oitk235763mntlb1c0brnk9w3fenzqbk313q5kvxyf52kukw1pa[Year],YEAR(Data!$A16)),"")</f>
        <v/>
      </c>
      <c r="N16" s="2" t="str">
        <f>IFERROR(AVERAGEIFS(timeseries_access_key_fqeas14oitk235763mntlb1c0brnk9w3fenzqbk313q5kvxyf52kukw1pa[Column1],timeseries_access_key_fqeas14oitk235763mntlb1c0brnk9w3fenzqbk313q5kvxyf52kukw1pa[Month],MONTH(Data!$A16),timeseries_access_key_fqeas14oitk235763mntlb1c0brnk9w3fenzqbk313q5kvxyf52kukw1pa[Year],YEAR(Data!$A16)),"")</f>
        <v/>
      </c>
      <c r="O16" s="8" t="str">
        <f>IFERROR(VLOOKUP($A16,Text_1_2[[Text.1.1.3]:[Text.1.3]],2,FALSE),"")</f>
        <v/>
      </c>
      <c r="P16" s="2"/>
    </row>
    <row r="17" spans="1:16" x14ac:dyDescent="0.25">
      <c r="A17" s="1">
        <v>21641</v>
      </c>
      <c r="B17" t="str">
        <f>HLOOKUP(Dashboard!$I$27,results,ROW(A17),FALSE)</f>
        <v/>
      </c>
      <c r="C17">
        <f>IFERROR(VLOOKUP(A17,observations_series_id_PCU22112222112243_api_key_ecc133893ea92a842ee685c73424608[],2,FALSE),"")</f>
        <v>17.5</v>
      </c>
      <c r="D17" s="2">
        <f>IFERROR(VLOOKUP(A17,observations_series_id_PCU22112222112243_api_key_ecc133893ea92a842ee685c73424608[],3,FALSE),"")</f>
        <v>5.7142857142857828E-3</v>
      </c>
      <c r="E17" t="str">
        <f>IFERROR(VLOOKUP($A17,observations_series_id_WPU0613020T_api_key_ecc133893ea92a842ee685c734246086_file[],2,FALSE),"")</f>
        <v/>
      </c>
      <c r="F17" s="2" t="str">
        <f>IFERROR(VLOOKUP($A17,observations_series_id_WPU0613020T_api_key_ecc133893ea92a842ee685c734246086_file[],3,FALSE),"")</f>
        <v/>
      </c>
      <c r="G17" t="str">
        <f>IFERROR(VLOOKUP($A17,observations_series_id_PCU22122212_api_key_ecc133893ea92a842ee685c734246086_file[],2,FALSE),"")</f>
        <v/>
      </c>
      <c r="H17" s="2" t="str">
        <f>IFERROR(VLOOKUP($A17,observations_series_id_PCU22122212_api_key_ecc133893ea92a842ee685c734246086_file[],3,FALSE),"")</f>
        <v/>
      </c>
      <c r="I17" t="str">
        <f>IFERROR(VLOOKUP($A17,observations_series_id_PCU3241913241910_api_key_ecc133893ea92a842ee685c734246086[],2,FALSE),"")</f>
        <v/>
      </c>
      <c r="J17" s="2" t="str">
        <f>IFERROR(VLOOKUP($A17,observations_series_id_PCU3241913241910_api_key_ecc133893ea92a842ee685c734246086[],3,FALSE),"")</f>
        <v/>
      </c>
      <c r="K17" t="str">
        <f>IFERROR(VLOOKUP($A17,observations_series_id_EXJPUS_api_key_ecc133893ea92a842ee685c734246086_file_type[],2,FALSE),"")</f>
        <v/>
      </c>
      <c r="L17" s="2" t="str">
        <f>IFERROR(VLOOKUP($A17,observations_series_id_EXJPUS_api_key_ecc133893ea92a842ee685c734246086_file_type[],3,FALSE),"")</f>
        <v/>
      </c>
      <c r="M17" t="str">
        <f>IFERROR(AVERAGEIFS(timeseries_access_key_fqeas14oitk235763mntlb1c0brnk9w3fenzqbk313q5kvxyf52kukw1pa[Value.LME-ZNC],timeseries_access_key_fqeas14oitk235763mntlb1c0brnk9w3fenzqbk313q5kvxyf52kukw1pa[Month],MONTH(Data!$A17),timeseries_access_key_fqeas14oitk235763mntlb1c0brnk9w3fenzqbk313q5kvxyf52kukw1pa[Year],YEAR(Data!$A17)),"")</f>
        <v/>
      </c>
      <c r="N17" s="2" t="str">
        <f>IFERROR(AVERAGEIFS(timeseries_access_key_fqeas14oitk235763mntlb1c0brnk9w3fenzqbk313q5kvxyf52kukw1pa[Column1],timeseries_access_key_fqeas14oitk235763mntlb1c0brnk9w3fenzqbk313q5kvxyf52kukw1pa[Month],MONTH(Data!$A17),timeseries_access_key_fqeas14oitk235763mntlb1c0brnk9w3fenzqbk313q5kvxyf52kukw1pa[Year],YEAR(Data!$A17)),"")</f>
        <v/>
      </c>
      <c r="O17" s="8" t="str">
        <f>IFERROR(VLOOKUP($A17,Text_1_2[[Text.1.1.3]:[Text.1.3]],2,FALSE),"")</f>
        <v/>
      </c>
      <c r="P17" s="2"/>
    </row>
    <row r="18" spans="1:16" x14ac:dyDescent="0.25">
      <c r="A18" s="1">
        <v>21671</v>
      </c>
      <c r="B18" t="str">
        <f>HLOOKUP(Dashboard!$I$27,results,ROW(A18),FALSE)</f>
        <v/>
      </c>
      <c r="C18">
        <f>IFERROR(VLOOKUP(A18,observations_series_id_PCU22112222112243_api_key_ecc133893ea92a842ee685c73424608[],2,FALSE),"")</f>
        <v>17.5</v>
      </c>
      <c r="D18" s="2">
        <f>IFERROR(VLOOKUP(A18,observations_series_id_PCU22112222112243_api_key_ecc133893ea92a842ee685c73424608[],3,FALSE),"")</f>
        <v>5.7142857142857828E-3</v>
      </c>
      <c r="E18" t="str">
        <f>IFERROR(VLOOKUP($A18,observations_series_id_WPU0613020T_api_key_ecc133893ea92a842ee685c734246086_file[],2,FALSE),"")</f>
        <v/>
      </c>
      <c r="F18" s="2" t="str">
        <f>IFERROR(VLOOKUP($A18,observations_series_id_WPU0613020T_api_key_ecc133893ea92a842ee685c734246086_file[],3,FALSE),"")</f>
        <v/>
      </c>
      <c r="G18" t="str">
        <f>IFERROR(VLOOKUP($A18,observations_series_id_PCU22122212_api_key_ecc133893ea92a842ee685c734246086_file[],2,FALSE),"")</f>
        <v/>
      </c>
      <c r="H18" s="2" t="str">
        <f>IFERROR(VLOOKUP($A18,observations_series_id_PCU22122212_api_key_ecc133893ea92a842ee685c734246086_file[],3,FALSE),"")</f>
        <v/>
      </c>
      <c r="I18" t="str">
        <f>IFERROR(VLOOKUP($A18,observations_series_id_PCU3241913241910_api_key_ecc133893ea92a842ee685c734246086[],2,FALSE),"")</f>
        <v/>
      </c>
      <c r="J18" s="2" t="str">
        <f>IFERROR(VLOOKUP($A18,observations_series_id_PCU3241913241910_api_key_ecc133893ea92a842ee685c734246086[],3,FALSE),"")</f>
        <v/>
      </c>
      <c r="K18" t="str">
        <f>IFERROR(VLOOKUP($A18,observations_series_id_EXJPUS_api_key_ecc133893ea92a842ee685c734246086_file_type[],2,FALSE),"")</f>
        <v/>
      </c>
      <c r="L18" s="2" t="str">
        <f>IFERROR(VLOOKUP($A18,observations_series_id_EXJPUS_api_key_ecc133893ea92a842ee685c734246086_file_type[],3,FALSE),"")</f>
        <v/>
      </c>
      <c r="M18" t="str">
        <f>IFERROR(AVERAGEIFS(timeseries_access_key_fqeas14oitk235763mntlb1c0brnk9w3fenzqbk313q5kvxyf52kukw1pa[Value.LME-ZNC],timeseries_access_key_fqeas14oitk235763mntlb1c0brnk9w3fenzqbk313q5kvxyf52kukw1pa[Month],MONTH(Data!$A18),timeseries_access_key_fqeas14oitk235763mntlb1c0brnk9w3fenzqbk313q5kvxyf52kukw1pa[Year],YEAR(Data!$A18)),"")</f>
        <v/>
      </c>
      <c r="N18" s="2" t="str">
        <f>IFERROR(AVERAGEIFS(timeseries_access_key_fqeas14oitk235763mntlb1c0brnk9w3fenzqbk313q5kvxyf52kukw1pa[Column1],timeseries_access_key_fqeas14oitk235763mntlb1c0brnk9w3fenzqbk313q5kvxyf52kukw1pa[Month],MONTH(Data!$A18),timeseries_access_key_fqeas14oitk235763mntlb1c0brnk9w3fenzqbk313q5kvxyf52kukw1pa[Year],YEAR(Data!$A18)),"")</f>
        <v/>
      </c>
      <c r="O18" s="8" t="str">
        <f>IFERROR(VLOOKUP($A18,Text_1_2[[Text.1.1.3]:[Text.1.3]],2,FALSE),"")</f>
        <v/>
      </c>
      <c r="P18" s="2"/>
    </row>
    <row r="19" spans="1:16" x14ac:dyDescent="0.25">
      <c r="A19" s="1">
        <v>21702</v>
      </c>
      <c r="B19" t="str">
        <f>HLOOKUP(Dashboard!$I$27,results,ROW(A19),FALSE)</f>
        <v/>
      </c>
      <c r="C19">
        <f>IFERROR(VLOOKUP(A19,observations_series_id_PCU22112222112243_api_key_ecc133893ea92a842ee685c73424608[],2,FALSE),"")</f>
        <v>17.5</v>
      </c>
      <c r="D19" s="2">
        <f>IFERROR(VLOOKUP(A19,observations_series_id_PCU22112222112243_api_key_ecc133893ea92a842ee685c73424608[],3,FALSE),"")</f>
        <v>5.7142857142857828E-3</v>
      </c>
      <c r="E19" t="str">
        <f>IFERROR(VLOOKUP($A19,observations_series_id_WPU0613020T_api_key_ecc133893ea92a842ee685c734246086_file[],2,FALSE),"")</f>
        <v/>
      </c>
      <c r="F19" s="2" t="str">
        <f>IFERROR(VLOOKUP($A19,observations_series_id_WPU0613020T_api_key_ecc133893ea92a842ee685c734246086_file[],3,FALSE),"")</f>
        <v/>
      </c>
      <c r="G19" t="str">
        <f>IFERROR(VLOOKUP($A19,observations_series_id_PCU22122212_api_key_ecc133893ea92a842ee685c734246086_file[],2,FALSE),"")</f>
        <v/>
      </c>
      <c r="H19" s="2" t="str">
        <f>IFERROR(VLOOKUP($A19,observations_series_id_PCU22122212_api_key_ecc133893ea92a842ee685c734246086_file[],3,FALSE),"")</f>
        <v/>
      </c>
      <c r="I19" t="str">
        <f>IFERROR(VLOOKUP($A19,observations_series_id_PCU3241913241910_api_key_ecc133893ea92a842ee685c734246086[],2,FALSE),"")</f>
        <v/>
      </c>
      <c r="J19" s="2" t="str">
        <f>IFERROR(VLOOKUP($A19,observations_series_id_PCU3241913241910_api_key_ecc133893ea92a842ee685c734246086[],3,FALSE),"")</f>
        <v/>
      </c>
      <c r="K19" t="str">
        <f>IFERROR(VLOOKUP($A19,observations_series_id_EXJPUS_api_key_ecc133893ea92a842ee685c734246086_file_type[],2,FALSE),"")</f>
        <v/>
      </c>
      <c r="L19" s="2" t="str">
        <f>IFERROR(VLOOKUP($A19,observations_series_id_EXJPUS_api_key_ecc133893ea92a842ee685c734246086_file_type[],3,FALSE),"")</f>
        <v/>
      </c>
      <c r="M19" t="str">
        <f>IFERROR(AVERAGEIFS(timeseries_access_key_fqeas14oitk235763mntlb1c0brnk9w3fenzqbk313q5kvxyf52kukw1pa[Value.LME-ZNC],timeseries_access_key_fqeas14oitk235763mntlb1c0brnk9w3fenzqbk313q5kvxyf52kukw1pa[Month],MONTH(Data!$A19),timeseries_access_key_fqeas14oitk235763mntlb1c0brnk9w3fenzqbk313q5kvxyf52kukw1pa[Year],YEAR(Data!$A19)),"")</f>
        <v/>
      </c>
      <c r="N19" s="2" t="str">
        <f>IFERROR(AVERAGEIFS(timeseries_access_key_fqeas14oitk235763mntlb1c0brnk9w3fenzqbk313q5kvxyf52kukw1pa[Column1],timeseries_access_key_fqeas14oitk235763mntlb1c0brnk9w3fenzqbk313q5kvxyf52kukw1pa[Month],MONTH(Data!$A19),timeseries_access_key_fqeas14oitk235763mntlb1c0brnk9w3fenzqbk313q5kvxyf52kukw1pa[Year],YEAR(Data!$A19)),"")</f>
        <v/>
      </c>
      <c r="O19" s="8" t="str">
        <f>IFERROR(VLOOKUP($A19,Text_1_2[[Text.1.1.3]:[Text.1.3]],2,FALSE),"")</f>
        <v/>
      </c>
      <c r="P19" s="2"/>
    </row>
    <row r="20" spans="1:16" x14ac:dyDescent="0.25">
      <c r="A20" s="1">
        <v>21732</v>
      </c>
      <c r="B20" t="str">
        <f>HLOOKUP(Dashboard!$I$27,results,ROW(A20),FALSE)</f>
        <v/>
      </c>
      <c r="C20">
        <f>IFERROR(VLOOKUP(A20,observations_series_id_PCU22112222112243_api_key_ecc133893ea92a842ee685c73424608[],2,FALSE),"")</f>
        <v>17.5</v>
      </c>
      <c r="D20" s="2">
        <f>IFERROR(VLOOKUP(A20,observations_series_id_PCU22112222112243_api_key_ecc133893ea92a842ee685c73424608[],3,FALSE),"")</f>
        <v>5.7142857142857828E-3</v>
      </c>
      <c r="E20" t="str">
        <f>IFERROR(VLOOKUP($A20,observations_series_id_WPU0613020T_api_key_ecc133893ea92a842ee685c734246086_file[],2,FALSE),"")</f>
        <v/>
      </c>
      <c r="F20" s="2" t="str">
        <f>IFERROR(VLOOKUP($A20,observations_series_id_WPU0613020T_api_key_ecc133893ea92a842ee685c734246086_file[],3,FALSE),"")</f>
        <v/>
      </c>
      <c r="G20" t="str">
        <f>IFERROR(VLOOKUP($A20,observations_series_id_PCU22122212_api_key_ecc133893ea92a842ee685c734246086_file[],2,FALSE),"")</f>
        <v/>
      </c>
      <c r="H20" s="2" t="str">
        <f>IFERROR(VLOOKUP($A20,observations_series_id_PCU22122212_api_key_ecc133893ea92a842ee685c734246086_file[],3,FALSE),"")</f>
        <v/>
      </c>
      <c r="I20" t="str">
        <f>IFERROR(VLOOKUP($A20,observations_series_id_PCU3241913241910_api_key_ecc133893ea92a842ee685c734246086[],2,FALSE),"")</f>
        <v/>
      </c>
      <c r="J20" s="2" t="str">
        <f>IFERROR(VLOOKUP($A20,observations_series_id_PCU3241913241910_api_key_ecc133893ea92a842ee685c734246086[],3,FALSE),"")</f>
        <v/>
      </c>
      <c r="K20" t="str">
        <f>IFERROR(VLOOKUP($A20,observations_series_id_EXJPUS_api_key_ecc133893ea92a842ee685c734246086_file_type[],2,FALSE),"")</f>
        <v/>
      </c>
      <c r="L20" s="2" t="str">
        <f>IFERROR(VLOOKUP($A20,observations_series_id_EXJPUS_api_key_ecc133893ea92a842ee685c734246086_file_type[],3,FALSE),"")</f>
        <v/>
      </c>
      <c r="M20" t="str">
        <f>IFERROR(AVERAGEIFS(timeseries_access_key_fqeas14oitk235763mntlb1c0brnk9w3fenzqbk313q5kvxyf52kukw1pa[Value.LME-ZNC],timeseries_access_key_fqeas14oitk235763mntlb1c0brnk9w3fenzqbk313q5kvxyf52kukw1pa[Month],MONTH(Data!$A20),timeseries_access_key_fqeas14oitk235763mntlb1c0brnk9w3fenzqbk313q5kvxyf52kukw1pa[Year],YEAR(Data!$A20)),"")</f>
        <v/>
      </c>
      <c r="N20" s="2" t="str">
        <f>IFERROR(AVERAGEIFS(timeseries_access_key_fqeas14oitk235763mntlb1c0brnk9w3fenzqbk313q5kvxyf52kukw1pa[Column1],timeseries_access_key_fqeas14oitk235763mntlb1c0brnk9w3fenzqbk313q5kvxyf52kukw1pa[Month],MONTH(Data!$A20),timeseries_access_key_fqeas14oitk235763mntlb1c0brnk9w3fenzqbk313q5kvxyf52kukw1pa[Year],YEAR(Data!$A20)),"")</f>
        <v/>
      </c>
      <c r="O20" s="8" t="str">
        <f>IFERROR(VLOOKUP($A20,Text_1_2[[Text.1.1.3]:[Text.1.3]],2,FALSE),"")</f>
        <v/>
      </c>
      <c r="P20" s="2"/>
    </row>
    <row r="21" spans="1:16" x14ac:dyDescent="0.25">
      <c r="A21" s="1">
        <v>21763</v>
      </c>
      <c r="B21" t="str">
        <f>HLOOKUP(Dashboard!$I$27,results,ROW(A21),FALSE)</f>
        <v/>
      </c>
      <c r="C21">
        <f>IFERROR(VLOOKUP(A21,observations_series_id_PCU22112222112243_api_key_ecc133893ea92a842ee685c73424608[],2,FALSE),"")</f>
        <v>17.5</v>
      </c>
      <c r="D21" s="2">
        <f>IFERROR(VLOOKUP(A21,observations_series_id_PCU22112222112243_api_key_ecc133893ea92a842ee685c73424608[],3,FALSE),"")</f>
        <v>5.7142857142857828E-3</v>
      </c>
      <c r="E21" t="str">
        <f>IFERROR(VLOOKUP($A21,observations_series_id_WPU0613020T_api_key_ecc133893ea92a842ee685c734246086_file[],2,FALSE),"")</f>
        <v/>
      </c>
      <c r="F21" s="2" t="str">
        <f>IFERROR(VLOOKUP($A21,observations_series_id_WPU0613020T_api_key_ecc133893ea92a842ee685c734246086_file[],3,FALSE),"")</f>
        <v/>
      </c>
      <c r="G21" t="str">
        <f>IFERROR(VLOOKUP($A21,observations_series_id_PCU22122212_api_key_ecc133893ea92a842ee685c734246086_file[],2,FALSE),"")</f>
        <v/>
      </c>
      <c r="H21" s="2" t="str">
        <f>IFERROR(VLOOKUP($A21,observations_series_id_PCU22122212_api_key_ecc133893ea92a842ee685c734246086_file[],3,FALSE),"")</f>
        <v/>
      </c>
      <c r="I21" t="str">
        <f>IFERROR(VLOOKUP($A21,observations_series_id_PCU3241913241910_api_key_ecc133893ea92a842ee685c734246086[],2,FALSE),"")</f>
        <v/>
      </c>
      <c r="J21" s="2" t="str">
        <f>IFERROR(VLOOKUP($A21,observations_series_id_PCU3241913241910_api_key_ecc133893ea92a842ee685c734246086[],3,FALSE),"")</f>
        <v/>
      </c>
      <c r="K21" t="str">
        <f>IFERROR(VLOOKUP($A21,observations_series_id_EXJPUS_api_key_ecc133893ea92a842ee685c734246086_file_type[],2,FALSE),"")</f>
        <v/>
      </c>
      <c r="L21" s="2" t="str">
        <f>IFERROR(VLOOKUP($A21,observations_series_id_EXJPUS_api_key_ecc133893ea92a842ee685c734246086_file_type[],3,FALSE),"")</f>
        <v/>
      </c>
      <c r="M21" t="str">
        <f>IFERROR(AVERAGEIFS(timeseries_access_key_fqeas14oitk235763mntlb1c0brnk9w3fenzqbk313q5kvxyf52kukw1pa[Value.LME-ZNC],timeseries_access_key_fqeas14oitk235763mntlb1c0brnk9w3fenzqbk313q5kvxyf52kukw1pa[Month],MONTH(Data!$A21),timeseries_access_key_fqeas14oitk235763mntlb1c0brnk9w3fenzqbk313q5kvxyf52kukw1pa[Year],YEAR(Data!$A21)),"")</f>
        <v/>
      </c>
      <c r="N21" s="2" t="str">
        <f>IFERROR(AVERAGEIFS(timeseries_access_key_fqeas14oitk235763mntlb1c0brnk9w3fenzqbk313q5kvxyf52kukw1pa[Column1],timeseries_access_key_fqeas14oitk235763mntlb1c0brnk9w3fenzqbk313q5kvxyf52kukw1pa[Month],MONTH(Data!$A21),timeseries_access_key_fqeas14oitk235763mntlb1c0brnk9w3fenzqbk313q5kvxyf52kukw1pa[Year],YEAR(Data!$A21)),"")</f>
        <v/>
      </c>
      <c r="O21" s="8" t="str">
        <f>IFERROR(VLOOKUP($A21,Text_1_2[[Text.1.1.3]:[Text.1.3]],2,FALSE),"")</f>
        <v/>
      </c>
      <c r="P21" s="2"/>
    </row>
    <row r="22" spans="1:16" x14ac:dyDescent="0.25">
      <c r="A22" s="1">
        <v>21794</v>
      </c>
      <c r="B22" t="str">
        <f>HLOOKUP(Dashboard!$I$27,results,ROW(A22),FALSE)</f>
        <v/>
      </c>
      <c r="C22">
        <f>IFERROR(VLOOKUP(A22,observations_series_id_PCU22112222112243_api_key_ecc133893ea92a842ee685c73424608[],2,FALSE),"")</f>
        <v>17.5</v>
      </c>
      <c r="D22" s="2">
        <f>IFERROR(VLOOKUP(A22,observations_series_id_PCU22112222112243_api_key_ecc133893ea92a842ee685c73424608[],3,FALSE),"")</f>
        <v>5.7142857142857828E-3</v>
      </c>
      <c r="E22" t="str">
        <f>IFERROR(VLOOKUP($A22,observations_series_id_WPU0613020T_api_key_ecc133893ea92a842ee685c734246086_file[],2,FALSE),"")</f>
        <v/>
      </c>
      <c r="F22" s="2" t="str">
        <f>IFERROR(VLOOKUP($A22,observations_series_id_WPU0613020T_api_key_ecc133893ea92a842ee685c734246086_file[],3,FALSE),"")</f>
        <v/>
      </c>
      <c r="G22" t="str">
        <f>IFERROR(VLOOKUP($A22,observations_series_id_PCU22122212_api_key_ecc133893ea92a842ee685c734246086_file[],2,FALSE),"")</f>
        <v/>
      </c>
      <c r="H22" s="2" t="str">
        <f>IFERROR(VLOOKUP($A22,observations_series_id_PCU22122212_api_key_ecc133893ea92a842ee685c734246086_file[],3,FALSE),"")</f>
        <v/>
      </c>
      <c r="I22" t="str">
        <f>IFERROR(VLOOKUP($A22,observations_series_id_PCU3241913241910_api_key_ecc133893ea92a842ee685c734246086[],2,FALSE),"")</f>
        <v/>
      </c>
      <c r="J22" s="2" t="str">
        <f>IFERROR(VLOOKUP($A22,observations_series_id_PCU3241913241910_api_key_ecc133893ea92a842ee685c734246086[],3,FALSE),"")</f>
        <v/>
      </c>
      <c r="K22" t="str">
        <f>IFERROR(VLOOKUP($A22,observations_series_id_EXJPUS_api_key_ecc133893ea92a842ee685c734246086_file_type[],2,FALSE),"")</f>
        <v/>
      </c>
      <c r="L22" s="2" t="str">
        <f>IFERROR(VLOOKUP($A22,observations_series_id_EXJPUS_api_key_ecc133893ea92a842ee685c734246086_file_type[],3,FALSE),"")</f>
        <v/>
      </c>
      <c r="M22" t="str">
        <f>IFERROR(AVERAGEIFS(timeseries_access_key_fqeas14oitk235763mntlb1c0brnk9w3fenzqbk313q5kvxyf52kukw1pa[Value.LME-ZNC],timeseries_access_key_fqeas14oitk235763mntlb1c0brnk9w3fenzqbk313q5kvxyf52kukw1pa[Month],MONTH(Data!$A22),timeseries_access_key_fqeas14oitk235763mntlb1c0brnk9w3fenzqbk313q5kvxyf52kukw1pa[Year],YEAR(Data!$A22)),"")</f>
        <v/>
      </c>
      <c r="N22" s="2" t="str">
        <f>IFERROR(AVERAGEIFS(timeseries_access_key_fqeas14oitk235763mntlb1c0brnk9w3fenzqbk313q5kvxyf52kukw1pa[Column1],timeseries_access_key_fqeas14oitk235763mntlb1c0brnk9w3fenzqbk313q5kvxyf52kukw1pa[Month],MONTH(Data!$A22),timeseries_access_key_fqeas14oitk235763mntlb1c0brnk9w3fenzqbk313q5kvxyf52kukw1pa[Year],YEAR(Data!$A22)),"")</f>
        <v/>
      </c>
      <c r="O22" s="8" t="str">
        <f>IFERROR(VLOOKUP($A22,Text_1_2[[Text.1.1.3]:[Text.1.3]],2,FALSE),"")</f>
        <v/>
      </c>
      <c r="P22" s="2"/>
    </row>
    <row r="23" spans="1:16" x14ac:dyDescent="0.25">
      <c r="A23" s="1">
        <v>21824</v>
      </c>
      <c r="B23" t="str">
        <f>HLOOKUP(Dashboard!$I$27,results,ROW(A23),FALSE)</f>
        <v/>
      </c>
      <c r="C23">
        <f>IFERROR(VLOOKUP(A23,observations_series_id_PCU22112222112243_api_key_ecc133893ea92a842ee685c73424608[],2,FALSE),"")</f>
        <v>17.5</v>
      </c>
      <c r="D23" s="2">
        <f>IFERROR(VLOOKUP(A23,observations_series_id_PCU22112222112243_api_key_ecc133893ea92a842ee685c73424608[],3,FALSE),"")</f>
        <v>5.7142857142857828E-3</v>
      </c>
      <c r="E23" t="str">
        <f>IFERROR(VLOOKUP($A23,observations_series_id_WPU0613020T_api_key_ecc133893ea92a842ee685c734246086_file[],2,FALSE),"")</f>
        <v/>
      </c>
      <c r="F23" s="2" t="str">
        <f>IFERROR(VLOOKUP($A23,observations_series_id_WPU0613020T_api_key_ecc133893ea92a842ee685c734246086_file[],3,FALSE),"")</f>
        <v/>
      </c>
      <c r="G23" t="str">
        <f>IFERROR(VLOOKUP($A23,observations_series_id_PCU22122212_api_key_ecc133893ea92a842ee685c734246086_file[],2,FALSE),"")</f>
        <v/>
      </c>
      <c r="H23" s="2" t="str">
        <f>IFERROR(VLOOKUP($A23,observations_series_id_PCU22122212_api_key_ecc133893ea92a842ee685c734246086_file[],3,FALSE),"")</f>
        <v/>
      </c>
      <c r="I23" t="str">
        <f>IFERROR(VLOOKUP($A23,observations_series_id_PCU3241913241910_api_key_ecc133893ea92a842ee685c734246086[],2,FALSE),"")</f>
        <v/>
      </c>
      <c r="J23" s="2" t="str">
        <f>IFERROR(VLOOKUP($A23,observations_series_id_PCU3241913241910_api_key_ecc133893ea92a842ee685c734246086[],3,FALSE),"")</f>
        <v/>
      </c>
      <c r="K23" t="str">
        <f>IFERROR(VLOOKUP($A23,observations_series_id_EXJPUS_api_key_ecc133893ea92a842ee685c734246086_file_type[],2,FALSE),"")</f>
        <v/>
      </c>
      <c r="L23" s="2" t="str">
        <f>IFERROR(VLOOKUP($A23,observations_series_id_EXJPUS_api_key_ecc133893ea92a842ee685c734246086_file_type[],3,FALSE),"")</f>
        <v/>
      </c>
      <c r="M23" t="str">
        <f>IFERROR(AVERAGEIFS(timeseries_access_key_fqeas14oitk235763mntlb1c0brnk9w3fenzqbk313q5kvxyf52kukw1pa[Value.LME-ZNC],timeseries_access_key_fqeas14oitk235763mntlb1c0brnk9w3fenzqbk313q5kvxyf52kukw1pa[Month],MONTH(Data!$A23),timeseries_access_key_fqeas14oitk235763mntlb1c0brnk9w3fenzqbk313q5kvxyf52kukw1pa[Year],YEAR(Data!$A23)),"")</f>
        <v/>
      </c>
      <c r="N23" s="2" t="str">
        <f>IFERROR(AVERAGEIFS(timeseries_access_key_fqeas14oitk235763mntlb1c0brnk9w3fenzqbk313q5kvxyf52kukw1pa[Column1],timeseries_access_key_fqeas14oitk235763mntlb1c0brnk9w3fenzqbk313q5kvxyf52kukw1pa[Month],MONTH(Data!$A23),timeseries_access_key_fqeas14oitk235763mntlb1c0brnk9w3fenzqbk313q5kvxyf52kukw1pa[Year],YEAR(Data!$A23)),"")</f>
        <v/>
      </c>
      <c r="O23" s="8" t="str">
        <f>IFERROR(VLOOKUP($A23,Text_1_2[[Text.1.1.3]:[Text.1.3]],2,FALSE),"")</f>
        <v/>
      </c>
      <c r="P23" s="2"/>
    </row>
    <row r="24" spans="1:16" x14ac:dyDescent="0.25">
      <c r="A24" s="1">
        <v>21855</v>
      </c>
      <c r="B24" t="str">
        <f>HLOOKUP(Dashboard!$I$27,results,ROW(A24),FALSE)</f>
        <v/>
      </c>
      <c r="C24">
        <f>IFERROR(VLOOKUP(A24,observations_series_id_PCU22112222112243_api_key_ecc133893ea92a842ee685c73424608[],2,FALSE),"")</f>
        <v>17.5</v>
      </c>
      <c r="D24" s="2">
        <f>IFERROR(VLOOKUP(A24,observations_series_id_PCU22112222112243_api_key_ecc133893ea92a842ee685c73424608[],3,FALSE),"")</f>
        <v>5.7142857142857828E-3</v>
      </c>
      <c r="E24" t="str">
        <f>IFERROR(VLOOKUP($A24,observations_series_id_WPU0613020T_api_key_ecc133893ea92a842ee685c734246086_file[],2,FALSE),"")</f>
        <v/>
      </c>
      <c r="F24" s="2" t="str">
        <f>IFERROR(VLOOKUP($A24,observations_series_id_WPU0613020T_api_key_ecc133893ea92a842ee685c734246086_file[],3,FALSE),"")</f>
        <v/>
      </c>
      <c r="G24" t="str">
        <f>IFERROR(VLOOKUP($A24,observations_series_id_PCU22122212_api_key_ecc133893ea92a842ee685c734246086_file[],2,FALSE),"")</f>
        <v/>
      </c>
      <c r="H24" s="2" t="str">
        <f>IFERROR(VLOOKUP($A24,observations_series_id_PCU22122212_api_key_ecc133893ea92a842ee685c734246086_file[],3,FALSE),"")</f>
        <v/>
      </c>
      <c r="I24" t="str">
        <f>IFERROR(VLOOKUP($A24,observations_series_id_PCU3241913241910_api_key_ecc133893ea92a842ee685c734246086[],2,FALSE),"")</f>
        <v/>
      </c>
      <c r="J24" s="2" t="str">
        <f>IFERROR(VLOOKUP($A24,observations_series_id_PCU3241913241910_api_key_ecc133893ea92a842ee685c734246086[],3,FALSE),"")</f>
        <v/>
      </c>
      <c r="K24" t="str">
        <f>IFERROR(VLOOKUP($A24,observations_series_id_EXJPUS_api_key_ecc133893ea92a842ee685c734246086_file_type[],2,FALSE),"")</f>
        <v/>
      </c>
      <c r="L24" s="2" t="str">
        <f>IFERROR(VLOOKUP($A24,observations_series_id_EXJPUS_api_key_ecc133893ea92a842ee685c734246086_file_type[],3,FALSE),"")</f>
        <v/>
      </c>
      <c r="M24" t="str">
        <f>IFERROR(AVERAGEIFS(timeseries_access_key_fqeas14oitk235763mntlb1c0brnk9w3fenzqbk313q5kvxyf52kukw1pa[Value.LME-ZNC],timeseries_access_key_fqeas14oitk235763mntlb1c0brnk9w3fenzqbk313q5kvxyf52kukw1pa[Month],MONTH(Data!$A24),timeseries_access_key_fqeas14oitk235763mntlb1c0brnk9w3fenzqbk313q5kvxyf52kukw1pa[Year],YEAR(Data!$A24)),"")</f>
        <v/>
      </c>
      <c r="N24" s="2" t="str">
        <f>IFERROR(AVERAGEIFS(timeseries_access_key_fqeas14oitk235763mntlb1c0brnk9w3fenzqbk313q5kvxyf52kukw1pa[Column1],timeseries_access_key_fqeas14oitk235763mntlb1c0brnk9w3fenzqbk313q5kvxyf52kukw1pa[Month],MONTH(Data!$A24),timeseries_access_key_fqeas14oitk235763mntlb1c0brnk9w3fenzqbk313q5kvxyf52kukw1pa[Year],YEAR(Data!$A24)),"")</f>
        <v/>
      </c>
      <c r="O24" s="8" t="str">
        <f>IFERROR(VLOOKUP($A24,Text_1_2[[Text.1.1.3]:[Text.1.3]],2,FALSE),"")</f>
        <v/>
      </c>
      <c r="P24" s="2"/>
    </row>
    <row r="25" spans="1:16" x14ac:dyDescent="0.25">
      <c r="A25" s="1">
        <v>21885</v>
      </c>
      <c r="B25" t="str">
        <f>HLOOKUP(Dashboard!$I$27,results,ROW(A25),FALSE)</f>
        <v/>
      </c>
      <c r="C25">
        <f>IFERROR(VLOOKUP(A25,observations_series_id_PCU22112222112243_api_key_ecc133893ea92a842ee685c73424608[],2,FALSE),"")</f>
        <v>17.600000000000001</v>
      </c>
      <c r="D25" s="2">
        <f>IFERROR(VLOOKUP(A25,observations_series_id_PCU22112222112243_api_key_ecc133893ea92a842ee685c73424608[],3,FALSE),"")</f>
        <v>1.1363636363636576E-2</v>
      </c>
      <c r="E25" t="str">
        <f>IFERROR(VLOOKUP($A25,observations_series_id_WPU0613020T_api_key_ecc133893ea92a842ee685c734246086_file[],2,FALSE),"")</f>
        <v/>
      </c>
      <c r="F25" s="2" t="str">
        <f>IFERROR(VLOOKUP($A25,observations_series_id_WPU0613020T_api_key_ecc133893ea92a842ee685c734246086_file[],3,FALSE),"")</f>
        <v/>
      </c>
      <c r="G25" t="str">
        <f>IFERROR(VLOOKUP($A25,observations_series_id_PCU22122212_api_key_ecc133893ea92a842ee685c734246086_file[],2,FALSE),"")</f>
        <v/>
      </c>
      <c r="H25" s="2" t="str">
        <f>IFERROR(VLOOKUP($A25,observations_series_id_PCU22122212_api_key_ecc133893ea92a842ee685c734246086_file[],3,FALSE),"")</f>
        <v/>
      </c>
      <c r="I25" t="str">
        <f>IFERROR(VLOOKUP($A25,observations_series_id_PCU3241913241910_api_key_ecc133893ea92a842ee685c734246086[],2,FALSE),"")</f>
        <v/>
      </c>
      <c r="J25" s="2" t="str">
        <f>IFERROR(VLOOKUP($A25,observations_series_id_PCU3241913241910_api_key_ecc133893ea92a842ee685c734246086[],3,FALSE),"")</f>
        <v/>
      </c>
      <c r="K25" t="str">
        <f>IFERROR(VLOOKUP($A25,observations_series_id_EXJPUS_api_key_ecc133893ea92a842ee685c734246086_file_type[],2,FALSE),"")</f>
        <v/>
      </c>
      <c r="L25" s="2" t="str">
        <f>IFERROR(VLOOKUP($A25,observations_series_id_EXJPUS_api_key_ecc133893ea92a842ee685c734246086_file_type[],3,FALSE),"")</f>
        <v/>
      </c>
      <c r="M25" t="str">
        <f>IFERROR(AVERAGEIFS(timeseries_access_key_fqeas14oitk235763mntlb1c0brnk9w3fenzqbk313q5kvxyf52kukw1pa[Value.LME-ZNC],timeseries_access_key_fqeas14oitk235763mntlb1c0brnk9w3fenzqbk313q5kvxyf52kukw1pa[Month],MONTH(Data!$A25),timeseries_access_key_fqeas14oitk235763mntlb1c0brnk9w3fenzqbk313q5kvxyf52kukw1pa[Year],YEAR(Data!$A25)),"")</f>
        <v/>
      </c>
      <c r="N25" s="2" t="str">
        <f>IFERROR(AVERAGEIFS(timeseries_access_key_fqeas14oitk235763mntlb1c0brnk9w3fenzqbk313q5kvxyf52kukw1pa[Column1],timeseries_access_key_fqeas14oitk235763mntlb1c0brnk9w3fenzqbk313q5kvxyf52kukw1pa[Month],MONTH(Data!$A25),timeseries_access_key_fqeas14oitk235763mntlb1c0brnk9w3fenzqbk313q5kvxyf52kukw1pa[Year],YEAR(Data!$A25)),"")</f>
        <v/>
      </c>
      <c r="O25" s="8" t="str">
        <f>IFERROR(VLOOKUP($A25,Text_1_2[[Text.1.1.3]:[Text.1.3]],2,FALSE),"")</f>
        <v/>
      </c>
      <c r="P25" s="2"/>
    </row>
    <row r="26" spans="1:16" x14ac:dyDescent="0.25">
      <c r="A26" s="1">
        <v>21916</v>
      </c>
      <c r="B26" t="str">
        <f>HLOOKUP(Dashboard!$I$27,results,ROW(A26),FALSE)</f>
        <v/>
      </c>
      <c r="C26">
        <f>IFERROR(VLOOKUP(A26,observations_series_id_PCU22112222112243_api_key_ecc133893ea92a842ee685c73424608[],2,FALSE),"")</f>
        <v>17.600000000000001</v>
      </c>
      <c r="D26" s="2">
        <f>IFERROR(VLOOKUP(A26,observations_series_id_PCU22112222112243_api_key_ecc133893ea92a842ee685c73424608[],3,FALSE),"")</f>
        <v>1.1363636363636576E-2</v>
      </c>
      <c r="E26" t="str">
        <f>IFERROR(VLOOKUP($A26,observations_series_id_WPU0613020T_api_key_ecc133893ea92a842ee685c734246086_file[],2,FALSE),"")</f>
        <v/>
      </c>
      <c r="F26" s="2" t="str">
        <f>IFERROR(VLOOKUP($A26,observations_series_id_WPU0613020T_api_key_ecc133893ea92a842ee685c734246086_file[],3,FALSE),"")</f>
        <v/>
      </c>
      <c r="G26" t="str">
        <f>IFERROR(VLOOKUP($A26,observations_series_id_PCU22122212_api_key_ecc133893ea92a842ee685c734246086_file[],2,FALSE),"")</f>
        <v/>
      </c>
      <c r="H26" s="2" t="str">
        <f>IFERROR(VLOOKUP($A26,observations_series_id_PCU22122212_api_key_ecc133893ea92a842ee685c734246086_file[],3,FALSE),"")</f>
        <v/>
      </c>
      <c r="I26" t="str">
        <f>IFERROR(VLOOKUP($A26,observations_series_id_PCU3241913241910_api_key_ecc133893ea92a842ee685c734246086[],2,FALSE),"")</f>
        <v/>
      </c>
      <c r="J26" s="2" t="str">
        <f>IFERROR(VLOOKUP($A26,observations_series_id_PCU3241913241910_api_key_ecc133893ea92a842ee685c734246086[],3,FALSE),"")</f>
        <v/>
      </c>
      <c r="K26" t="str">
        <f>IFERROR(VLOOKUP($A26,observations_series_id_EXJPUS_api_key_ecc133893ea92a842ee685c734246086_file_type[],2,FALSE),"")</f>
        <v/>
      </c>
      <c r="L26" s="2" t="str">
        <f>IFERROR(VLOOKUP($A26,observations_series_id_EXJPUS_api_key_ecc133893ea92a842ee685c734246086_file_type[],3,FALSE),"")</f>
        <v/>
      </c>
      <c r="M26" t="str">
        <f>IFERROR(AVERAGEIFS(timeseries_access_key_fqeas14oitk235763mntlb1c0brnk9w3fenzqbk313q5kvxyf52kukw1pa[Value.LME-ZNC],timeseries_access_key_fqeas14oitk235763mntlb1c0brnk9w3fenzqbk313q5kvxyf52kukw1pa[Month],MONTH(Data!$A26),timeseries_access_key_fqeas14oitk235763mntlb1c0brnk9w3fenzqbk313q5kvxyf52kukw1pa[Year],YEAR(Data!$A26)),"")</f>
        <v/>
      </c>
      <c r="N26" s="2" t="str">
        <f>IFERROR(AVERAGEIFS(timeseries_access_key_fqeas14oitk235763mntlb1c0brnk9w3fenzqbk313q5kvxyf52kukw1pa[Column1],timeseries_access_key_fqeas14oitk235763mntlb1c0brnk9w3fenzqbk313q5kvxyf52kukw1pa[Month],MONTH(Data!$A26),timeseries_access_key_fqeas14oitk235763mntlb1c0brnk9w3fenzqbk313q5kvxyf52kukw1pa[Year],YEAR(Data!$A26)),"")</f>
        <v/>
      </c>
      <c r="O26" s="8" t="str">
        <f>IFERROR(VLOOKUP($A26,Text_1_2[[Text.1.1.3]:[Text.1.3]],2,FALSE),"")</f>
        <v/>
      </c>
      <c r="P26" s="2"/>
    </row>
    <row r="27" spans="1:16" x14ac:dyDescent="0.25">
      <c r="A27" s="1">
        <v>21947</v>
      </c>
      <c r="B27" t="str">
        <f>HLOOKUP(Dashboard!$I$27,results,ROW(A27),FALSE)</f>
        <v/>
      </c>
      <c r="C27">
        <f>IFERROR(VLOOKUP(A27,observations_series_id_PCU22112222112243_api_key_ecc133893ea92a842ee685c73424608[],2,FALSE),"")</f>
        <v>17.8</v>
      </c>
      <c r="D27" s="2">
        <f>IFERROR(VLOOKUP(A27,observations_series_id_PCU22112222112243_api_key_ecc133893ea92a842ee685c73424608[],3,FALSE),"")</f>
        <v>2.2471910112359716E-2</v>
      </c>
      <c r="E27" t="str">
        <f>IFERROR(VLOOKUP($A27,observations_series_id_WPU0613020T_api_key_ecc133893ea92a842ee685c734246086_file[],2,FALSE),"")</f>
        <v/>
      </c>
      <c r="F27" s="2" t="str">
        <f>IFERROR(VLOOKUP($A27,observations_series_id_WPU0613020T_api_key_ecc133893ea92a842ee685c734246086_file[],3,FALSE),"")</f>
        <v/>
      </c>
      <c r="G27" t="str">
        <f>IFERROR(VLOOKUP($A27,observations_series_id_PCU22122212_api_key_ecc133893ea92a842ee685c734246086_file[],2,FALSE),"")</f>
        <v/>
      </c>
      <c r="H27" s="2" t="str">
        <f>IFERROR(VLOOKUP($A27,observations_series_id_PCU22122212_api_key_ecc133893ea92a842ee685c734246086_file[],3,FALSE),"")</f>
        <v/>
      </c>
      <c r="I27" t="str">
        <f>IFERROR(VLOOKUP($A27,observations_series_id_PCU3241913241910_api_key_ecc133893ea92a842ee685c734246086[],2,FALSE),"")</f>
        <v/>
      </c>
      <c r="J27" s="2" t="str">
        <f>IFERROR(VLOOKUP($A27,observations_series_id_PCU3241913241910_api_key_ecc133893ea92a842ee685c734246086[],3,FALSE),"")</f>
        <v/>
      </c>
      <c r="K27" t="str">
        <f>IFERROR(VLOOKUP($A27,observations_series_id_EXJPUS_api_key_ecc133893ea92a842ee685c734246086_file_type[],2,FALSE),"")</f>
        <v/>
      </c>
      <c r="L27" s="2" t="str">
        <f>IFERROR(VLOOKUP($A27,observations_series_id_EXJPUS_api_key_ecc133893ea92a842ee685c734246086_file_type[],3,FALSE),"")</f>
        <v/>
      </c>
      <c r="M27" t="str">
        <f>IFERROR(AVERAGEIFS(timeseries_access_key_fqeas14oitk235763mntlb1c0brnk9w3fenzqbk313q5kvxyf52kukw1pa[Value.LME-ZNC],timeseries_access_key_fqeas14oitk235763mntlb1c0brnk9w3fenzqbk313q5kvxyf52kukw1pa[Month],MONTH(Data!$A27),timeseries_access_key_fqeas14oitk235763mntlb1c0brnk9w3fenzqbk313q5kvxyf52kukw1pa[Year],YEAR(Data!$A27)),"")</f>
        <v/>
      </c>
      <c r="N27" s="2" t="str">
        <f>IFERROR(AVERAGEIFS(timeseries_access_key_fqeas14oitk235763mntlb1c0brnk9w3fenzqbk313q5kvxyf52kukw1pa[Column1],timeseries_access_key_fqeas14oitk235763mntlb1c0brnk9w3fenzqbk313q5kvxyf52kukw1pa[Month],MONTH(Data!$A27),timeseries_access_key_fqeas14oitk235763mntlb1c0brnk9w3fenzqbk313q5kvxyf52kukw1pa[Year],YEAR(Data!$A27)),"")</f>
        <v/>
      </c>
      <c r="O27" s="8" t="str">
        <f>IFERROR(VLOOKUP($A27,Text_1_2[[Text.1.1.3]:[Text.1.3]],2,FALSE),"")</f>
        <v/>
      </c>
      <c r="P27" s="2"/>
    </row>
    <row r="28" spans="1:16" x14ac:dyDescent="0.25">
      <c r="A28" s="1">
        <v>21976</v>
      </c>
      <c r="B28" t="str">
        <f>HLOOKUP(Dashboard!$I$27,results,ROW(A28),FALSE)</f>
        <v/>
      </c>
      <c r="C28">
        <f>IFERROR(VLOOKUP(A28,observations_series_id_PCU22112222112243_api_key_ecc133893ea92a842ee685c73424608[],2,FALSE),"")</f>
        <v>17.8</v>
      </c>
      <c r="D28" s="2">
        <f>IFERROR(VLOOKUP(A28,observations_series_id_PCU22112222112243_api_key_ecc133893ea92a842ee685c73424608[],3,FALSE),"")</f>
        <v>2.2471910112359716E-2</v>
      </c>
      <c r="E28" t="str">
        <f>IFERROR(VLOOKUP($A28,observations_series_id_WPU0613020T_api_key_ecc133893ea92a842ee685c734246086_file[],2,FALSE),"")</f>
        <v/>
      </c>
      <c r="F28" s="2" t="str">
        <f>IFERROR(VLOOKUP($A28,observations_series_id_WPU0613020T_api_key_ecc133893ea92a842ee685c734246086_file[],3,FALSE),"")</f>
        <v/>
      </c>
      <c r="G28" t="str">
        <f>IFERROR(VLOOKUP($A28,observations_series_id_PCU22122212_api_key_ecc133893ea92a842ee685c734246086_file[],2,FALSE),"")</f>
        <v/>
      </c>
      <c r="H28" s="2" t="str">
        <f>IFERROR(VLOOKUP($A28,observations_series_id_PCU22122212_api_key_ecc133893ea92a842ee685c734246086_file[],3,FALSE),"")</f>
        <v/>
      </c>
      <c r="I28" t="str">
        <f>IFERROR(VLOOKUP($A28,observations_series_id_PCU3241913241910_api_key_ecc133893ea92a842ee685c734246086[],2,FALSE),"")</f>
        <v/>
      </c>
      <c r="J28" s="2" t="str">
        <f>IFERROR(VLOOKUP($A28,observations_series_id_PCU3241913241910_api_key_ecc133893ea92a842ee685c734246086[],3,FALSE),"")</f>
        <v/>
      </c>
      <c r="K28" t="str">
        <f>IFERROR(VLOOKUP($A28,observations_series_id_EXJPUS_api_key_ecc133893ea92a842ee685c734246086_file_type[],2,FALSE),"")</f>
        <v/>
      </c>
      <c r="L28" s="2" t="str">
        <f>IFERROR(VLOOKUP($A28,observations_series_id_EXJPUS_api_key_ecc133893ea92a842ee685c734246086_file_type[],3,FALSE),"")</f>
        <v/>
      </c>
      <c r="M28" t="str">
        <f>IFERROR(AVERAGEIFS(timeseries_access_key_fqeas14oitk235763mntlb1c0brnk9w3fenzqbk313q5kvxyf52kukw1pa[Value.LME-ZNC],timeseries_access_key_fqeas14oitk235763mntlb1c0brnk9w3fenzqbk313q5kvxyf52kukw1pa[Month],MONTH(Data!$A28),timeseries_access_key_fqeas14oitk235763mntlb1c0brnk9w3fenzqbk313q5kvxyf52kukw1pa[Year],YEAR(Data!$A28)),"")</f>
        <v/>
      </c>
      <c r="N28" s="2" t="str">
        <f>IFERROR(AVERAGEIFS(timeseries_access_key_fqeas14oitk235763mntlb1c0brnk9w3fenzqbk313q5kvxyf52kukw1pa[Column1],timeseries_access_key_fqeas14oitk235763mntlb1c0brnk9w3fenzqbk313q5kvxyf52kukw1pa[Month],MONTH(Data!$A28),timeseries_access_key_fqeas14oitk235763mntlb1c0brnk9w3fenzqbk313q5kvxyf52kukw1pa[Year],YEAR(Data!$A28)),"")</f>
        <v/>
      </c>
      <c r="O28" s="8" t="str">
        <f>IFERROR(VLOOKUP($A28,Text_1_2[[Text.1.1.3]:[Text.1.3]],2,FALSE),"")</f>
        <v/>
      </c>
      <c r="P28" s="2"/>
    </row>
    <row r="29" spans="1:16" x14ac:dyDescent="0.25">
      <c r="A29" s="1">
        <v>22007</v>
      </c>
      <c r="B29" t="str">
        <f>HLOOKUP(Dashboard!$I$27,results,ROW(A29),FALSE)</f>
        <v/>
      </c>
      <c r="C29">
        <f>IFERROR(VLOOKUP(A29,observations_series_id_PCU22112222112243_api_key_ecc133893ea92a842ee685c73424608[],2,FALSE),"")</f>
        <v>17.8</v>
      </c>
      <c r="D29" s="2">
        <f>IFERROR(VLOOKUP(A29,observations_series_id_PCU22112222112243_api_key_ecc133893ea92a842ee685c73424608[],3,FALSE),"")</f>
        <v>2.2471910112359716E-2</v>
      </c>
      <c r="E29" t="str">
        <f>IFERROR(VLOOKUP($A29,observations_series_id_WPU0613020T_api_key_ecc133893ea92a842ee685c734246086_file[],2,FALSE),"")</f>
        <v/>
      </c>
      <c r="F29" s="2" t="str">
        <f>IFERROR(VLOOKUP($A29,observations_series_id_WPU0613020T_api_key_ecc133893ea92a842ee685c734246086_file[],3,FALSE),"")</f>
        <v/>
      </c>
      <c r="G29" t="str">
        <f>IFERROR(VLOOKUP($A29,observations_series_id_PCU22122212_api_key_ecc133893ea92a842ee685c734246086_file[],2,FALSE),"")</f>
        <v/>
      </c>
      <c r="H29" s="2" t="str">
        <f>IFERROR(VLOOKUP($A29,observations_series_id_PCU22122212_api_key_ecc133893ea92a842ee685c734246086_file[],3,FALSE),"")</f>
        <v/>
      </c>
      <c r="I29" t="str">
        <f>IFERROR(VLOOKUP($A29,observations_series_id_PCU3241913241910_api_key_ecc133893ea92a842ee685c734246086[],2,FALSE),"")</f>
        <v/>
      </c>
      <c r="J29" s="2" t="str">
        <f>IFERROR(VLOOKUP($A29,observations_series_id_PCU3241913241910_api_key_ecc133893ea92a842ee685c734246086[],3,FALSE),"")</f>
        <v/>
      </c>
      <c r="K29" t="str">
        <f>IFERROR(VLOOKUP($A29,observations_series_id_EXJPUS_api_key_ecc133893ea92a842ee685c734246086_file_type[],2,FALSE),"")</f>
        <v/>
      </c>
      <c r="L29" s="2" t="str">
        <f>IFERROR(VLOOKUP($A29,observations_series_id_EXJPUS_api_key_ecc133893ea92a842ee685c734246086_file_type[],3,FALSE),"")</f>
        <v/>
      </c>
      <c r="M29" t="str">
        <f>IFERROR(AVERAGEIFS(timeseries_access_key_fqeas14oitk235763mntlb1c0brnk9w3fenzqbk313q5kvxyf52kukw1pa[Value.LME-ZNC],timeseries_access_key_fqeas14oitk235763mntlb1c0brnk9w3fenzqbk313q5kvxyf52kukw1pa[Month],MONTH(Data!$A29),timeseries_access_key_fqeas14oitk235763mntlb1c0brnk9w3fenzqbk313q5kvxyf52kukw1pa[Year],YEAR(Data!$A29)),"")</f>
        <v/>
      </c>
      <c r="N29" s="2" t="str">
        <f>IFERROR(AVERAGEIFS(timeseries_access_key_fqeas14oitk235763mntlb1c0brnk9w3fenzqbk313q5kvxyf52kukw1pa[Column1],timeseries_access_key_fqeas14oitk235763mntlb1c0brnk9w3fenzqbk313q5kvxyf52kukw1pa[Month],MONTH(Data!$A29),timeseries_access_key_fqeas14oitk235763mntlb1c0brnk9w3fenzqbk313q5kvxyf52kukw1pa[Year],YEAR(Data!$A29)),"")</f>
        <v/>
      </c>
      <c r="O29" s="8" t="str">
        <f>IFERROR(VLOOKUP($A29,Text_1_2[[Text.1.1.3]:[Text.1.3]],2,FALSE),"")</f>
        <v/>
      </c>
      <c r="P29" s="2"/>
    </row>
    <row r="30" spans="1:16" x14ac:dyDescent="0.25">
      <c r="A30" s="1">
        <v>22037</v>
      </c>
      <c r="B30" t="str">
        <f>HLOOKUP(Dashboard!$I$27,results,ROW(A30),FALSE)</f>
        <v/>
      </c>
      <c r="C30">
        <f>IFERROR(VLOOKUP(A30,observations_series_id_PCU22112222112243_api_key_ecc133893ea92a842ee685c73424608[],2,FALSE),"")</f>
        <v>17.8</v>
      </c>
      <c r="D30" s="2">
        <f>IFERROR(VLOOKUP(A30,observations_series_id_PCU22112222112243_api_key_ecc133893ea92a842ee685c73424608[],3,FALSE),"")</f>
        <v>2.2471910112359716E-2</v>
      </c>
      <c r="E30" t="str">
        <f>IFERROR(VLOOKUP($A30,observations_series_id_WPU0613020T_api_key_ecc133893ea92a842ee685c734246086_file[],2,FALSE),"")</f>
        <v/>
      </c>
      <c r="F30" s="2" t="str">
        <f>IFERROR(VLOOKUP($A30,observations_series_id_WPU0613020T_api_key_ecc133893ea92a842ee685c734246086_file[],3,FALSE),"")</f>
        <v/>
      </c>
      <c r="G30" t="str">
        <f>IFERROR(VLOOKUP($A30,observations_series_id_PCU22122212_api_key_ecc133893ea92a842ee685c734246086_file[],2,FALSE),"")</f>
        <v/>
      </c>
      <c r="H30" s="2" t="str">
        <f>IFERROR(VLOOKUP($A30,observations_series_id_PCU22122212_api_key_ecc133893ea92a842ee685c734246086_file[],3,FALSE),"")</f>
        <v/>
      </c>
      <c r="I30" t="str">
        <f>IFERROR(VLOOKUP($A30,observations_series_id_PCU3241913241910_api_key_ecc133893ea92a842ee685c734246086[],2,FALSE),"")</f>
        <v/>
      </c>
      <c r="J30" s="2" t="str">
        <f>IFERROR(VLOOKUP($A30,observations_series_id_PCU3241913241910_api_key_ecc133893ea92a842ee685c734246086[],3,FALSE),"")</f>
        <v/>
      </c>
      <c r="K30" t="str">
        <f>IFERROR(VLOOKUP($A30,observations_series_id_EXJPUS_api_key_ecc133893ea92a842ee685c734246086_file_type[],2,FALSE),"")</f>
        <v/>
      </c>
      <c r="L30" s="2" t="str">
        <f>IFERROR(VLOOKUP($A30,observations_series_id_EXJPUS_api_key_ecc133893ea92a842ee685c734246086_file_type[],3,FALSE),"")</f>
        <v/>
      </c>
      <c r="M30" t="str">
        <f>IFERROR(AVERAGEIFS(timeseries_access_key_fqeas14oitk235763mntlb1c0brnk9w3fenzqbk313q5kvxyf52kukw1pa[Value.LME-ZNC],timeseries_access_key_fqeas14oitk235763mntlb1c0brnk9w3fenzqbk313q5kvxyf52kukw1pa[Month],MONTH(Data!$A30),timeseries_access_key_fqeas14oitk235763mntlb1c0brnk9w3fenzqbk313q5kvxyf52kukw1pa[Year],YEAR(Data!$A30)),"")</f>
        <v/>
      </c>
      <c r="N30" s="2" t="str">
        <f>IFERROR(AVERAGEIFS(timeseries_access_key_fqeas14oitk235763mntlb1c0brnk9w3fenzqbk313q5kvxyf52kukw1pa[Column1],timeseries_access_key_fqeas14oitk235763mntlb1c0brnk9w3fenzqbk313q5kvxyf52kukw1pa[Month],MONTH(Data!$A30),timeseries_access_key_fqeas14oitk235763mntlb1c0brnk9w3fenzqbk313q5kvxyf52kukw1pa[Year],YEAR(Data!$A30)),"")</f>
        <v/>
      </c>
      <c r="O30" s="8" t="str">
        <f>IFERROR(VLOOKUP($A30,Text_1_2[[Text.1.1.3]:[Text.1.3]],2,FALSE),"")</f>
        <v/>
      </c>
      <c r="P30" s="2"/>
    </row>
    <row r="31" spans="1:16" x14ac:dyDescent="0.25">
      <c r="A31" s="1">
        <v>22068</v>
      </c>
      <c r="B31" t="str">
        <f>HLOOKUP(Dashboard!$I$27,results,ROW(A31),FALSE)</f>
        <v/>
      </c>
      <c r="C31">
        <f>IFERROR(VLOOKUP(A31,observations_series_id_PCU22112222112243_api_key_ecc133893ea92a842ee685c73424608[],2,FALSE),"")</f>
        <v>17.8</v>
      </c>
      <c r="D31" s="2">
        <f>IFERROR(VLOOKUP(A31,observations_series_id_PCU22112222112243_api_key_ecc133893ea92a842ee685c73424608[],3,FALSE),"")</f>
        <v>2.2471910112359716E-2</v>
      </c>
      <c r="E31" t="str">
        <f>IFERROR(VLOOKUP($A31,observations_series_id_WPU0613020T_api_key_ecc133893ea92a842ee685c734246086_file[],2,FALSE),"")</f>
        <v/>
      </c>
      <c r="F31" s="2" t="str">
        <f>IFERROR(VLOOKUP($A31,observations_series_id_WPU0613020T_api_key_ecc133893ea92a842ee685c734246086_file[],3,FALSE),"")</f>
        <v/>
      </c>
      <c r="G31" t="str">
        <f>IFERROR(VLOOKUP($A31,observations_series_id_PCU22122212_api_key_ecc133893ea92a842ee685c734246086_file[],2,FALSE),"")</f>
        <v/>
      </c>
      <c r="H31" s="2" t="str">
        <f>IFERROR(VLOOKUP($A31,observations_series_id_PCU22122212_api_key_ecc133893ea92a842ee685c734246086_file[],3,FALSE),"")</f>
        <v/>
      </c>
      <c r="I31" t="str">
        <f>IFERROR(VLOOKUP($A31,observations_series_id_PCU3241913241910_api_key_ecc133893ea92a842ee685c734246086[],2,FALSE),"")</f>
        <v/>
      </c>
      <c r="J31" s="2" t="str">
        <f>IFERROR(VLOOKUP($A31,observations_series_id_PCU3241913241910_api_key_ecc133893ea92a842ee685c734246086[],3,FALSE),"")</f>
        <v/>
      </c>
      <c r="K31" t="str">
        <f>IFERROR(VLOOKUP($A31,observations_series_id_EXJPUS_api_key_ecc133893ea92a842ee685c734246086_file_type[],2,FALSE),"")</f>
        <v/>
      </c>
      <c r="L31" s="2" t="str">
        <f>IFERROR(VLOOKUP($A31,observations_series_id_EXJPUS_api_key_ecc133893ea92a842ee685c734246086_file_type[],3,FALSE),"")</f>
        <v/>
      </c>
      <c r="M31" t="str">
        <f>IFERROR(AVERAGEIFS(timeseries_access_key_fqeas14oitk235763mntlb1c0brnk9w3fenzqbk313q5kvxyf52kukw1pa[Value.LME-ZNC],timeseries_access_key_fqeas14oitk235763mntlb1c0brnk9w3fenzqbk313q5kvxyf52kukw1pa[Month],MONTH(Data!$A31),timeseries_access_key_fqeas14oitk235763mntlb1c0brnk9w3fenzqbk313q5kvxyf52kukw1pa[Year],YEAR(Data!$A31)),"")</f>
        <v/>
      </c>
      <c r="N31" s="2" t="str">
        <f>IFERROR(AVERAGEIFS(timeseries_access_key_fqeas14oitk235763mntlb1c0brnk9w3fenzqbk313q5kvxyf52kukw1pa[Column1],timeseries_access_key_fqeas14oitk235763mntlb1c0brnk9w3fenzqbk313q5kvxyf52kukw1pa[Month],MONTH(Data!$A31),timeseries_access_key_fqeas14oitk235763mntlb1c0brnk9w3fenzqbk313q5kvxyf52kukw1pa[Year],YEAR(Data!$A31)),"")</f>
        <v/>
      </c>
      <c r="O31" s="8" t="str">
        <f>IFERROR(VLOOKUP($A31,Text_1_2[[Text.1.1.3]:[Text.1.3]],2,FALSE),"")</f>
        <v/>
      </c>
      <c r="P31" s="2"/>
    </row>
    <row r="32" spans="1:16" x14ac:dyDescent="0.25">
      <c r="A32" s="1">
        <v>22098</v>
      </c>
      <c r="B32" t="str">
        <f>HLOOKUP(Dashboard!$I$27,results,ROW(A32),FALSE)</f>
        <v/>
      </c>
      <c r="C32">
        <f>IFERROR(VLOOKUP(A32,observations_series_id_PCU22112222112243_api_key_ecc133893ea92a842ee685c73424608[],2,FALSE),"")</f>
        <v>17.8</v>
      </c>
      <c r="D32" s="2">
        <f>IFERROR(VLOOKUP(A32,observations_series_id_PCU22112222112243_api_key_ecc133893ea92a842ee685c73424608[],3,FALSE),"")</f>
        <v>2.2471910112359716E-2</v>
      </c>
      <c r="E32" t="str">
        <f>IFERROR(VLOOKUP($A32,observations_series_id_WPU0613020T_api_key_ecc133893ea92a842ee685c734246086_file[],2,FALSE),"")</f>
        <v/>
      </c>
      <c r="F32" s="2" t="str">
        <f>IFERROR(VLOOKUP($A32,observations_series_id_WPU0613020T_api_key_ecc133893ea92a842ee685c734246086_file[],3,FALSE),"")</f>
        <v/>
      </c>
      <c r="G32" t="str">
        <f>IFERROR(VLOOKUP($A32,observations_series_id_PCU22122212_api_key_ecc133893ea92a842ee685c734246086_file[],2,FALSE),"")</f>
        <v/>
      </c>
      <c r="H32" s="2" t="str">
        <f>IFERROR(VLOOKUP($A32,observations_series_id_PCU22122212_api_key_ecc133893ea92a842ee685c734246086_file[],3,FALSE),"")</f>
        <v/>
      </c>
      <c r="I32" t="str">
        <f>IFERROR(VLOOKUP($A32,observations_series_id_PCU3241913241910_api_key_ecc133893ea92a842ee685c734246086[],2,FALSE),"")</f>
        <v/>
      </c>
      <c r="J32" s="2" t="str">
        <f>IFERROR(VLOOKUP($A32,observations_series_id_PCU3241913241910_api_key_ecc133893ea92a842ee685c734246086[],3,FALSE),"")</f>
        <v/>
      </c>
      <c r="K32" t="str">
        <f>IFERROR(VLOOKUP($A32,observations_series_id_EXJPUS_api_key_ecc133893ea92a842ee685c734246086_file_type[],2,FALSE),"")</f>
        <v/>
      </c>
      <c r="L32" s="2" t="str">
        <f>IFERROR(VLOOKUP($A32,observations_series_id_EXJPUS_api_key_ecc133893ea92a842ee685c734246086_file_type[],3,FALSE),"")</f>
        <v/>
      </c>
      <c r="M32" t="str">
        <f>IFERROR(AVERAGEIFS(timeseries_access_key_fqeas14oitk235763mntlb1c0brnk9w3fenzqbk313q5kvxyf52kukw1pa[Value.LME-ZNC],timeseries_access_key_fqeas14oitk235763mntlb1c0brnk9w3fenzqbk313q5kvxyf52kukw1pa[Month],MONTH(Data!$A32),timeseries_access_key_fqeas14oitk235763mntlb1c0brnk9w3fenzqbk313q5kvxyf52kukw1pa[Year],YEAR(Data!$A32)),"")</f>
        <v/>
      </c>
      <c r="N32" s="2" t="str">
        <f>IFERROR(AVERAGEIFS(timeseries_access_key_fqeas14oitk235763mntlb1c0brnk9w3fenzqbk313q5kvxyf52kukw1pa[Column1],timeseries_access_key_fqeas14oitk235763mntlb1c0brnk9w3fenzqbk313q5kvxyf52kukw1pa[Month],MONTH(Data!$A32),timeseries_access_key_fqeas14oitk235763mntlb1c0brnk9w3fenzqbk313q5kvxyf52kukw1pa[Year],YEAR(Data!$A32)),"")</f>
        <v/>
      </c>
      <c r="O32" s="8" t="str">
        <f>IFERROR(VLOOKUP($A32,Text_1_2[[Text.1.1.3]:[Text.1.3]],2,FALSE),"")</f>
        <v/>
      </c>
      <c r="P32" s="2"/>
    </row>
    <row r="33" spans="1:16" x14ac:dyDescent="0.25">
      <c r="A33" s="1">
        <v>22129</v>
      </c>
      <c r="B33" t="str">
        <f>HLOOKUP(Dashboard!$I$27,results,ROW(A33),FALSE)</f>
        <v/>
      </c>
      <c r="C33">
        <f>IFERROR(VLOOKUP(A33,observations_series_id_PCU22112222112243_api_key_ecc133893ea92a842ee685c73424608[],2,FALSE),"")</f>
        <v>17.8</v>
      </c>
      <c r="D33" s="2">
        <f>IFERROR(VLOOKUP(A33,observations_series_id_PCU22112222112243_api_key_ecc133893ea92a842ee685c73424608[],3,FALSE),"")</f>
        <v>2.2471910112359716E-2</v>
      </c>
      <c r="E33" t="str">
        <f>IFERROR(VLOOKUP($A33,observations_series_id_WPU0613020T_api_key_ecc133893ea92a842ee685c734246086_file[],2,FALSE),"")</f>
        <v/>
      </c>
      <c r="F33" s="2" t="str">
        <f>IFERROR(VLOOKUP($A33,observations_series_id_WPU0613020T_api_key_ecc133893ea92a842ee685c734246086_file[],3,FALSE),"")</f>
        <v/>
      </c>
      <c r="G33" t="str">
        <f>IFERROR(VLOOKUP($A33,observations_series_id_PCU22122212_api_key_ecc133893ea92a842ee685c734246086_file[],2,FALSE),"")</f>
        <v/>
      </c>
      <c r="H33" s="2" t="str">
        <f>IFERROR(VLOOKUP($A33,observations_series_id_PCU22122212_api_key_ecc133893ea92a842ee685c734246086_file[],3,FALSE),"")</f>
        <v/>
      </c>
      <c r="I33" t="str">
        <f>IFERROR(VLOOKUP($A33,observations_series_id_PCU3241913241910_api_key_ecc133893ea92a842ee685c734246086[],2,FALSE),"")</f>
        <v/>
      </c>
      <c r="J33" s="2" t="str">
        <f>IFERROR(VLOOKUP($A33,observations_series_id_PCU3241913241910_api_key_ecc133893ea92a842ee685c734246086[],3,FALSE),"")</f>
        <v/>
      </c>
      <c r="K33" t="str">
        <f>IFERROR(VLOOKUP($A33,observations_series_id_EXJPUS_api_key_ecc133893ea92a842ee685c734246086_file_type[],2,FALSE),"")</f>
        <v/>
      </c>
      <c r="L33" s="2" t="str">
        <f>IFERROR(VLOOKUP($A33,observations_series_id_EXJPUS_api_key_ecc133893ea92a842ee685c734246086_file_type[],3,FALSE),"")</f>
        <v/>
      </c>
      <c r="M33" t="str">
        <f>IFERROR(AVERAGEIFS(timeseries_access_key_fqeas14oitk235763mntlb1c0brnk9w3fenzqbk313q5kvxyf52kukw1pa[Value.LME-ZNC],timeseries_access_key_fqeas14oitk235763mntlb1c0brnk9w3fenzqbk313q5kvxyf52kukw1pa[Month],MONTH(Data!$A33),timeseries_access_key_fqeas14oitk235763mntlb1c0brnk9w3fenzqbk313q5kvxyf52kukw1pa[Year],YEAR(Data!$A33)),"")</f>
        <v/>
      </c>
      <c r="N33" s="2" t="str">
        <f>IFERROR(AVERAGEIFS(timeseries_access_key_fqeas14oitk235763mntlb1c0brnk9w3fenzqbk313q5kvxyf52kukw1pa[Column1],timeseries_access_key_fqeas14oitk235763mntlb1c0brnk9w3fenzqbk313q5kvxyf52kukw1pa[Month],MONTH(Data!$A33),timeseries_access_key_fqeas14oitk235763mntlb1c0brnk9w3fenzqbk313q5kvxyf52kukw1pa[Year],YEAR(Data!$A33)),"")</f>
        <v/>
      </c>
      <c r="O33" s="8" t="str">
        <f>IFERROR(VLOOKUP($A33,Text_1_2[[Text.1.1.3]:[Text.1.3]],2,FALSE),"")</f>
        <v/>
      </c>
      <c r="P33" s="2"/>
    </row>
    <row r="34" spans="1:16" x14ac:dyDescent="0.25">
      <c r="A34" s="1">
        <v>22160</v>
      </c>
      <c r="B34" t="str">
        <f>HLOOKUP(Dashboard!$I$27,results,ROW(A34),FALSE)</f>
        <v/>
      </c>
      <c r="C34">
        <f>IFERROR(VLOOKUP(A34,observations_series_id_PCU22112222112243_api_key_ecc133893ea92a842ee685c73424608[],2,FALSE),"")</f>
        <v>17.8</v>
      </c>
      <c r="D34" s="2">
        <f>IFERROR(VLOOKUP(A34,observations_series_id_PCU22112222112243_api_key_ecc133893ea92a842ee685c73424608[],3,FALSE),"")</f>
        <v>2.2471910112359716E-2</v>
      </c>
      <c r="E34" t="str">
        <f>IFERROR(VLOOKUP($A34,observations_series_id_WPU0613020T_api_key_ecc133893ea92a842ee685c734246086_file[],2,FALSE),"")</f>
        <v/>
      </c>
      <c r="F34" s="2" t="str">
        <f>IFERROR(VLOOKUP($A34,observations_series_id_WPU0613020T_api_key_ecc133893ea92a842ee685c734246086_file[],3,FALSE),"")</f>
        <v/>
      </c>
      <c r="G34" t="str">
        <f>IFERROR(VLOOKUP($A34,observations_series_id_PCU22122212_api_key_ecc133893ea92a842ee685c734246086_file[],2,FALSE),"")</f>
        <v/>
      </c>
      <c r="H34" s="2" t="str">
        <f>IFERROR(VLOOKUP($A34,observations_series_id_PCU22122212_api_key_ecc133893ea92a842ee685c734246086_file[],3,FALSE),"")</f>
        <v/>
      </c>
      <c r="I34" t="str">
        <f>IFERROR(VLOOKUP($A34,observations_series_id_PCU3241913241910_api_key_ecc133893ea92a842ee685c734246086[],2,FALSE),"")</f>
        <v/>
      </c>
      <c r="J34" s="2" t="str">
        <f>IFERROR(VLOOKUP($A34,observations_series_id_PCU3241913241910_api_key_ecc133893ea92a842ee685c734246086[],3,FALSE),"")</f>
        <v/>
      </c>
      <c r="K34" t="str">
        <f>IFERROR(VLOOKUP($A34,observations_series_id_EXJPUS_api_key_ecc133893ea92a842ee685c734246086_file_type[],2,FALSE),"")</f>
        <v/>
      </c>
      <c r="L34" s="2" t="str">
        <f>IFERROR(VLOOKUP($A34,observations_series_id_EXJPUS_api_key_ecc133893ea92a842ee685c734246086_file_type[],3,FALSE),"")</f>
        <v/>
      </c>
      <c r="M34" t="str">
        <f>IFERROR(AVERAGEIFS(timeseries_access_key_fqeas14oitk235763mntlb1c0brnk9w3fenzqbk313q5kvxyf52kukw1pa[Value.LME-ZNC],timeseries_access_key_fqeas14oitk235763mntlb1c0brnk9w3fenzqbk313q5kvxyf52kukw1pa[Month],MONTH(Data!$A34),timeseries_access_key_fqeas14oitk235763mntlb1c0brnk9w3fenzqbk313q5kvxyf52kukw1pa[Year],YEAR(Data!$A34)),"")</f>
        <v/>
      </c>
      <c r="N34" s="2" t="str">
        <f>IFERROR(AVERAGEIFS(timeseries_access_key_fqeas14oitk235763mntlb1c0brnk9w3fenzqbk313q5kvxyf52kukw1pa[Column1],timeseries_access_key_fqeas14oitk235763mntlb1c0brnk9w3fenzqbk313q5kvxyf52kukw1pa[Month],MONTH(Data!$A34),timeseries_access_key_fqeas14oitk235763mntlb1c0brnk9w3fenzqbk313q5kvxyf52kukw1pa[Year],YEAR(Data!$A34)),"")</f>
        <v/>
      </c>
      <c r="O34" s="8" t="str">
        <f>IFERROR(VLOOKUP($A34,Text_1_2[[Text.1.1.3]:[Text.1.3]],2,FALSE),"")</f>
        <v/>
      </c>
      <c r="P34" s="2"/>
    </row>
    <row r="35" spans="1:16" x14ac:dyDescent="0.25">
      <c r="A35" s="1">
        <v>22190</v>
      </c>
      <c r="B35" t="str">
        <f>HLOOKUP(Dashboard!$I$27,results,ROW(A35),FALSE)</f>
        <v/>
      </c>
      <c r="C35">
        <f>IFERROR(VLOOKUP(A35,observations_series_id_PCU22112222112243_api_key_ecc133893ea92a842ee685c73424608[],2,FALSE),"")</f>
        <v>17.8</v>
      </c>
      <c r="D35" s="2">
        <f>IFERROR(VLOOKUP(A35,observations_series_id_PCU22112222112243_api_key_ecc133893ea92a842ee685c73424608[],3,FALSE),"")</f>
        <v>2.2471910112359716E-2</v>
      </c>
      <c r="E35" t="str">
        <f>IFERROR(VLOOKUP($A35,observations_series_id_WPU0613020T_api_key_ecc133893ea92a842ee685c734246086_file[],2,FALSE),"")</f>
        <v/>
      </c>
      <c r="F35" s="2" t="str">
        <f>IFERROR(VLOOKUP($A35,observations_series_id_WPU0613020T_api_key_ecc133893ea92a842ee685c734246086_file[],3,FALSE),"")</f>
        <v/>
      </c>
      <c r="G35" t="str">
        <f>IFERROR(VLOOKUP($A35,observations_series_id_PCU22122212_api_key_ecc133893ea92a842ee685c734246086_file[],2,FALSE),"")</f>
        <v/>
      </c>
      <c r="H35" s="2" t="str">
        <f>IFERROR(VLOOKUP($A35,observations_series_id_PCU22122212_api_key_ecc133893ea92a842ee685c734246086_file[],3,FALSE),"")</f>
        <v/>
      </c>
      <c r="I35" t="str">
        <f>IFERROR(VLOOKUP($A35,observations_series_id_PCU3241913241910_api_key_ecc133893ea92a842ee685c734246086[],2,FALSE),"")</f>
        <v/>
      </c>
      <c r="J35" s="2" t="str">
        <f>IFERROR(VLOOKUP($A35,observations_series_id_PCU3241913241910_api_key_ecc133893ea92a842ee685c734246086[],3,FALSE),"")</f>
        <v/>
      </c>
      <c r="K35" t="str">
        <f>IFERROR(VLOOKUP($A35,observations_series_id_EXJPUS_api_key_ecc133893ea92a842ee685c734246086_file_type[],2,FALSE),"")</f>
        <v/>
      </c>
      <c r="L35" s="2" t="str">
        <f>IFERROR(VLOOKUP($A35,observations_series_id_EXJPUS_api_key_ecc133893ea92a842ee685c734246086_file_type[],3,FALSE),"")</f>
        <v/>
      </c>
      <c r="M35" t="str">
        <f>IFERROR(AVERAGEIFS(timeseries_access_key_fqeas14oitk235763mntlb1c0brnk9w3fenzqbk313q5kvxyf52kukw1pa[Value.LME-ZNC],timeseries_access_key_fqeas14oitk235763mntlb1c0brnk9w3fenzqbk313q5kvxyf52kukw1pa[Month],MONTH(Data!$A35),timeseries_access_key_fqeas14oitk235763mntlb1c0brnk9w3fenzqbk313q5kvxyf52kukw1pa[Year],YEAR(Data!$A35)),"")</f>
        <v/>
      </c>
      <c r="N35" s="2" t="str">
        <f>IFERROR(AVERAGEIFS(timeseries_access_key_fqeas14oitk235763mntlb1c0brnk9w3fenzqbk313q5kvxyf52kukw1pa[Column1],timeseries_access_key_fqeas14oitk235763mntlb1c0brnk9w3fenzqbk313q5kvxyf52kukw1pa[Month],MONTH(Data!$A35),timeseries_access_key_fqeas14oitk235763mntlb1c0brnk9w3fenzqbk313q5kvxyf52kukw1pa[Year],YEAR(Data!$A35)),"")</f>
        <v/>
      </c>
      <c r="O35" s="8" t="str">
        <f>IFERROR(VLOOKUP($A35,Text_1_2[[Text.1.1.3]:[Text.1.3]],2,FALSE),"")</f>
        <v/>
      </c>
      <c r="P35" s="2"/>
    </row>
    <row r="36" spans="1:16" x14ac:dyDescent="0.25">
      <c r="A36" s="1">
        <v>22221</v>
      </c>
      <c r="B36" t="str">
        <f>HLOOKUP(Dashboard!$I$27,results,ROW(A36),FALSE)</f>
        <v/>
      </c>
      <c r="C36">
        <f>IFERROR(VLOOKUP(A36,observations_series_id_PCU22112222112243_api_key_ecc133893ea92a842ee685c73424608[],2,FALSE),"")</f>
        <v>17.899999999999999</v>
      </c>
      <c r="D36" s="2">
        <f>IFERROR(VLOOKUP(A36,observations_series_id_PCU22112222112243_api_key_ecc133893ea92a842ee685c73424608[],3,FALSE),"")</f>
        <v>2.7932960893854775E-2</v>
      </c>
      <c r="E36" t="str">
        <f>IFERROR(VLOOKUP($A36,observations_series_id_WPU0613020T_api_key_ecc133893ea92a842ee685c734246086_file[],2,FALSE),"")</f>
        <v/>
      </c>
      <c r="F36" s="2" t="str">
        <f>IFERROR(VLOOKUP($A36,observations_series_id_WPU0613020T_api_key_ecc133893ea92a842ee685c734246086_file[],3,FALSE),"")</f>
        <v/>
      </c>
      <c r="G36" t="str">
        <f>IFERROR(VLOOKUP($A36,observations_series_id_PCU22122212_api_key_ecc133893ea92a842ee685c734246086_file[],2,FALSE),"")</f>
        <v/>
      </c>
      <c r="H36" s="2" t="str">
        <f>IFERROR(VLOOKUP($A36,observations_series_id_PCU22122212_api_key_ecc133893ea92a842ee685c734246086_file[],3,FALSE),"")</f>
        <v/>
      </c>
      <c r="I36" t="str">
        <f>IFERROR(VLOOKUP($A36,observations_series_id_PCU3241913241910_api_key_ecc133893ea92a842ee685c734246086[],2,FALSE),"")</f>
        <v/>
      </c>
      <c r="J36" s="2" t="str">
        <f>IFERROR(VLOOKUP($A36,observations_series_id_PCU3241913241910_api_key_ecc133893ea92a842ee685c734246086[],3,FALSE),"")</f>
        <v/>
      </c>
      <c r="K36" t="str">
        <f>IFERROR(VLOOKUP($A36,observations_series_id_EXJPUS_api_key_ecc133893ea92a842ee685c734246086_file_type[],2,FALSE),"")</f>
        <v/>
      </c>
      <c r="L36" s="2" t="str">
        <f>IFERROR(VLOOKUP($A36,observations_series_id_EXJPUS_api_key_ecc133893ea92a842ee685c734246086_file_type[],3,FALSE),"")</f>
        <v/>
      </c>
      <c r="M36" t="str">
        <f>IFERROR(AVERAGEIFS(timeseries_access_key_fqeas14oitk235763mntlb1c0brnk9w3fenzqbk313q5kvxyf52kukw1pa[Value.LME-ZNC],timeseries_access_key_fqeas14oitk235763mntlb1c0brnk9w3fenzqbk313q5kvxyf52kukw1pa[Month],MONTH(Data!$A36),timeseries_access_key_fqeas14oitk235763mntlb1c0brnk9w3fenzqbk313q5kvxyf52kukw1pa[Year],YEAR(Data!$A36)),"")</f>
        <v/>
      </c>
      <c r="N36" s="2" t="str">
        <f>IFERROR(AVERAGEIFS(timeseries_access_key_fqeas14oitk235763mntlb1c0brnk9w3fenzqbk313q5kvxyf52kukw1pa[Column1],timeseries_access_key_fqeas14oitk235763mntlb1c0brnk9w3fenzqbk313q5kvxyf52kukw1pa[Month],MONTH(Data!$A36),timeseries_access_key_fqeas14oitk235763mntlb1c0brnk9w3fenzqbk313q5kvxyf52kukw1pa[Year],YEAR(Data!$A36)),"")</f>
        <v/>
      </c>
      <c r="O36" s="8" t="str">
        <f>IFERROR(VLOOKUP($A36,Text_1_2[[Text.1.1.3]:[Text.1.3]],2,FALSE),"")</f>
        <v/>
      </c>
      <c r="P36" s="2"/>
    </row>
    <row r="37" spans="1:16" x14ac:dyDescent="0.25">
      <c r="A37" s="1">
        <v>22251</v>
      </c>
      <c r="B37" t="str">
        <f>HLOOKUP(Dashboard!$I$27,results,ROW(A37),FALSE)</f>
        <v/>
      </c>
      <c r="C37">
        <f>IFERROR(VLOOKUP(A37,observations_series_id_PCU22112222112243_api_key_ecc133893ea92a842ee685c73424608[],2,FALSE),"")</f>
        <v>17.899999999999999</v>
      </c>
      <c r="D37" s="2">
        <f>IFERROR(VLOOKUP(A37,observations_series_id_PCU22112222112243_api_key_ecc133893ea92a842ee685c73424608[],3,FALSE),"")</f>
        <v>2.7932960893854775E-2</v>
      </c>
      <c r="E37" t="str">
        <f>IFERROR(VLOOKUP($A37,observations_series_id_WPU0613020T_api_key_ecc133893ea92a842ee685c734246086_file[],2,FALSE),"")</f>
        <v/>
      </c>
      <c r="F37" s="2" t="str">
        <f>IFERROR(VLOOKUP($A37,observations_series_id_WPU0613020T_api_key_ecc133893ea92a842ee685c734246086_file[],3,FALSE),"")</f>
        <v/>
      </c>
      <c r="G37" t="str">
        <f>IFERROR(VLOOKUP($A37,observations_series_id_PCU22122212_api_key_ecc133893ea92a842ee685c734246086_file[],2,FALSE),"")</f>
        <v/>
      </c>
      <c r="H37" s="2" t="str">
        <f>IFERROR(VLOOKUP($A37,observations_series_id_PCU22122212_api_key_ecc133893ea92a842ee685c734246086_file[],3,FALSE),"")</f>
        <v/>
      </c>
      <c r="I37" t="str">
        <f>IFERROR(VLOOKUP($A37,observations_series_id_PCU3241913241910_api_key_ecc133893ea92a842ee685c734246086[],2,FALSE),"")</f>
        <v/>
      </c>
      <c r="J37" s="2" t="str">
        <f>IFERROR(VLOOKUP($A37,observations_series_id_PCU3241913241910_api_key_ecc133893ea92a842ee685c734246086[],3,FALSE),"")</f>
        <v/>
      </c>
      <c r="K37" t="str">
        <f>IFERROR(VLOOKUP($A37,observations_series_id_EXJPUS_api_key_ecc133893ea92a842ee685c734246086_file_type[],2,FALSE),"")</f>
        <v/>
      </c>
      <c r="L37" s="2" t="str">
        <f>IFERROR(VLOOKUP($A37,observations_series_id_EXJPUS_api_key_ecc133893ea92a842ee685c734246086_file_type[],3,FALSE),"")</f>
        <v/>
      </c>
      <c r="M37" t="str">
        <f>IFERROR(AVERAGEIFS(timeseries_access_key_fqeas14oitk235763mntlb1c0brnk9w3fenzqbk313q5kvxyf52kukw1pa[Value.LME-ZNC],timeseries_access_key_fqeas14oitk235763mntlb1c0brnk9w3fenzqbk313q5kvxyf52kukw1pa[Month],MONTH(Data!$A37),timeseries_access_key_fqeas14oitk235763mntlb1c0brnk9w3fenzqbk313q5kvxyf52kukw1pa[Year],YEAR(Data!$A37)),"")</f>
        <v/>
      </c>
      <c r="N37" s="2" t="str">
        <f>IFERROR(AVERAGEIFS(timeseries_access_key_fqeas14oitk235763mntlb1c0brnk9w3fenzqbk313q5kvxyf52kukw1pa[Column1],timeseries_access_key_fqeas14oitk235763mntlb1c0brnk9w3fenzqbk313q5kvxyf52kukw1pa[Month],MONTH(Data!$A37),timeseries_access_key_fqeas14oitk235763mntlb1c0brnk9w3fenzqbk313q5kvxyf52kukw1pa[Year],YEAR(Data!$A37)),"")</f>
        <v/>
      </c>
      <c r="O37" s="8" t="str">
        <f>IFERROR(VLOOKUP($A37,Text_1_2[[Text.1.1.3]:[Text.1.3]],2,FALSE),"")</f>
        <v/>
      </c>
      <c r="P37" s="2"/>
    </row>
    <row r="38" spans="1:16" x14ac:dyDescent="0.25">
      <c r="A38" s="1">
        <v>22282</v>
      </c>
      <c r="B38" t="str">
        <f>HLOOKUP(Dashboard!$I$27,results,ROW(A38),FALSE)</f>
        <v/>
      </c>
      <c r="C38">
        <f>IFERROR(VLOOKUP(A38,observations_series_id_PCU22112222112243_api_key_ecc133893ea92a842ee685c73424608[],2,FALSE),"")</f>
        <v>17.899999999999999</v>
      </c>
      <c r="D38" s="2">
        <f>IFERROR(VLOOKUP(A38,observations_series_id_PCU22112222112243_api_key_ecc133893ea92a842ee685c73424608[],3,FALSE),"")</f>
        <v>2.7932960893854775E-2</v>
      </c>
      <c r="E38" t="str">
        <f>IFERROR(VLOOKUP($A38,observations_series_id_WPU0613020T_api_key_ecc133893ea92a842ee685c734246086_file[],2,FALSE),"")</f>
        <v/>
      </c>
      <c r="F38" s="2" t="str">
        <f>IFERROR(VLOOKUP($A38,observations_series_id_WPU0613020T_api_key_ecc133893ea92a842ee685c734246086_file[],3,FALSE),"")</f>
        <v/>
      </c>
      <c r="G38" t="str">
        <f>IFERROR(VLOOKUP($A38,observations_series_id_PCU22122212_api_key_ecc133893ea92a842ee685c734246086_file[],2,FALSE),"")</f>
        <v/>
      </c>
      <c r="H38" s="2" t="str">
        <f>IFERROR(VLOOKUP($A38,observations_series_id_PCU22122212_api_key_ecc133893ea92a842ee685c734246086_file[],3,FALSE),"")</f>
        <v/>
      </c>
      <c r="I38" t="str">
        <f>IFERROR(VLOOKUP($A38,observations_series_id_PCU3241913241910_api_key_ecc133893ea92a842ee685c734246086[],2,FALSE),"")</f>
        <v/>
      </c>
      <c r="J38" s="2" t="str">
        <f>IFERROR(VLOOKUP($A38,observations_series_id_PCU3241913241910_api_key_ecc133893ea92a842ee685c734246086[],3,FALSE),"")</f>
        <v/>
      </c>
      <c r="K38" t="str">
        <f>IFERROR(VLOOKUP($A38,observations_series_id_EXJPUS_api_key_ecc133893ea92a842ee685c734246086_file_type[],2,FALSE),"")</f>
        <v/>
      </c>
      <c r="L38" s="2" t="str">
        <f>IFERROR(VLOOKUP($A38,observations_series_id_EXJPUS_api_key_ecc133893ea92a842ee685c734246086_file_type[],3,FALSE),"")</f>
        <v/>
      </c>
      <c r="M38" t="str">
        <f>IFERROR(AVERAGEIFS(timeseries_access_key_fqeas14oitk235763mntlb1c0brnk9w3fenzqbk313q5kvxyf52kukw1pa[Value.LME-ZNC],timeseries_access_key_fqeas14oitk235763mntlb1c0brnk9w3fenzqbk313q5kvxyf52kukw1pa[Month],MONTH(Data!$A38),timeseries_access_key_fqeas14oitk235763mntlb1c0brnk9w3fenzqbk313q5kvxyf52kukw1pa[Year],YEAR(Data!$A38)),"")</f>
        <v/>
      </c>
      <c r="N38" s="2" t="str">
        <f>IFERROR(AVERAGEIFS(timeseries_access_key_fqeas14oitk235763mntlb1c0brnk9w3fenzqbk313q5kvxyf52kukw1pa[Column1],timeseries_access_key_fqeas14oitk235763mntlb1c0brnk9w3fenzqbk313q5kvxyf52kukw1pa[Month],MONTH(Data!$A38),timeseries_access_key_fqeas14oitk235763mntlb1c0brnk9w3fenzqbk313q5kvxyf52kukw1pa[Year],YEAR(Data!$A38)),"")</f>
        <v/>
      </c>
      <c r="O38" s="8" t="str">
        <f>IFERROR(VLOOKUP($A38,Text_1_2[[Text.1.1.3]:[Text.1.3]],2,FALSE),"")</f>
        <v/>
      </c>
      <c r="P38" s="2"/>
    </row>
    <row r="39" spans="1:16" x14ac:dyDescent="0.25">
      <c r="A39" s="1">
        <v>22313</v>
      </c>
      <c r="B39" t="str">
        <f>HLOOKUP(Dashboard!$I$27,results,ROW(A39),FALSE)</f>
        <v/>
      </c>
      <c r="C39">
        <f>IFERROR(VLOOKUP(A39,observations_series_id_PCU22112222112243_api_key_ecc133893ea92a842ee685c73424608[],2,FALSE),"")</f>
        <v>17.899999999999999</v>
      </c>
      <c r="D39" s="2">
        <f>IFERROR(VLOOKUP(A39,observations_series_id_PCU22112222112243_api_key_ecc133893ea92a842ee685c73424608[],3,FALSE),"")</f>
        <v>2.7932960893854775E-2</v>
      </c>
      <c r="E39" t="str">
        <f>IFERROR(VLOOKUP($A39,observations_series_id_WPU0613020T_api_key_ecc133893ea92a842ee685c734246086_file[],2,FALSE),"")</f>
        <v/>
      </c>
      <c r="F39" s="2" t="str">
        <f>IFERROR(VLOOKUP($A39,observations_series_id_WPU0613020T_api_key_ecc133893ea92a842ee685c734246086_file[],3,FALSE),"")</f>
        <v/>
      </c>
      <c r="G39" t="str">
        <f>IFERROR(VLOOKUP($A39,observations_series_id_PCU22122212_api_key_ecc133893ea92a842ee685c734246086_file[],2,FALSE),"")</f>
        <v/>
      </c>
      <c r="H39" s="2" t="str">
        <f>IFERROR(VLOOKUP($A39,observations_series_id_PCU22122212_api_key_ecc133893ea92a842ee685c734246086_file[],3,FALSE),"")</f>
        <v/>
      </c>
      <c r="I39" t="str">
        <f>IFERROR(VLOOKUP($A39,observations_series_id_PCU3241913241910_api_key_ecc133893ea92a842ee685c734246086[],2,FALSE),"")</f>
        <v/>
      </c>
      <c r="J39" s="2" t="str">
        <f>IFERROR(VLOOKUP($A39,observations_series_id_PCU3241913241910_api_key_ecc133893ea92a842ee685c734246086[],3,FALSE),"")</f>
        <v/>
      </c>
      <c r="K39" t="str">
        <f>IFERROR(VLOOKUP($A39,observations_series_id_EXJPUS_api_key_ecc133893ea92a842ee685c734246086_file_type[],2,FALSE),"")</f>
        <v/>
      </c>
      <c r="L39" s="2" t="str">
        <f>IFERROR(VLOOKUP($A39,observations_series_id_EXJPUS_api_key_ecc133893ea92a842ee685c734246086_file_type[],3,FALSE),"")</f>
        <v/>
      </c>
      <c r="M39" t="str">
        <f>IFERROR(AVERAGEIFS(timeseries_access_key_fqeas14oitk235763mntlb1c0brnk9w3fenzqbk313q5kvxyf52kukw1pa[Value.LME-ZNC],timeseries_access_key_fqeas14oitk235763mntlb1c0brnk9w3fenzqbk313q5kvxyf52kukw1pa[Month],MONTH(Data!$A39),timeseries_access_key_fqeas14oitk235763mntlb1c0brnk9w3fenzqbk313q5kvxyf52kukw1pa[Year],YEAR(Data!$A39)),"")</f>
        <v/>
      </c>
      <c r="N39" s="2" t="str">
        <f>IFERROR(AVERAGEIFS(timeseries_access_key_fqeas14oitk235763mntlb1c0brnk9w3fenzqbk313q5kvxyf52kukw1pa[Column1],timeseries_access_key_fqeas14oitk235763mntlb1c0brnk9w3fenzqbk313q5kvxyf52kukw1pa[Month],MONTH(Data!$A39),timeseries_access_key_fqeas14oitk235763mntlb1c0brnk9w3fenzqbk313q5kvxyf52kukw1pa[Year],YEAR(Data!$A39)),"")</f>
        <v/>
      </c>
      <c r="O39" s="8" t="str">
        <f>IFERROR(VLOOKUP($A39,Text_1_2[[Text.1.1.3]:[Text.1.3]],2,FALSE),"")</f>
        <v/>
      </c>
      <c r="P39" s="2"/>
    </row>
    <row r="40" spans="1:16" x14ac:dyDescent="0.25">
      <c r="A40" s="1">
        <v>22341</v>
      </c>
      <c r="B40" t="str">
        <f>HLOOKUP(Dashboard!$I$27,results,ROW(A40),FALSE)</f>
        <v/>
      </c>
      <c r="C40">
        <f>IFERROR(VLOOKUP(A40,observations_series_id_PCU22112222112243_api_key_ecc133893ea92a842ee685c73424608[],2,FALSE),"")</f>
        <v>17.899999999999999</v>
      </c>
      <c r="D40" s="2">
        <f>IFERROR(VLOOKUP(A40,observations_series_id_PCU22112222112243_api_key_ecc133893ea92a842ee685c73424608[],3,FALSE),"")</f>
        <v>2.7932960893854775E-2</v>
      </c>
      <c r="E40" t="str">
        <f>IFERROR(VLOOKUP($A40,observations_series_id_WPU0613020T_api_key_ecc133893ea92a842ee685c734246086_file[],2,FALSE),"")</f>
        <v/>
      </c>
      <c r="F40" s="2" t="str">
        <f>IFERROR(VLOOKUP($A40,observations_series_id_WPU0613020T_api_key_ecc133893ea92a842ee685c734246086_file[],3,FALSE),"")</f>
        <v/>
      </c>
      <c r="G40" t="str">
        <f>IFERROR(VLOOKUP($A40,observations_series_id_PCU22122212_api_key_ecc133893ea92a842ee685c734246086_file[],2,FALSE),"")</f>
        <v/>
      </c>
      <c r="H40" s="2" t="str">
        <f>IFERROR(VLOOKUP($A40,observations_series_id_PCU22122212_api_key_ecc133893ea92a842ee685c734246086_file[],3,FALSE),"")</f>
        <v/>
      </c>
      <c r="I40" t="str">
        <f>IFERROR(VLOOKUP($A40,observations_series_id_PCU3241913241910_api_key_ecc133893ea92a842ee685c734246086[],2,FALSE),"")</f>
        <v/>
      </c>
      <c r="J40" s="2" t="str">
        <f>IFERROR(VLOOKUP($A40,observations_series_id_PCU3241913241910_api_key_ecc133893ea92a842ee685c734246086[],3,FALSE),"")</f>
        <v/>
      </c>
      <c r="K40" t="str">
        <f>IFERROR(VLOOKUP($A40,observations_series_id_EXJPUS_api_key_ecc133893ea92a842ee685c734246086_file_type[],2,FALSE),"")</f>
        <v/>
      </c>
      <c r="L40" s="2" t="str">
        <f>IFERROR(VLOOKUP($A40,observations_series_id_EXJPUS_api_key_ecc133893ea92a842ee685c734246086_file_type[],3,FALSE),"")</f>
        <v/>
      </c>
      <c r="M40" t="str">
        <f>IFERROR(AVERAGEIFS(timeseries_access_key_fqeas14oitk235763mntlb1c0brnk9w3fenzqbk313q5kvxyf52kukw1pa[Value.LME-ZNC],timeseries_access_key_fqeas14oitk235763mntlb1c0brnk9w3fenzqbk313q5kvxyf52kukw1pa[Month],MONTH(Data!$A40),timeseries_access_key_fqeas14oitk235763mntlb1c0brnk9w3fenzqbk313q5kvxyf52kukw1pa[Year],YEAR(Data!$A40)),"")</f>
        <v/>
      </c>
      <c r="N40" s="2" t="str">
        <f>IFERROR(AVERAGEIFS(timeseries_access_key_fqeas14oitk235763mntlb1c0brnk9w3fenzqbk313q5kvxyf52kukw1pa[Column1],timeseries_access_key_fqeas14oitk235763mntlb1c0brnk9w3fenzqbk313q5kvxyf52kukw1pa[Month],MONTH(Data!$A40),timeseries_access_key_fqeas14oitk235763mntlb1c0brnk9w3fenzqbk313q5kvxyf52kukw1pa[Year],YEAR(Data!$A40)),"")</f>
        <v/>
      </c>
      <c r="O40" s="8" t="str">
        <f>IFERROR(VLOOKUP($A40,Text_1_2[[Text.1.1.3]:[Text.1.3]],2,FALSE),"")</f>
        <v/>
      </c>
      <c r="P40" s="2"/>
    </row>
    <row r="41" spans="1:16" x14ac:dyDescent="0.25">
      <c r="A41" s="1">
        <v>22372</v>
      </c>
      <c r="B41" t="str">
        <f>HLOOKUP(Dashboard!$I$27,results,ROW(A41),FALSE)</f>
        <v/>
      </c>
      <c r="C41">
        <f>IFERROR(VLOOKUP(A41,observations_series_id_PCU22112222112243_api_key_ecc133893ea92a842ee685c73424608[],2,FALSE),"")</f>
        <v>17.899999999999999</v>
      </c>
      <c r="D41" s="2">
        <f>IFERROR(VLOOKUP(A41,observations_series_id_PCU22112222112243_api_key_ecc133893ea92a842ee685c73424608[],3,FALSE),"")</f>
        <v>2.7932960893854775E-2</v>
      </c>
      <c r="E41" t="str">
        <f>IFERROR(VLOOKUP($A41,observations_series_id_WPU0613020T_api_key_ecc133893ea92a842ee685c734246086_file[],2,FALSE),"")</f>
        <v/>
      </c>
      <c r="F41" s="2" t="str">
        <f>IFERROR(VLOOKUP($A41,observations_series_id_WPU0613020T_api_key_ecc133893ea92a842ee685c734246086_file[],3,FALSE),"")</f>
        <v/>
      </c>
      <c r="G41" t="str">
        <f>IFERROR(VLOOKUP($A41,observations_series_id_PCU22122212_api_key_ecc133893ea92a842ee685c734246086_file[],2,FALSE),"")</f>
        <v/>
      </c>
      <c r="H41" s="2" t="str">
        <f>IFERROR(VLOOKUP($A41,observations_series_id_PCU22122212_api_key_ecc133893ea92a842ee685c734246086_file[],3,FALSE),"")</f>
        <v/>
      </c>
      <c r="I41" t="str">
        <f>IFERROR(VLOOKUP($A41,observations_series_id_PCU3241913241910_api_key_ecc133893ea92a842ee685c734246086[],2,FALSE),"")</f>
        <v/>
      </c>
      <c r="J41" s="2" t="str">
        <f>IFERROR(VLOOKUP($A41,observations_series_id_PCU3241913241910_api_key_ecc133893ea92a842ee685c734246086[],3,FALSE),"")</f>
        <v/>
      </c>
      <c r="K41" t="str">
        <f>IFERROR(VLOOKUP($A41,observations_series_id_EXJPUS_api_key_ecc133893ea92a842ee685c734246086_file_type[],2,FALSE),"")</f>
        <v/>
      </c>
      <c r="L41" s="2" t="str">
        <f>IFERROR(VLOOKUP($A41,observations_series_id_EXJPUS_api_key_ecc133893ea92a842ee685c734246086_file_type[],3,FALSE),"")</f>
        <v/>
      </c>
      <c r="M41" t="str">
        <f>IFERROR(AVERAGEIFS(timeseries_access_key_fqeas14oitk235763mntlb1c0brnk9w3fenzqbk313q5kvxyf52kukw1pa[Value.LME-ZNC],timeseries_access_key_fqeas14oitk235763mntlb1c0brnk9w3fenzqbk313q5kvxyf52kukw1pa[Month],MONTH(Data!$A41),timeseries_access_key_fqeas14oitk235763mntlb1c0brnk9w3fenzqbk313q5kvxyf52kukw1pa[Year],YEAR(Data!$A41)),"")</f>
        <v/>
      </c>
      <c r="N41" s="2" t="str">
        <f>IFERROR(AVERAGEIFS(timeseries_access_key_fqeas14oitk235763mntlb1c0brnk9w3fenzqbk313q5kvxyf52kukw1pa[Column1],timeseries_access_key_fqeas14oitk235763mntlb1c0brnk9w3fenzqbk313q5kvxyf52kukw1pa[Month],MONTH(Data!$A41),timeseries_access_key_fqeas14oitk235763mntlb1c0brnk9w3fenzqbk313q5kvxyf52kukw1pa[Year],YEAR(Data!$A41)),"")</f>
        <v/>
      </c>
      <c r="O41" s="8" t="str">
        <f>IFERROR(VLOOKUP($A41,Text_1_2[[Text.1.1.3]:[Text.1.3]],2,FALSE),"")</f>
        <v/>
      </c>
      <c r="P41" s="2"/>
    </row>
    <row r="42" spans="1:16" x14ac:dyDescent="0.25">
      <c r="A42" s="1">
        <v>22402</v>
      </c>
      <c r="B42" t="str">
        <f>HLOOKUP(Dashboard!$I$27,results,ROW(A42),FALSE)</f>
        <v/>
      </c>
      <c r="C42">
        <f>IFERROR(VLOOKUP(A42,observations_series_id_PCU22112222112243_api_key_ecc133893ea92a842ee685c73424608[],2,FALSE),"")</f>
        <v>17.899999999999999</v>
      </c>
      <c r="D42" s="2">
        <f>IFERROR(VLOOKUP(A42,observations_series_id_PCU22112222112243_api_key_ecc133893ea92a842ee685c73424608[],3,FALSE),"")</f>
        <v>2.7932960893854775E-2</v>
      </c>
      <c r="E42" t="str">
        <f>IFERROR(VLOOKUP($A42,observations_series_id_WPU0613020T_api_key_ecc133893ea92a842ee685c734246086_file[],2,FALSE),"")</f>
        <v/>
      </c>
      <c r="F42" s="2" t="str">
        <f>IFERROR(VLOOKUP($A42,observations_series_id_WPU0613020T_api_key_ecc133893ea92a842ee685c734246086_file[],3,FALSE),"")</f>
        <v/>
      </c>
      <c r="G42" t="str">
        <f>IFERROR(VLOOKUP($A42,observations_series_id_PCU22122212_api_key_ecc133893ea92a842ee685c734246086_file[],2,FALSE),"")</f>
        <v/>
      </c>
      <c r="H42" s="2" t="str">
        <f>IFERROR(VLOOKUP($A42,observations_series_id_PCU22122212_api_key_ecc133893ea92a842ee685c734246086_file[],3,FALSE),"")</f>
        <v/>
      </c>
      <c r="I42" t="str">
        <f>IFERROR(VLOOKUP($A42,observations_series_id_PCU3241913241910_api_key_ecc133893ea92a842ee685c734246086[],2,FALSE),"")</f>
        <v/>
      </c>
      <c r="J42" s="2" t="str">
        <f>IFERROR(VLOOKUP($A42,observations_series_id_PCU3241913241910_api_key_ecc133893ea92a842ee685c734246086[],3,FALSE),"")</f>
        <v/>
      </c>
      <c r="K42" t="str">
        <f>IFERROR(VLOOKUP($A42,observations_series_id_EXJPUS_api_key_ecc133893ea92a842ee685c734246086_file_type[],2,FALSE),"")</f>
        <v/>
      </c>
      <c r="L42" s="2" t="str">
        <f>IFERROR(VLOOKUP($A42,observations_series_id_EXJPUS_api_key_ecc133893ea92a842ee685c734246086_file_type[],3,FALSE),"")</f>
        <v/>
      </c>
      <c r="M42" t="str">
        <f>IFERROR(AVERAGEIFS(timeseries_access_key_fqeas14oitk235763mntlb1c0brnk9w3fenzqbk313q5kvxyf52kukw1pa[Value.LME-ZNC],timeseries_access_key_fqeas14oitk235763mntlb1c0brnk9w3fenzqbk313q5kvxyf52kukw1pa[Month],MONTH(Data!$A42),timeseries_access_key_fqeas14oitk235763mntlb1c0brnk9w3fenzqbk313q5kvxyf52kukw1pa[Year],YEAR(Data!$A42)),"")</f>
        <v/>
      </c>
      <c r="N42" s="2" t="str">
        <f>IFERROR(AVERAGEIFS(timeseries_access_key_fqeas14oitk235763mntlb1c0brnk9w3fenzqbk313q5kvxyf52kukw1pa[Column1],timeseries_access_key_fqeas14oitk235763mntlb1c0brnk9w3fenzqbk313q5kvxyf52kukw1pa[Month],MONTH(Data!$A42),timeseries_access_key_fqeas14oitk235763mntlb1c0brnk9w3fenzqbk313q5kvxyf52kukw1pa[Year],YEAR(Data!$A42)),"")</f>
        <v/>
      </c>
      <c r="O42" s="8" t="str">
        <f>IFERROR(VLOOKUP($A42,Text_1_2[[Text.1.1.3]:[Text.1.3]],2,FALSE),"")</f>
        <v/>
      </c>
      <c r="P42" s="2"/>
    </row>
    <row r="43" spans="1:16" x14ac:dyDescent="0.25">
      <c r="A43" s="1">
        <v>22433</v>
      </c>
      <c r="B43" t="str">
        <f>HLOOKUP(Dashboard!$I$27,results,ROW(A43),FALSE)</f>
        <v/>
      </c>
      <c r="C43">
        <f>IFERROR(VLOOKUP(A43,observations_series_id_PCU22112222112243_api_key_ecc133893ea92a842ee685c73424608[],2,FALSE),"")</f>
        <v>17.899999999999999</v>
      </c>
      <c r="D43" s="2">
        <f>IFERROR(VLOOKUP(A43,observations_series_id_PCU22112222112243_api_key_ecc133893ea92a842ee685c73424608[],3,FALSE),"")</f>
        <v>2.7932960893854775E-2</v>
      </c>
      <c r="E43" t="str">
        <f>IFERROR(VLOOKUP($A43,observations_series_id_WPU0613020T_api_key_ecc133893ea92a842ee685c734246086_file[],2,FALSE),"")</f>
        <v/>
      </c>
      <c r="F43" s="2" t="str">
        <f>IFERROR(VLOOKUP($A43,observations_series_id_WPU0613020T_api_key_ecc133893ea92a842ee685c734246086_file[],3,FALSE),"")</f>
        <v/>
      </c>
      <c r="G43" t="str">
        <f>IFERROR(VLOOKUP($A43,observations_series_id_PCU22122212_api_key_ecc133893ea92a842ee685c734246086_file[],2,FALSE),"")</f>
        <v/>
      </c>
      <c r="H43" s="2" t="str">
        <f>IFERROR(VLOOKUP($A43,observations_series_id_PCU22122212_api_key_ecc133893ea92a842ee685c734246086_file[],3,FALSE),"")</f>
        <v/>
      </c>
      <c r="I43" t="str">
        <f>IFERROR(VLOOKUP($A43,observations_series_id_PCU3241913241910_api_key_ecc133893ea92a842ee685c734246086[],2,FALSE),"")</f>
        <v/>
      </c>
      <c r="J43" s="2" t="str">
        <f>IFERROR(VLOOKUP($A43,observations_series_id_PCU3241913241910_api_key_ecc133893ea92a842ee685c734246086[],3,FALSE),"")</f>
        <v/>
      </c>
      <c r="K43" t="str">
        <f>IFERROR(VLOOKUP($A43,observations_series_id_EXJPUS_api_key_ecc133893ea92a842ee685c734246086_file_type[],2,FALSE),"")</f>
        <v/>
      </c>
      <c r="L43" s="2" t="str">
        <f>IFERROR(VLOOKUP($A43,observations_series_id_EXJPUS_api_key_ecc133893ea92a842ee685c734246086_file_type[],3,FALSE),"")</f>
        <v/>
      </c>
      <c r="M43" t="str">
        <f>IFERROR(AVERAGEIFS(timeseries_access_key_fqeas14oitk235763mntlb1c0brnk9w3fenzqbk313q5kvxyf52kukw1pa[Value.LME-ZNC],timeseries_access_key_fqeas14oitk235763mntlb1c0brnk9w3fenzqbk313q5kvxyf52kukw1pa[Month],MONTH(Data!$A43),timeseries_access_key_fqeas14oitk235763mntlb1c0brnk9w3fenzqbk313q5kvxyf52kukw1pa[Year],YEAR(Data!$A43)),"")</f>
        <v/>
      </c>
      <c r="N43" s="2" t="str">
        <f>IFERROR(AVERAGEIFS(timeseries_access_key_fqeas14oitk235763mntlb1c0brnk9w3fenzqbk313q5kvxyf52kukw1pa[Column1],timeseries_access_key_fqeas14oitk235763mntlb1c0brnk9w3fenzqbk313q5kvxyf52kukw1pa[Month],MONTH(Data!$A43),timeseries_access_key_fqeas14oitk235763mntlb1c0brnk9w3fenzqbk313q5kvxyf52kukw1pa[Year],YEAR(Data!$A43)),"")</f>
        <v/>
      </c>
      <c r="O43" s="8" t="str">
        <f>IFERROR(VLOOKUP($A43,Text_1_2[[Text.1.1.3]:[Text.1.3]],2,FALSE),"")</f>
        <v/>
      </c>
      <c r="P43" s="2"/>
    </row>
    <row r="44" spans="1:16" x14ac:dyDescent="0.25">
      <c r="A44" s="1">
        <v>22463</v>
      </c>
      <c r="B44" t="str">
        <f>HLOOKUP(Dashboard!$I$27,results,ROW(A44),FALSE)</f>
        <v/>
      </c>
      <c r="C44">
        <f>IFERROR(VLOOKUP(A44,observations_series_id_PCU22112222112243_api_key_ecc133893ea92a842ee685c73424608[],2,FALSE),"")</f>
        <v>17.899999999999999</v>
      </c>
      <c r="D44" s="2">
        <f>IFERROR(VLOOKUP(A44,observations_series_id_PCU22112222112243_api_key_ecc133893ea92a842ee685c73424608[],3,FALSE),"")</f>
        <v>2.7932960893854775E-2</v>
      </c>
      <c r="E44" t="str">
        <f>IFERROR(VLOOKUP($A44,observations_series_id_WPU0613020T_api_key_ecc133893ea92a842ee685c734246086_file[],2,FALSE),"")</f>
        <v/>
      </c>
      <c r="F44" s="2" t="str">
        <f>IFERROR(VLOOKUP($A44,observations_series_id_WPU0613020T_api_key_ecc133893ea92a842ee685c734246086_file[],3,FALSE),"")</f>
        <v/>
      </c>
      <c r="G44" t="str">
        <f>IFERROR(VLOOKUP($A44,observations_series_id_PCU22122212_api_key_ecc133893ea92a842ee685c734246086_file[],2,FALSE),"")</f>
        <v/>
      </c>
      <c r="H44" s="2" t="str">
        <f>IFERROR(VLOOKUP($A44,observations_series_id_PCU22122212_api_key_ecc133893ea92a842ee685c734246086_file[],3,FALSE),"")</f>
        <v/>
      </c>
      <c r="I44" t="str">
        <f>IFERROR(VLOOKUP($A44,observations_series_id_PCU3241913241910_api_key_ecc133893ea92a842ee685c734246086[],2,FALSE),"")</f>
        <v/>
      </c>
      <c r="J44" s="2" t="str">
        <f>IFERROR(VLOOKUP($A44,observations_series_id_PCU3241913241910_api_key_ecc133893ea92a842ee685c734246086[],3,FALSE),"")</f>
        <v/>
      </c>
      <c r="K44" t="str">
        <f>IFERROR(VLOOKUP($A44,observations_series_id_EXJPUS_api_key_ecc133893ea92a842ee685c734246086_file_type[],2,FALSE),"")</f>
        <v/>
      </c>
      <c r="L44" s="2" t="str">
        <f>IFERROR(VLOOKUP($A44,observations_series_id_EXJPUS_api_key_ecc133893ea92a842ee685c734246086_file_type[],3,FALSE),"")</f>
        <v/>
      </c>
      <c r="M44" t="str">
        <f>IFERROR(AVERAGEIFS(timeseries_access_key_fqeas14oitk235763mntlb1c0brnk9w3fenzqbk313q5kvxyf52kukw1pa[Value.LME-ZNC],timeseries_access_key_fqeas14oitk235763mntlb1c0brnk9w3fenzqbk313q5kvxyf52kukw1pa[Month],MONTH(Data!$A44),timeseries_access_key_fqeas14oitk235763mntlb1c0brnk9w3fenzqbk313q5kvxyf52kukw1pa[Year],YEAR(Data!$A44)),"")</f>
        <v/>
      </c>
      <c r="N44" s="2" t="str">
        <f>IFERROR(AVERAGEIFS(timeseries_access_key_fqeas14oitk235763mntlb1c0brnk9w3fenzqbk313q5kvxyf52kukw1pa[Column1],timeseries_access_key_fqeas14oitk235763mntlb1c0brnk9w3fenzqbk313q5kvxyf52kukw1pa[Month],MONTH(Data!$A44),timeseries_access_key_fqeas14oitk235763mntlb1c0brnk9w3fenzqbk313q5kvxyf52kukw1pa[Year],YEAR(Data!$A44)),"")</f>
        <v/>
      </c>
      <c r="O44" s="8" t="str">
        <f>IFERROR(VLOOKUP($A44,Text_1_2[[Text.1.1.3]:[Text.1.3]],2,FALSE),"")</f>
        <v/>
      </c>
      <c r="P44" s="2"/>
    </row>
    <row r="45" spans="1:16" x14ac:dyDescent="0.25">
      <c r="A45" s="1">
        <v>22494</v>
      </c>
      <c r="B45" t="str">
        <f>HLOOKUP(Dashboard!$I$27,results,ROW(A45),FALSE)</f>
        <v/>
      </c>
      <c r="C45">
        <f>IFERROR(VLOOKUP(A45,observations_series_id_PCU22112222112243_api_key_ecc133893ea92a842ee685c73424608[],2,FALSE),"")</f>
        <v>17.899999999999999</v>
      </c>
      <c r="D45" s="2">
        <f>IFERROR(VLOOKUP(A45,observations_series_id_PCU22112222112243_api_key_ecc133893ea92a842ee685c73424608[],3,FALSE),"")</f>
        <v>2.7932960893854775E-2</v>
      </c>
      <c r="E45" t="str">
        <f>IFERROR(VLOOKUP($A45,observations_series_id_WPU0613020T_api_key_ecc133893ea92a842ee685c734246086_file[],2,FALSE),"")</f>
        <v/>
      </c>
      <c r="F45" s="2" t="str">
        <f>IFERROR(VLOOKUP($A45,observations_series_id_WPU0613020T_api_key_ecc133893ea92a842ee685c734246086_file[],3,FALSE),"")</f>
        <v/>
      </c>
      <c r="G45" t="str">
        <f>IFERROR(VLOOKUP($A45,observations_series_id_PCU22122212_api_key_ecc133893ea92a842ee685c734246086_file[],2,FALSE),"")</f>
        <v/>
      </c>
      <c r="H45" s="2" t="str">
        <f>IFERROR(VLOOKUP($A45,observations_series_id_PCU22122212_api_key_ecc133893ea92a842ee685c734246086_file[],3,FALSE),"")</f>
        <v/>
      </c>
      <c r="I45" t="str">
        <f>IFERROR(VLOOKUP($A45,observations_series_id_PCU3241913241910_api_key_ecc133893ea92a842ee685c734246086[],2,FALSE),"")</f>
        <v/>
      </c>
      <c r="J45" s="2" t="str">
        <f>IFERROR(VLOOKUP($A45,observations_series_id_PCU3241913241910_api_key_ecc133893ea92a842ee685c734246086[],3,FALSE),"")</f>
        <v/>
      </c>
      <c r="K45" t="str">
        <f>IFERROR(VLOOKUP($A45,observations_series_id_EXJPUS_api_key_ecc133893ea92a842ee685c734246086_file_type[],2,FALSE),"")</f>
        <v/>
      </c>
      <c r="L45" s="2" t="str">
        <f>IFERROR(VLOOKUP($A45,observations_series_id_EXJPUS_api_key_ecc133893ea92a842ee685c734246086_file_type[],3,FALSE),"")</f>
        <v/>
      </c>
      <c r="M45" t="str">
        <f>IFERROR(AVERAGEIFS(timeseries_access_key_fqeas14oitk235763mntlb1c0brnk9w3fenzqbk313q5kvxyf52kukw1pa[Value.LME-ZNC],timeseries_access_key_fqeas14oitk235763mntlb1c0brnk9w3fenzqbk313q5kvxyf52kukw1pa[Month],MONTH(Data!$A45),timeseries_access_key_fqeas14oitk235763mntlb1c0brnk9w3fenzqbk313q5kvxyf52kukw1pa[Year],YEAR(Data!$A45)),"")</f>
        <v/>
      </c>
      <c r="N45" s="2" t="str">
        <f>IFERROR(AVERAGEIFS(timeseries_access_key_fqeas14oitk235763mntlb1c0brnk9w3fenzqbk313q5kvxyf52kukw1pa[Column1],timeseries_access_key_fqeas14oitk235763mntlb1c0brnk9w3fenzqbk313q5kvxyf52kukw1pa[Month],MONTH(Data!$A45),timeseries_access_key_fqeas14oitk235763mntlb1c0brnk9w3fenzqbk313q5kvxyf52kukw1pa[Year],YEAR(Data!$A45)),"")</f>
        <v/>
      </c>
      <c r="O45" s="8" t="str">
        <f>IFERROR(VLOOKUP($A45,Text_1_2[[Text.1.1.3]:[Text.1.3]],2,FALSE),"")</f>
        <v/>
      </c>
      <c r="P45" s="2"/>
    </row>
    <row r="46" spans="1:16" x14ac:dyDescent="0.25">
      <c r="A46" s="1">
        <v>22525</v>
      </c>
      <c r="B46" t="str">
        <f>HLOOKUP(Dashboard!$I$27,results,ROW(A46),FALSE)</f>
        <v/>
      </c>
      <c r="C46">
        <f>IFERROR(VLOOKUP(A46,observations_series_id_PCU22112222112243_api_key_ecc133893ea92a842ee685c73424608[],2,FALSE),"")</f>
        <v>17.899999999999999</v>
      </c>
      <c r="D46" s="2">
        <f>IFERROR(VLOOKUP(A46,observations_series_id_PCU22112222112243_api_key_ecc133893ea92a842ee685c73424608[],3,FALSE),"")</f>
        <v>2.7932960893854775E-2</v>
      </c>
      <c r="E46" t="str">
        <f>IFERROR(VLOOKUP($A46,observations_series_id_WPU0613020T_api_key_ecc133893ea92a842ee685c734246086_file[],2,FALSE),"")</f>
        <v/>
      </c>
      <c r="F46" s="2" t="str">
        <f>IFERROR(VLOOKUP($A46,observations_series_id_WPU0613020T_api_key_ecc133893ea92a842ee685c734246086_file[],3,FALSE),"")</f>
        <v/>
      </c>
      <c r="G46" t="str">
        <f>IFERROR(VLOOKUP($A46,observations_series_id_PCU22122212_api_key_ecc133893ea92a842ee685c734246086_file[],2,FALSE),"")</f>
        <v/>
      </c>
      <c r="H46" s="2" t="str">
        <f>IFERROR(VLOOKUP($A46,observations_series_id_PCU22122212_api_key_ecc133893ea92a842ee685c734246086_file[],3,FALSE),"")</f>
        <v/>
      </c>
      <c r="I46" t="str">
        <f>IFERROR(VLOOKUP($A46,observations_series_id_PCU3241913241910_api_key_ecc133893ea92a842ee685c734246086[],2,FALSE),"")</f>
        <v/>
      </c>
      <c r="J46" s="2" t="str">
        <f>IFERROR(VLOOKUP($A46,observations_series_id_PCU3241913241910_api_key_ecc133893ea92a842ee685c734246086[],3,FALSE),"")</f>
        <v/>
      </c>
      <c r="K46" t="str">
        <f>IFERROR(VLOOKUP($A46,observations_series_id_EXJPUS_api_key_ecc133893ea92a842ee685c734246086_file_type[],2,FALSE),"")</f>
        <v/>
      </c>
      <c r="L46" s="2" t="str">
        <f>IFERROR(VLOOKUP($A46,observations_series_id_EXJPUS_api_key_ecc133893ea92a842ee685c734246086_file_type[],3,FALSE),"")</f>
        <v/>
      </c>
      <c r="M46" t="str">
        <f>IFERROR(AVERAGEIFS(timeseries_access_key_fqeas14oitk235763mntlb1c0brnk9w3fenzqbk313q5kvxyf52kukw1pa[Value.LME-ZNC],timeseries_access_key_fqeas14oitk235763mntlb1c0brnk9w3fenzqbk313q5kvxyf52kukw1pa[Month],MONTH(Data!$A46),timeseries_access_key_fqeas14oitk235763mntlb1c0brnk9w3fenzqbk313q5kvxyf52kukw1pa[Year],YEAR(Data!$A46)),"")</f>
        <v/>
      </c>
      <c r="N46" s="2" t="str">
        <f>IFERROR(AVERAGEIFS(timeseries_access_key_fqeas14oitk235763mntlb1c0brnk9w3fenzqbk313q5kvxyf52kukw1pa[Column1],timeseries_access_key_fqeas14oitk235763mntlb1c0brnk9w3fenzqbk313q5kvxyf52kukw1pa[Month],MONTH(Data!$A46),timeseries_access_key_fqeas14oitk235763mntlb1c0brnk9w3fenzqbk313q5kvxyf52kukw1pa[Year],YEAR(Data!$A46)),"")</f>
        <v/>
      </c>
      <c r="O46" s="8" t="str">
        <f>IFERROR(VLOOKUP($A46,Text_1_2[[Text.1.1.3]:[Text.1.3]],2,FALSE),"")</f>
        <v/>
      </c>
      <c r="P46" s="2"/>
    </row>
    <row r="47" spans="1:16" x14ac:dyDescent="0.25">
      <c r="A47" s="1">
        <v>22555</v>
      </c>
      <c r="B47" t="str">
        <f>HLOOKUP(Dashboard!$I$27,results,ROW(A47),FALSE)</f>
        <v/>
      </c>
      <c r="C47">
        <f>IFERROR(VLOOKUP(A47,observations_series_id_PCU22112222112243_api_key_ecc133893ea92a842ee685c73424608[],2,FALSE),"")</f>
        <v>17.899999999999999</v>
      </c>
      <c r="D47" s="2">
        <f>IFERROR(VLOOKUP(A47,observations_series_id_PCU22112222112243_api_key_ecc133893ea92a842ee685c73424608[],3,FALSE),"")</f>
        <v>2.7932960893854775E-2</v>
      </c>
      <c r="E47" t="str">
        <f>IFERROR(VLOOKUP($A47,observations_series_id_WPU0613020T_api_key_ecc133893ea92a842ee685c734246086_file[],2,FALSE),"")</f>
        <v/>
      </c>
      <c r="F47" s="2" t="str">
        <f>IFERROR(VLOOKUP($A47,observations_series_id_WPU0613020T_api_key_ecc133893ea92a842ee685c734246086_file[],3,FALSE),"")</f>
        <v/>
      </c>
      <c r="G47" t="str">
        <f>IFERROR(VLOOKUP($A47,observations_series_id_PCU22122212_api_key_ecc133893ea92a842ee685c734246086_file[],2,FALSE),"")</f>
        <v/>
      </c>
      <c r="H47" s="2" t="str">
        <f>IFERROR(VLOOKUP($A47,observations_series_id_PCU22122212_api_key_ecc133893ea92a842ee685c734246086_file[],3,FALSE),"")</f>
        <v/>
      </c>
      <c r="I47" t="str">
        <f>IFERROR(VLOOKUP($A47,observations_series_id_PCU3241913241910_api_key_ecc133893ea92a842ee685c734246086[],2,FALSE),"")</f>
        <v/>
      </c>
      <c r="J47" s="2" t="str">
        <f>IFERROR(VLOOKUP($A47,observations_series_id_PCU3241913241910_api_key_ecc133893ea92a842ee685c734246086[],3,FALSE),"")</f>
        <v/>
      </c>
      <c r="K47" t="str">
        <f>IFERROR(VLOOKUP($A47,observations_series_id_EXJPUS_api_key_ecc133893ea92a842ee685c734246086_file_type[],2,FALSE),"")</f>
        <v/>
      </c>
      <c r="L47" s="2" t="str">
        <f>IFERROR(VLOOKUP($A47,observations_series_id_EXJPUS_api_key_ecc133893ea92a842ee685c734246086_file_type[],3,FALSE),"")</f>
        <v/>
      </c>
      <c r="M47" t="str">
        <f>IFERROR(AVERAGEIFS(timeseries_access_key_fqeas14oitk235763mntlb1c0brnk9w3fenzqbk313q5kvxyf52kukw1pa[Value.LME-ZNC],timeseries_access_key_fqeas14oitk235763mntlb1c0brnk9w3fenzqbk313q5kvxyf52kukw1pa[Month],MONTH(Data!$A47),timeseries_access_key_fqeas14oitk235763mntlb1c0brnk9w3fenzqbk313q5kvxyf52kukw1pa[Year],YEAR(Data!$A47)),"")</f>
        <v/>
      </c>
      <c r="N47" s="2" t="str">
        <f>IFERROR(AVERAGEIFS(timeseries_access_key_fqeas14oitk235763mntlb1c0brnk9w3fenzqbk313q5kvxyf52kukw1pa[Column1],timeseries_access_key_fqeas14oitk235763mntlb1c0brnk9w3fenzqbk313q5kvxyf52kukw1pa[Month],MONTH(Data!$A47),timeseries_access_key_fqeas14oitk235763mntlb1c0brnk9w3fenzqbk313q5kvxyf52kukw1pa[Year],YEAR(Data!$A47)),"")</f>
        <v/>
      </c>
      <c r="O47" s="8" t="str">
        <f>IFERROR(VLOOKUP($A47,Text_1_2[[Text.1.1.3]:[Text.1.3]],2,FALSE),"")</f>
        <v/>
      </c>
      <c r="P47" s="2"/>
    </row>
    <row r="48" spans="1:16" x14ac:dyDescent="0.25">
      <c r="A48" s="1">
        <v>22586</v>
      </c>
      <c r="B48" t="str">
        <f>HLOOKUP(Dashboard!$I$27,results,ROW(A48),FALSE)</f>
        <v/>
      </c>
      <c r="C48">
        <f>IFERROR(VLOOKUP(A48,observations_series_id_PCU22112222112243_api_key_ecc133893ea92a842ee685c73424608[],2,FALSE),"")</f>
        <v>17.899999999999999</v>
      </c>
      <c r="D48" s="2">
        <f>IFERROR(VLOOKUP(A48,observations_series_id_PCU22112222112243_api_key_ecc133893ea92a842ee685c73424608[],3,FALSE),"")</f>
        <v>2.7932960893854775E-2</v>
      </c>
      <c r="E48" t="str">
        <f>IFERROR(VLOOKUP($A48,observations_series_id_WPU0613020T_api_key_ecc133893ea92a842ee685c734246086_file[],2,FALSE),"")</f>
        <v/>
      </c>
      <c r="F48" s="2" t="str">
        <f>IFERROR(VLOOKUP($A48,observations_series_id_WPU0613020T_api_key_ecc133893ea92a842ee685c734246086_file[],3,FALSE),"")</f>
        <v/>
      </c>
      <c r="G48" t="str">
        <f>IFERROR(VLOOKUP($A48,observations_series_id_PCU22122212_api_key_ecc133893ea92a842ee685c734246086_file[],2,FALSE),"")</f>
        <v/>
      </c>
      <c r="H48" s="2" t="str">
        <f>IFERROR(VLOOKUP($A48,observations_series_id_PCU22122212_api_key_ecc133893ea92a842ee685c734246086_file[],3,FALSE),"")</f>
        <v/>
      </c>
      <c r="I48" t="str">
        <f>IFERROR(VLOOKUP($A48,observations_series_id_PCU3241913241910_api_key_ecc133893ea92a842ee685c734246086[],2,FALSE),"")</f>
        <v/>
      </c>
      <c r="J48" s="2" t="str">
        <f>IFERROR(VLOOKUP($A48,observations_series_id_PCU3241913241910_api_key_ecc133893ea92a842ee685c734246086[],3,FALSE),"")</f>
        <v/>
      </c>
      <c r="K48" t="str">
        <f>IFERROR(VLOOKUP($A48,observations_series_id_EXJPUS_api_key_ecc133893ea92a842ee685c734246086_file_type[],2,FALSE),"")</f>
        <v/>
      </c>
      <c r="L48" s="2" t="str">
        <f>IFERROR(VLOOKUP($A48,observations_series_id_EXJPUS_api_key_ecc133893ea92a842ee685c734246086_file_type[],3,FALSE),"")</f>
        <v/>
      </c>
      <c r="M48" t="str">
        <f>IFERROR(AVERAGEIFS(timeseries_access_key_fqeas14oitk235763mntlb1c0brnk9w3fenzqbk313q5kvxyf52kukw1pa[Value.LME-ZNC],timeseries_access_key_fqeas14oitk235763mntlb1c0brnk9w3fenzqbk313q5kvxyf52kukw1pa[Month],MONTH(Data!$A48),timeseries_access_key_fqeas14oitk235763mntlb1c0brnk9w3fenzqbk313q5kvxyf52kukw1pa[Year],YEAR(Data!$A48)),"")</f>
        <v/>
      </c>
      <c r="N48" s="2" t="str">
        <f>IFERROR(AVERAGEIFS(timeseries_access_key_fqeas14oitk235763mntlb1c0brnk9w3fenzqbk313q5kvxyf52kukw1pa[Column1],timeseries_access_key_fqeas14oitk235763mntlb1c0brnk9w3fenzqbk313q5kvxyf52kukw1pa[Month],MONTH(Data!$A48),timeseries_access_key_fqeas14oitk235763mntlb1c0brnk9w3fenzqbk313q5kvxyf52kukw1pa[Year],YEAR(Data!$A48)),"")</f>
        <v/>
      </c>
      <c r="O48" s="8" t="str">
        <f>IFERROR(VLOOKUP($A48,Text_1_2[[Text.1.1.3]:[Text.1.3]],2,FALSE),"")</f>
        <v/>
      </c>
      <c r="P48" s="2"/>
    </row>
    <row r="49" spans="1:16" x14ac:dyDescent="0.25">
      <c r="A49" s="1">
        <v>22616</v>
      </c>
      <c r="B49" t="str">
        <f>HLOOKUP(Dashboard!$I$27,results,ROW(A49),FALSE)</f>
        <v/>
      </c>
      <c r="C49">
        <f>IFERROR(VLOOKUP(A49,observations_series_id_PCU22112222112243_api_key_ecc133893ea92a842ee685c73424608[],2,FALSE),"")</f>
        <v>17.899999999999999</v>
      </c>
      <c r="D49" s="2">
        <f>IFERROR(VLOOKUP(A49,observations_series_id_PCU22112222112243_api_key_ecc133893ea92a842ee685c73424608[],3,FALSE),"")</f>
        <v>2.7932960893854775E-2</v>
      </c>
      <c r="E49" t="str">
        <f>IFERROR(VLOOKUP($A49,observations_series_id_WPU0613020T_api_key_ecc133893ea92a842ee685c734246086_file[],2,FALSE),"")</f>
        <v/>
      </c>
      <c r="F49" s="2" t="str">
        <f>IFERROR(VLOOKUP($A49,observations_series_id_WPU0613020T_api_key_ecc133893ea92a842ee685c734246086_file[],3,FALSE),"")</f>
        <v/>
      </c>
      <c r="G49" t="str">
        <f>IFERROR(VLOOKUP($A49,observations_series_id_PCU22122212_api_key_ecc133893ea92a842ee685c734246086_file[],2,FALSE),"")</f>
        <v/>
      </c>
      <c r="H49" s="2" t="str">
        <f>IFERROR(VLOOKUP($A49,observations_series_id_PCU22122212_api_key_ecc133893ea92a842ee685c734246086_file[],3,FALSE),"")</f>
        <v/>
      </c>
      <c r="I49" t="str">
        <f>IFERROR(VLOOKUP($A49,observations_series_id_PCU3241913241910_api_key_ecc133893ea92a842ee685c734246086[],2,FALSE),"")</f>
        <v/>
      </c>
      <c r="J49" s="2" t="str">
        <f>IFERROR(VLOOKUP($A49,observations_series_id_PCU3241913241910_api_key_ecc133893ea92a842ee685c734246086[],3,FALSE),"")</f>
        <v/>
      </c>
      <c r="K49" t="str">
        <f>IFERROR(VLOOKUP($A49,observations_series_id_EXJPUS_api_key_ecc133893ea92a842ee685c734246086_file_type[],2,FALSE),"")</f>
        <v/>
      </c>
      <c r="L49" s="2" t="str">
        <f>IFERROR(VLOOKUP($A49,observations_series_id_EXJPUS_api_key_ecc133893ea92a842ee685c734246086_file_type[],3,FALSE),"")</f>
        <v/>
      </c>
      <c r="M49" t="str">
        <f>IFERROR(AVERAGEIFS(timeseries_access_key_fqeas14oitk235763mntlb1c0brnk9w3fenzqbk313q5kvxyf52kukw1pa[Value.LME-ZNC],timeseries_access_key_fqeas14oitk235763mntlb1c0brnk9w3fenzqbk313q5kvxyf52kukw1pa[Month],MONTH(Data!$A49),timeseries_access_key_fqeas14oitk235763mntlb1c0brnk9w3fenzqbk313q5kvxyf52kukw1pa[Year],YEAR(Data!$A49)),"")</f>
        <v/>
      </c>
      <c r="N49" s="2" t="str">
        <f>IFERROR(AVERAGEIFS(timeseries_access_key_fqeas14oitk235763mntlb1c0brnk9w3fenzqbk313q5kvxyf52kukw1pa[Column1],timeseries_access_key_fqeas14oitk235763mntlb1c0brnk9w3fenzqbk313q5kvxyf52kukw1pa[Month],MONTH(Data!$A49),timeseries_access_key_fqeas14oitk235763mntlb1c0brnk9w3fenzqbk313q5kvxyf52kukw1pa[Year],YEAR(Data!$A49)),"")</f>
        <v/>
      </c>
      <c r="O49" s="8" t="str">
        <f>IFERROR(VLOOKUP($A49,Text_1_2[[Text.1.1.3]:[Text.1.3]],2,FALSE),"")</f>
        <v/>
      </c>
      <c r="P49" s="2"/>
    </row>
    <row r="50" spans="1:16" x14ac:dyDescent="0.25">
      <c r="A50" s="1">
        <v>22647</v>
      </c>
      <c r="B50" t="str">
        <f>HLOOKUP(Dashboard!$I$27,results,ROW(A50),FALSE)</f>
        <v/>
      </c>
      <c r="C50">
        <f>IFERROR(VLOOKUP(A50,observations_series_id_PCU22112222112243_api_key_ecc133893ea92a842ee685c73424608[],2,FALSE),"")</f>
        <v>17.899999999999999</v>
      </c>
      <c r="D50" s="2">
        <f>IFERROR(VLOOKUP(A50,observations_series_id_PCU22112222112243_api_key_ecc133893ea92a842ee685c73424608[],3,FALSE),"")</f>
        <v>2.7932960893854775E-2</v>
      </c>
      <c r="E50" t="str">
        <f>IFERROR(VLOOKUP($A50,observations_series_id_WPU0613020T_api_key_ecc133893ea92a842ee685c734246086_file[],2,FALSE),"")</f>
        <v/>
      </c>
      <c r="F50" s="2" t="str">
        <f>IFERROR(VLOOKUP($A50,observations_series_id_WPU0613020T_api_key_ecc133893ea92a842ee685c734246086_file[],3,FALSE),"")</f>
        <v/>
      </c>
      <c r="G50" t="str">
        <f>IFERROR(VLOOKUP($A50,observations_series_id_PCU22122212_api_key_ecc133893ea92a842ee685c734246086_file[],2,FALSE),"")</f>
        <v/>
      </c>
      <c r="H50" s="2" t="str">
        <f>IFERROR(VLOOKUP($A50,observations_series_id_PCU22122212_api_key_ecc133893ea92a842ee685c734246086_file[],3,FALSE),"")</f>
        <v/>
      </c>
      <c r="I50" t="str">
        <f>IFERROR(VLOOKUP($A50,observations_series_id_PCU3241913241910_api_key_ecc133893ea92a842ee685c734246086[],2,FALSE),"")</f>
        <v/>
      </c>
      <c r="J50" s="2" t="str">
        <f>IFERROR(VLOOKUP($A50,observations_series_id_PCU3241913241910_api_key_ecc133893ea92a842ee685c734246086[],3,FALSE),"")</f>
        <v/>
      </c>
      <c r="K50" t="str">
        <f>IFERROR(VLOOKUP($A50,observations_series_id_EXJPUS_api_key_ecc133893ea92a842ee685c734246086_file_type[],2,FALSE),"")</f>
        <v/>
      </c>
      <c r="L50" s="2" t="str">
        <f>IFERROR(VLOOKUP($A50,observations_series_id_EXJPUS_api_key_ecc133893ea92a842ee685c734246086_file_type[],3,FALSE),"")</f>
        <v/>
      </c>
      <c r="M50" t="str">
        <f>IFERROR(AVERAGEIFS(timeseries_access_key_fqeas14oitk235763mntlb1c0brnk9w3fenzqbk313q5kvxyf52kukw1pa[Value.LME-ZNC],timeseries_access_key_fqeas14oitk235763mntlb1c0brnk9w3fenzqbk313q5kvxyf52kukw1pa[Month],MONTH(Data!$A50),timeseries_access_key_fqeas14oitk235763mntlb1c0brnk9w3fenzqbk313q5kvxyf52kukw1pa[Year],YEAR(Data!$A50)),"")</f>
        <v/>
      </c>
      <c r="N50" s="2" t="str">
        <f>IFERROR(AVERAGEIFS(timeseries_access_key_fqeas14oitk235763mntlb1c0brnk9w3fenzqbk313q5kvxyf52kukw1pa[Column1],timeseries_access_key_fqeas14oitk235763mntlb1c0brnk9w3fenzqbk313q5kvxyf52kukw1pa[Month],MONTH(Data!$A50),timeseries_access_key_fqeas14oitk235763mntlb1c0brnk9w3fenzqbk313q5kvxyf52kukw1pa[Year],YEAR(Data!$A50)),"")</f>
        <v/>
      </c>
      <c r="O50" s="8" t="str">
        <f>IFERROR(VLOOKUP($A50,Text_1_2[[Text.1.1.3]:[Text.1.3]],2,FALSE),"")</f>
        <v/>
      </c>
      <c r="P50" s="2"/>
    </row>
    <row r="51" spans="1:16" x14ac:dyDescent="0.25">
      <c r="A51" s="1">
        <v>22678</v>
      </c>
      <c r="B51" t="str">
        <f>HLOOKUP(Dashboard!$I$27,results,ROW(A51),FALSE)</f>
        <v/>
      </c>
      <c r="C51">
        <f>IFERROR(VLOOKUP(A51,observations_series_id_PCU22112222112243_api_key_ecc133893ea92a842ee685c73424608[],2,FALSE),"")</f>
        <v>18.2</v>
      </c>
      <c r="D51" s="2">
        <f>IFERROR(VLOOKUP(A51,observations_series_id_PCU22112222112243_api_key_ecc133893ea92a842ee685c73424608[],3,FALSE),"")</f>
        <v>4.3956043956044022E-2</v>
      </c>
      <c r="E51" t="str">
        <f>IFERROR(VLOOKUP($A51,observations_series_id_WPU0613020T_api_key_ecc133893ea92a842ee685c734246086_file[],2,FALSE),"")</f>
        <v/>
      </c>
      <c r="F51" s="2" t="str">
        <f>IFERROR(VLOOKUP($A51,observations_series_id_WPU0613020T_api_key_ecc133893ea92a842ee685c734246086_file[],3,FALSE),"")</f>
        <v/>
      </c>
      <c r="G51" t="str">
        <f>IFERROR(VLOOKUP($A51,observations_series_id_PCU22122212_api_key_ecc133893ea92a842ee685c734246086_file[],2,FALSE),"")</f>
        <v/>
      </c>
      <c r="H51" s="2" t="str">
        <f>IFERROR(VLOOKUP($A51,observations_series_id_PCU22122212_api_key_ecc133893ea92a842ee685c734246086_file[],3,FALSE),"")</f>
        <v/>
      </c>
      <c r="I51" t="str">
        <f>IFERROR(VLOOKUP($A51,observations_series_id_PCU3241913241910_api_key_ecc133893ea92a842ee685c734246086[],2,FALSE),"")</f>
        <v/>
      </c>
      <c r="J51" s="2" t="str">
        <f>IFERROR(VLOOKUP($A51,observations_series_id_PCU3241913241910_api_key_ecc133893ea92a842ee685c734246086[],3,FALSE),"")</f>
        <v/>
      </c>
      <c r="K51" t="str">
        <f>IFERROR(VLOOKUP($A51,observations_series_id_EXJPUS_api_key_ecc133893ea92a842ee685c734246086_file_type[],2,FALSE),"")</f>
        <v/>
      </c>
      <c r="L51" s="2" t="str">
        <f>IFERROR(VLOOKUP($A51,observations_series_id_EXJPUS_api_key_ecc133893ea92a842ee685c734246086_file_type[],3,FALSE),"")</f>
        <v/>
      </c>
      <c r="M51" t="str">
        <f>IFERROR(AVERAGEIFS(timeseries_access_key_fqeas14oitk235763mntlb1c0brnk9w3fenzqbk313q5kvxyf52kukw1pa[Value.LME-ZNC],timeseries_access_key_fqeas14oitk235763mntlb1c0brnk9w3fenzqbk313q5kvxyf52kukw1pa[Month],MONTH(Data!$A51),timeseries_access_key_fqeas14oitk235763mntlb1c0brnk9w3fenzqbk313q5kvxyf52kukw1pa[Year],YEAR(Data!$A51)),"")</f>
        <v/>
      </c>
      <c r="N51" s="2" t="str">
        <f>IFERROR(AVERAGEIFS(timeseries_access_key_fqeas14oitk235763mntlb1c0brnk9w3fenzqbk313q5kvxyf52kukw1pa[Column1],timeseries_access_key_fqeas14oitk235763mntlb1c0brnk9w3fenzqbk313q5kvxyf52kukw1pa[Month],MONTH(Data!$A51),timeseries_access_key_fqeas14oitk235763mntlb1c0brnk9w3fenzqbk313q5kvxyf52kukw1pa[Year],YEAR(Data!$A51)),"")</f>
        <v/>
      </c>
      <c r="O51" s="8" t="str">
        <f>IFERROR(VLOOKUP($A51,Text_1_2[[Text.1.1.3]:[Text.1.3]],2,FALSE),"")</f>
        <v/>
      </c>
      <c r="P51" s="2"/>
    </row>
    <row r="52" spans="1:16" x14ac:dyDescent="0.25">
      <c r="A52" s="1">
        <v>22706</v>
      </c>
      <c r="B52" t="str">
        <f>HLOOKUP(Dashboard!$I$27,results,ROW(A52),FALSE)</f>
        <v/>
      </c>
      <c r="C52">
        <f>IFERROR(VLOOKUP(A52,observations_series_id_PCU22112222112243_api_key_ecc133893ea92a842ee685c73424608[],2,FALSE),"")</f>
        <v>18.2</v>
      </c>
      <c r="D52" s="2">
        <f>IFERROR(VLOOKUP(A52,observations_series_id_PCU22112222112243_api_key_ecc133893ea92a842ee685c73424608[],3,FALSE),"")</f>
        <v>4.3956043956044022E-2</v>
      </c>
      <c r="E52" t="str">
        <f>IFERROR(VLOOKUP($A52,observations_series_id_WPU0613020T_api_key_ecc133893ea92a842ee685c734246086_file[],2,FALSE),"")</f>
        <v/>
      </c>
      <c r="F52" s="2" t="str">
        <f>IFERROR(VLOOKUP($A52,observations_series_id_WPU0613020T_api_key_ecc133893ea92a842ee685c734246086_file[],3,FALSE),"")</f>
        <v/>
      </c>
      <c r="G52" t="str">
        <f>IFERROR(VLOOKUP($A52,observations_series_id_PCU22122212_api_key_ecc133893ea92a842ee685c734246086_file[],2,FALSE),"")</f>
        <v/>
      </c>
      <c r="H52" s="2" t="str">
        <f>IFERROR(VLOOKUP($A52,observations_series_id_PCU22122212_api_key_ecc133893ea92a842ee685c734246086_file[],3,FALSE),"")</f>
        <v/>
      </c>
      <c r="I52" t="str">
        <f>IFERROR(VLOOKUP($A52,observations_series_id_PCU3241913241910_api_key_ecc133893ea92a842ee685c734246086[],2,FALSE),"")</f>
        <v/>
      </c>
      <c r="J52" s="2" t="str">
        <f>IFERROR(VLOOKUP($A52,observations_series_id_PCU3241913241910_api_key_ecc133893ea92a842ee685c734246086[],3,FALSE),"")</f>
        <v/>
      </c>
      <c r="K52" t="str">
        <f>IFERROR(VLOOKUP($A52,observations_series_id_EXJPUS_api_key_ecc133893ea92a842ee685c734246086_file_type[],2,FALSE),"")</f>
        <v/>
      </c>
      <c r="L52" s="2" t="str">
        <f>IFERROR(VLOOKUP($A52,observations_series_id_EXJPUS_api_key_ecc133893ea92a842ee685c734246086_file_type[],3,FALSE),"")</f>
        <v/>
      </c>
      <c r="M52" t="str">
        <f>IFERROR(AVERAGEIFS(timeseries_access_key_fqeas14oitk235763mntlb1c0brnk9w3fenzqbk313q5kvxyf52kukw1pa[Value.LME-ZNC],timeseries_access_key_fqeas14oitk235763mntlb1c0brnk9w3fenzqbk313q5kvxyf52kukw1pa[Month],MONTH(Data!$A52),timeseries_access_key_fqeas14oitk235763mntlb1c0brnk9w3fenzqbk313q5kvxyf52kukw1pa[Year],YEAR(Data!$A52)),"")</f>
        <v/>
      </c>
      <c r="N52" s="2" t="str">
        <f>IFERROR(AVERAGEIFS(timeseries_access_key_fqeas14oitk235763mntlb1c0brnk9w3fenzqbk313q5kvxyf52kukw1pa[Column1],timeseries_access_key_fqeas14oitk235763mntlb1c0brnk9w3fenzqbk313q5kvxyf52kukw1pa[Month],MONTH(Data!$A52),timeseries_access_key_fqeas14oitk235763mntlb1c0brnk9w3fenzqbk313q5kvxyf52kukw1pa[Year],YEAR(Data!$A52)),"")</f>
        <v/>
      </c>
      <c r="O52" s="8" t="str">
        <f>IFERROR(VLOOKUP($A52,Text_1_2[[Text.1.1.3]:[Text.1.3]],2,FALSE),"")</f>
        <v/>
      </c>
      <c r="P52" s="2"/>
    </row>
    <row r="53" spans="1:16" x14ac:dyDescent="0.25">
      <c r="A53" s="1">
        <v>22737</v>
      </c>
      <c r="B53" t="str">
        <f>HLOOKUP(Dashboard!$I$27,results,ROW(A53),FALSE)</f>
        <v/>
      </c>
      <c r="C53">
        <f>IFERROR(VLOOKUP(A53,observations_series_id_PCU22112222112243_api_key_ecc133893ea92a842ee685c73424608[],2,FALSE),"")</f>
        <v>18.2</v>
      </c>
      <c r="D53" s="2">
        <f>IFERROR(VLOOKUP(A53,observations_series_id_PCU22112222112243_api_key_ecc133893ea92a842ee685c73424608[],3,FALSE),"")</f>
        <v>4.3956043956044022E-2</v>
      </c>
      <c r="E53" t="str">
        <f>IFERROR(VLOOKUP($A53,observations_series_id_WPU0613020T_api_key_ecc133893ea92a842ee685c734246086_file[],2,FALSE),"")</f>
        <v/>
      </c>
      <c r="F53" s="2" t="str">
        <f>IFERROR(VLOOKUP($A53,observations_series_id_WPU0613020T_api_key_ecc133893ea92a842ee685c734246086_file[],3,FALSE),"")</f>
        <v/>
      </c>
      <c r="G53" t="str">
        <f>IFERROR(VLOOKUP($A53,observations_series_id_PCU22122212_api_key_ecc133893ea92a842ee685c734246086_file[],2,FALSE),"")</f>
        <v/>
      </c>
      <c r="H53" s="2" t="str">
        <f>IFERROR(VLOOKUP($A53,observations_series_id_PCU22122212_api_key_ecc133893ea92a842ee685c734246086_file[],3,FALSE),"")</f>
        <v/>
      </c>
      <c r="I53" t="str">
        <f>IFERROR(VLOOKUP($A53,observations_series_id_PCU3241913241910_api_key_ecc133893ea92a842ee685c734246086[],2,FALSE),"")</f>
        <v/>
      </c>
      <c r="J53" s="2" t="str">
        <f>IFERROR(VLOOKUP($A53,observations_series_id_PCU3241913241910_api_key_ecc133893ea92a842ee685c734246086[],3,FALSE),"")</f>
        <v/>
      </c>
      <c r="K53" t="str">
        <f>IFERROR(VLOOKUP($A53,observations_series_id_EXJPUS_api_key_ecc133893ea92a842ee685c734246086_file_type[],2,FALSE),"")</f>
        <v/>
      </c>
      <c r="L53" s="2" t="str">
        <f>IFERROR(VLOOKUP($A53,observations_series_id_EXJPUS_api_key_ecc133893ea92a842ee685c734246086_file_type[],3,FALSE),"")</f>
        <v/>
      </c>
      <c r="M53" t="str">
        <f>IFERROR(AVERAGEIFS(timeseries_access_key_fqeas14oitk235763mntlb1c0brnk9w3fenzqbk313q5kvxyf52kukw1pa[Value.LME-ZNC],timeseries_access_key_fqeas14oitk235763mntlb1c0brnk9w3fenzqbk313q5kvxyf52kukw1pa[Month],MONTH(Data!$A53),timeseries_access_key_fqeas14oitk235763mntlb1c0brnk9w3fenzqbk313q5kvxyf52kukw1pa[Year],YEAR(Data!$A53)),"")</f>
        <v/>
      </c>
      <c r="N53" s="2" t="str">
        <f>IFERROR(AVERAGEIFS(timeseries_access_key_fqeas14oitk235763mntlb1c0brnk9w3fenzqbk313q5kvxyf52kukw1pa[Column1],timeseries_access_key_fqeas14oitk235763mntlb1c0brnk9w3fenzqbk313q5kvxyf52kukw1pa[Month],MONTH(Data!$A53),timeseries_access_key_fqeas14oitk235763mntlb1c0brnk9w3fenzqbk313q5kvxyf52kukw1pa[Year],YEAR(Data!$A53)),"")</f>
        <v/>
      </c>
      <c r="O53" s="8" t="str">
        <f>IFERROR(VLOOKUP($A53,Text_1_2[[Text.1.1.3]:[Text.1.3]],2,FALSE),"")</f>
        <v/>
      </c>
      <c r="P53" s="2"/>
    </row>
    <row r="54" spans="1:16" x14ac:dyDescent="0.25">
      <c r="A54" s="1">
        <v>22767</v>
      </c>
      <c r="B54" t="str">
        <f>HLOOKUP(Dashboard!$I$27,results,ROW(A54),FALSE)</f>
        <v/>
      </c>
      <c r="C54">
        <f>IFERROR(VLOOKUP(A54,observations_series_id_PCU22112222112243_api_key_ecc133893ea92a842ee685c73424608[],2,FALSE),"")</f>
        <v>18.100000000000001</v>
      </c>
      <c r="D54" s="2">
        <f>IFERROR(VLOOKUP(A54,observations_series_id_PCU22112222112243_api_key_ecc133893ea92a842ee685c73424608[],3,FALSE),"")</f>
        <v>3.8674033149171394E-2</v>
      </c>
      <c r="E54" t="str">
        <f>IFERROR(VLOOKUP($A54,observations_series_id_WPU0613020T_api_key_ecc133893ea92a842ee685c734246086_file[],2,FALSE),"")</f>
        <v/>
      </c>
      <c r="F54" s="2" t="str">
        <f>IFERROR(VLOOKUP($A54,observations_series_id_WPU0613020T_api_key_ecc133893ea92a842ee685c734246086_file[],3,FALSE),"")</f>
        <v/>
      </c>
      <c r="G54" t="str">
        <f>IFERROR(VLOOKUP($A54,observations_series_id_PCU22122212_api_key_ecc133893ea92a842ee685c734246086_file[],2,FALSE),"")</f>
        <v/>
      </c>
      <c r="H54" s="2" t="str">
        <f>IFERROR(VLOOKUP($A54,observations_series_id_PCU22122212_api_key_ecc133893ea92a842ee685c734246086_file[],3,FALSE),"")</f>
        <v/>
      </c>
      <c r="I54" t="str">
        <f>IFERROR(VLOOKUP($A54,observations_series_id_PCU3241913241910_api_key_ecc133893ea92a842ee685c734246086[],2,FALSE),"")</f>
        <v/>
      </c>
      <c r="J54" s="2" t="str">
        <f>IFERROR(VLOOKUP($A54,observations_series_id_PCU3241913241910_api_key_ecc133893ea92a842ee685c734246086[],3,FALSE),"")</f>
        <v/>
      </c>
      <c r="K54" t="str">
        <f>IFERROR(VLOOKUP($A54,observations_series_id_EXJPUS_api_key_ecc133893ea92a842ee685c734246086_file_type[],2,FALSE),"")</f>
        <v/>
      </c>
      <c r="L54" s="2" t="str">
        <f>IFERROR(VLOOKUP($A54,observations_series_id_EXJPUS_api_key_ecc133893ea92a842ee685c734246086_file_type[],3,FALSE),"")</f>
        <v/>
      </c>
      <c r="M54" t="str">
        <f>IFERROR(AVERAGEIFS(timeseries_access_key_fqeas14oitk235763mntlb1c0brnk9w3fenzqbk313q5kvxyf52kukw1pa[Value.LME-ZNC],timeseries_access_key_fqeas14oitk235763mntlb1c0brnk9w3fenzqbk313q5kvxyf52kukw1pa[Month],MONTH(Data!$A54),timeseries_access_key_fqeas14oitk235763mntlb1c0brnk9w3fenzqbk313q5kvxyf52kukw1pa[Year],YEAR(Data!$A54)),"")</f>
        <v/>
      </c>
      <c r="N54" s="2" t="str">
        <f>IFERROR(AVERAGEIFS(timeseries_access_key_fqeas14oitk235763mntlb1c0brnk9w3fenzqbk313q5kvxyf52kukw1pa[Column1],timeseries_access_key_fqeas14oitk235763mntlb1c0brnk9w3fenzqbk313q5kvxyf52kukw1pa[Month],MONTH(Data!$A54),timeseries_access_key_fqeas14oitk235763mntlb1c0brnk9w3fenzqbk313q5kvxyf52kukw1pa[Year],YEAR(Data!$A54)),"")</f>
        <v/>
      </c>
      <c r="O54" s="8" t="str">
        <f>IFERROR(VLOOKUP($A54,Text_1_2[[Text.1.1.3]:[Text.1.3]],2,FALSE),"")</f>
        <v/>
      </c>
      <c r="P54" s="2"/>
    </row>
    <row r="55" spans="1:16" x14ac:dyDescent="0.25">
      <c r="A55" s="1">
        <v>22798</v>
      </c>
      <c r="B55" t="str">
        <f>HLOOKUP(Dashboard!$I$27,results,ROW(A55),FALSE)</f>
        <v/>
      </c>
      <c r="C55">
        <f>IFERROR(VLOOKUP(A55,observations_series_id_PCU22112222112243_api_key_ecc133893ea92a842ee685c73424608[],2,FALSE),"")</f>
        <v>18.100000000000001</v>
      </c>
      <c r="D55" s="2">
        <f>IFERROR(VLOOKUP(A55,observations_series_id_PCU22112222112243_api_key_ecc133893ea92a842ee685c73424608[],3,FALSE),"")</f>
        <v>3.8674033149171394E-2</v>
      </c>
      <c r="E55" t="str">
        <f>IFERROR(VLOOKUP($A55,observations_series_id_WPU0613020T_api_key_ecc133893ea92a842ee685c734246086_file[],2,FALSE),"")</f>
        <v/>
      </c>
      <c r="F55" s="2" t="str">
        <f>IFERROR(VLOOKUP($A55,observations_series_id_WPU0613020T_api_key_ecc133893ea92a842ee685c734246086_file[],3,FALSE),"")</f>
        <v/>
      </c>
      <c r="G55" t="str">
        <f>IFERROR(VLOOKUP($A55,observations_series_id_PCU22122212_api_key_ecc133893ea92a842ee685c734246086_file[],2,FALSE),"")</f>
        <v/>
      </c>
      <c r="H55" s="2" t="str">
        <f>IFERROR(VLOOKUP($A55,observations_series_id_PCU22122212_api_key_ecc133893ea92a842ee685c734246086_file[],3,FALSE),"")</f>
        <v/>
      </c>
      <c r="I55" t="str">
        <f>IFERROR(VLOOKUP($A55,observations_series_id_PCU3241913241910_api_key_ecc133893ea92a842ee685c734246086[],2,FALSE),"")</f>
        <v/>
      </c>
      <c r="J55" s="2" t="str">
        <f>IFERROR(VLOOKUP($A55,observations_series_id_PCU3241913241910_api_key_ecc133893ea92a842ee685c734246086[],3,FALSE),"")</f>
        <v/>
      </c>
      <c r="K55" t="str">
        <f>IFERROR(VLOOKUP($A55,observations_series_id_EXJPUS_api_key_ecc133893ea92a842ee685c734246086_file_type[],2,FALSE),"")</f>
        <v/>
      </c>
      <c r="L55" s="2" t="str">
        <f>IFERROR(VLOOKUP($A55,observations_series_id_EXJPUS_api_key_ecc133893ea92a842ee685c734246086_file_type[],3,FALSE),"")</f>
        <v/>
      </c>
      <c r="M55" t="str">
        <f>IFERROR(AVERAGEIFS(timeseries_access_key_fqeas14oitk235763mntlb1c0brnk9w3fenzqbk313q5kvxyf52kukw1pa[Value.LME-ZNC],timeseries_access_key_fqeas14oitk235763mntlb1c0brnk9w3fenzqbk313q5kvxyf52kukw1pa[Month],MONTH(Data!$A55),timeseries_access_key_fqeas14oitk235763mntlb1c0brnk9w3fenzqbk313q5kvxyf52kukw1pa[Year],YEAR(Data!$A55)),"")</f>
        <v/>
      </c>
      <c r="N55" s="2" t="str">
        <f>IFERROR(AVERAGEIFS(timeseries_access_key_fqeas14oitk235763mntlb1c0brnk9w3fenzqbk313q5kvxyf52kukw1pa[Column1],timeseries_access_key_fqeas14oitk235763mntlb1c0brnk9w3fenzqbk313q5kvxyf52kukw1pa[Month],MONTH(Data!$A55),timeseries_access_key_fqeas14oitk235763mntlb1c0brnk9w3fenzqbk313q5kvxyf52kukw1pa[Year],YEAR(Data!$A55)),"")</f>
        <v/>
      </c>
      <c r="O55" s="8" t="str">
        <f>IFERROR(VLOOKUP($A55,Text_1_2[[Text.1.1.3]:[Text.1.3]],2,FALSE),"")</f>
        <v/>
      </c>
      <c r="P55" s="2"/>
    </row>
    <row r="56" spans="1:16" x14ac:dyDescent="0.25">
      <c r="A56" s="1">
        <v>22828</v>
      </c>
      <c r="B56" t="str">
        <f>HLOOKUP(Dashboard!$I$27,results,ROW(A56),FALSE)</f>
        <v/>
      </c>
      <c r="C56">
        <f>IFERROR(VLOOKUP(A56,observations_series_id_PCU22112222112243_api_key_ecc133893ea92a842ee685c73424608[],2,FALSE),"")</f>
        <v>18.100000000000001</v>
      </c>
      <c r="D56" s="2">
        <f>IFERROR(VLOOKUP(A56,observations_series_id_PCU22112222112243_api_key_ecc133893ea92a842ee685c73424608[],3,FALSE),"")</f>
        <v>3.8674033149171394E-2</v>
      </c>
      <c r="E56" t="str">
        <f>IFERROR(VLOOKUP($A56,observations_series_id_WPU0613020T_api_key_ecc133893ea92a842ee685c734246086_file[],2,FALSE),"")</f>
        <v/>
      </c>
      <c r="F56" s="2" t="str">
        <f>IFERROR(VLOOKUP($A56,observations_series_id_WPU0613020T_api_key_ecc133893ea92a842ee685c734246086_file[],3,FALSE),"")</f>
        <v/>
      </c>
      <c r="G56" t="str">
        <f>IFERROR(VLOOKUP($A56,observations_series_id_PCU22122212_api_key_ecc133893ea92a842ee685c734246086_file[],2,FALSE),"")</f>
        <v/>
      </c>
      <c r="H56" s="2" t="str">
        <f>IFERROR(VLOOKUP($A56,observations_series_id_PCU22122212_api_key_ecc133893ea92a842ee685c734246086_file[],3,FALSE),"")</f>
        <v/>
      </c>
      <c r="I56" t="str">
        <f>IFERROR(VLOOKUP($A56,observations_series_id_PCU3241913241910_api_key_ecc133893ea92a842ee685c734246086[],2,FALSE),"")</f>
        <v/>
      </c>
      <c r="J56" s="2" t="str">
        <f>IFERROR(VLOOKUP($A56,observations_series_id_PCU3241913241910_api_key_ecc133893ea92a842ee685c734246086[],3,FALSE),"")</f>
        <v/>
      </c>
      <c r="K56" t="str">
        <f>IFERROR(VLOOKUP($A56,observations_series_id_EXJPUS_api_key_ecc133893ea92a842ee685c734246086_file_type[],2,FALSE),"")</f>
        <v/>
      </c>
      <c r="L56" s="2" t="str">
        <f>IFERROR(VLOOKUP($A56,observations_series_id_EXJPUS_api_key_ecc133893ea92a842ee685c734246086_file_type[],3,FALSE),"")</f>
        <v/>
      </c>
      <c r="M56" t="str">
        <f>IFERROR(AVERAGEIFS(timeseries_access_key_fqeas14oitk235763mntlb1c0brnk9w3fenzqbk313q5kvxyf52kukw1pa[Value.LME-ZNC],timeseries_access_key_fqeas14oitk235763mntlb1c0brnk9w3fenzqbk313q5kvxyf52kukw1pa[Month],MONTH(Data!$A56),timeseries_access_key_fqeas14oitk235763mntlb1c0brnk9w3fenzqbk313q5kvxyf52kukw1pa[Year],YEAR(Data!$A56)),"")</f>
        <v/>
      </c>
      <c r="N56" s="2" t="str">
        <f>IFERROR(AVERAGEIFS(timeseries_access_key_fqeas14oitk235763mntlb1c0brnk9w3fenzqbk313q5kvxyf52kukw1pa[Column1],timeseries_access_key_fqeas14oitk235763mntlb1c0brnk9w3fenzqbk313q5kvxyf52kukw1pa[Month],MONTH(Data!$A56),timeseries_access_key_fqeas14oitk235763mntlb1c0brnk9w3fenzqbk313q5kvxyf52kukw1pa[Year],YEAR(Data!$A56)),"")</f>
        <v/>
      </c>
      <c r="O56" s="8" t="str">
        <f>IFERROR(VLOOKUP($A56,Text_1_2[[Text.1.1.3]:[Text.1.3]],2,FALSE),"")</f>
        <v/>
      </c>
      <c r="P56" s="2"/>
    </row>
    <row r="57" spans="1:16" x14ac:dyDescent="0.25">
      <c r="A57" s="1">
        <v>22859</v>
      </c>
      <c r="B57" t="str">
        <f>HLOOKUP(Dashboard!$I$27,results,ROW(A57),FALSE)</f>
        <v/>
      </c>
      <c r="C57">
        <f>IFERROR(VLOOKUP(A57,observations_series_id_PCU22112222112243_api_key_ecc133893ea92a842ee685c73424608[],2,FALSE),"")</f>
        <v>18.100000000000001</v>
      </c>
      <c r="D57" s="2">
        <f>IFERROR(VLOOKUP(A57,observations_series_id_PCU22112222112243_api_key_ecc133893ea92a842ee685c73424608[],3,FALSE),"")</f>
        <v>3.8674033149171394E-2</v>
      </c>
      <c r="E57" t="str">
        <f>IFERROR(VLOOKUP($A57,observations_series_id_WPU0613020T_api_key_ecc133893ea92a842ee685c734246086_file[],2,FALSE),"")</f>
        <v/>
      </c>
      <c r="F57" s="2" t="str">
        <f>IFERROR(VLOOKUP($A57,observations_series_id_WPU0613020T_api_key_ecc133893ea92a842ee685c734246086_file[],3,FALSE),"")</f>
        <v/>
      </c>
      <c r="G57" t="str">
        <f>IFERROR(VLOOKUP($A57,observations_series_id_PCU22122212_api_key_ecc133893ea92a842ee685c734246086_file[],2,FALSE),"")</f>
        <v/>
      </c>
      <c r="H57" s="2" t="str">
        <f>IFERROR(VLOOKUP($A57,observations_series_id_PCU22122212_api_key_ecc133893ea92a842ee685c734246086_file[],3,FALSE),"")</f>
        <v/>
      </c>
      <c r="I57" t="str">
        <f>IFERROR(VLOOKUP($A57,observations_series_id_PCU3241913241910_api_key_ecc133893ea92a842ee685c734246086[],2,FALSE),"")</f>
        <v/>
      </c>
      <c r="J57" s="2" t="str">
        <f>IFERROR(VLOOKUP($A57,observations_series_id_PCU3241913241910_api_key_ecc133893ea92a842ee685c734246086[],3,FALSE),"")</f>
        <v/>
      </c>
      <c r="K57" t="str">
        <f>IFERROR(VLOOKUP($A57,observations_series_id_EXJPUS_api_key_ecc133893ea92a842ee685c734246086_file_type[],2,FALSE),"")</f>
        <v/>
      </c>
      <c r="L57" s="2" t="str">
        <f>IFERROR(VLOOKUP($A57,observations_series_id_EXJPUS_api_key_ecc133893ea92a842ee685c734246086_file_type[],3,FALSE),"")</f>
        <v/>
      </c>
      <c r="M57" t="str">
        <f>IFERROR(AVERAGEIFS(timeseries_access_key_fqeas14oitk235763mntlb1c0brnk9w3fenzqbk313q5kvxyf52kukw1pa[Value.LME-ZNC],timeseries_access_key_fqeas14oitk235763mntlb1c0brnk9w3fenzqbk313q5kvxyf52kukw1pa[Month],MONTH(Data!$A57),timeseries_access_key_fqeas14oitk235763mntlb1c0brnk9w3fenzqbk313q5kvxyf52kukw1pa[Year],YEAR(Data!$A57)),"")</f>
        <v/>
      </c>
      <c r="N57" s="2" t="str">
        <f>IFERROR(AVERAGEIFS(timeseries_access_key_fqeas14oitk235763mntlb1c0brnk9w3fenzqbk313q5kvxyf52kukw1pa[Column1],timeseries_access_key_fqeas14oitk235763mntlb1c0brnk9w3fenzqbk313q5kvxyf52kukw1pa[Month],MONTH(Data!$A57),timeseries_access_key_fqeas14oitk235763mntlb1c0brnk9w3fenzqbk313q5kvxyf52kukw1pa[Year],YEAR(Data!$A57)),"")</f>
        <v/>
      </c>
      <c r="O57" s="8" t="str">
        <f>IFERROR(VLOOKUP($A57,Text_1_2[[Text.1.1.3]:[Text.1.3]],2,FALSE),"")</f>
        <v/>
      </c>
      <c r="P57" s="2"/>
    </row>
    <row r="58" spans="1:16" x14ac:dyDescent="0.25">
      <c r="A58" s="1">
        <v>22890</v>
      </c>
      <c r="B58" t="str">
        <f>HLOOKUP(Dashboard!$I$27,results,ROW(A58),FALSE)</f>
        <v/>
      </c>
      <c r="C58">
        <f>IFERROR(VLOOKUP(A58,observations_series_id_PCU22112222112243_api_key_ecc133893ea92a842ee685c73424608[],2,FALSE),"")</f>
        <v>18.100000000000001</v>
      </c>
      <c r="D58" s="2">
        <f>IFERROR(VLOOKUP(A58,observations_series_id_PCU22112222112243_api_key_ecc133893ea92a842ee685c73424608[],3,FALSE),"")</f>
        <v>3.8674033149171394E-2</v>
      </c>
      <c r="E58" t="str">
        <f>IFERROR(VLOOKUP($A58,observations_series_id_WPU0613020T_api_key_ecc133893ea92a842ee685c734246086_file[],2,FALSE),"")</f>
        <v/>
      </c>
      <c r="F58" s="2" t="str">
        <f>IFERROR(VLOOKUP($A58,observations_series_id_WPU0613020T_api_key_ecc133893ea92a842ee685c734246086_file[],3,FALSE),"")</f>
        <v/>
      </c>
      <c r="G58" t="str">
        <f>IFERROR(VLOOKUP($A58,observations_series_id_PCU22122212_api_key_ecc133893ea92a842ee685c734246086_file[],2,FALSE),"")</f>
        <v/>
      </c>
      <c r="H58" s="2" t="str">
        <f>IFERROR(VLOOKUP($A58,observations_series_id_PCU22122212_api_key_ecc133893ea92a842ee685c734246086_file[],3,FALSE),"")</f>
        <v/>
      </c>
      <c r="I58" t="str">
        <f>IFERROR(VLOOKUP($A58,observations_series_id_PCU3241913241910_api_key_ecc133893ea92a842ee685c734246086[],2,FALSE),"")</f>
        <v/>
      </c>
      <c r="J58" s="2" t="str">
        <f>IFERROR(VLOOKUP($A58,observations_series_id_PCU3241913241910_api_key_ecc133893ea92a842ee685c734246086[],3,FALSE),"")</f>
        <v/>
      </c>
      <c r="K58" t="str">
        <f>IFERROR(VLOOKUP($A58,observations_series_id_EXJPUS_api_key_ecc133893ea92a842ee685c734246086_file_type[],2,FALSE),"")</f>
        <v/>
      </c>
      <c r="L58" s="2" t="str">
        <f>IFERROR(VLOOKUP($A58,observations_series_id_EXJPUS_api_key_ecc133893ea92a842ee685c734246086_file_type[],3,FALSE),"")</f>
        <v/>
      </c>
      <c r="M58" t="str">
        <f>IFERROR(AVERAGEIFS(timeseries_access_key_fqeas14oitk235763mntlb1c0brnk9w3fenzqbk313q5kvxyf52kukw1pa[Value.LME-ZNC],timeseries_access_key_fqeas14oitk235763mntlb1c0brnk9w3fenzqbk313q5kvxyf52kukw1pa[Month],MONTH(Data!$A58),timeseries_access_key_fqeas14oitk235763mntlb1c0brnk9w3fenzqbk313q5kvxyf52kukw1pa[Year],YEAR(Data!$A58)),"")</f>
        <v/>
      </c>
      <c r="N58" s="2" t="str">
        <f>IFERROR(AVERAGEIFS(timeseries_access_key_fqeas14oitk235763mntlb1c0brnk9w3fenzqbk313q5kvxyf52kukw1pa[Column1],timeseries_access_key_fqeas14oitk235763mntlb1c0brnk9w3fenzqbk313q5kvxyf52kukw1pa[Month],MONTH(Data!$A58),timeseries_access_key_fqeas14oitk235763mntlb1c0brnk9w3fenzqbk313q5kvxyf52kukw1pa[Year],YEAR(Data!$A58)),"")</f>
        <v/>
      </c>
      <c r="O58" s="8" t="str">
        <f>IFERROR(VLOOKUP($A58,Text_1_2[[Text.1.1.3]:[Text.1.3]],2,FALSE),"")</f>
        <v/>
      </c>
      <c r="P58" s="2"/>
    </row>
    <row r="59" spans="1:16" x14ac:dyDescent="0.25">
      <c r="A59" s="1">
        <v>22920</v>
      </c>
      <c r="B59" t="str">
        <f>HLOOKUP(Dashboard!$I$27,results,ROW(A59),FALSE)</f>
        <v/>
      </c>
      <c r="C59">
        <f>IFERROR(VLOOKUP(A59,observations_series_id_PCU22112222112243_api_key_ecc133893ea92a842ee685c73424608[],2,FALSE),"")</f>
        <v>18.100000000000001</v>
      </c>
      <c r="D59" s="2">
        <f>IFERROR(VLOOKUP(A59,observations_series_id_PCU22112222112243_api_key_ecc133893ea92a842ee685c73424608[],3,FALSE),"")</f>
        <v>3.8674033149171394E-2</v>
      </c>
      <c r="E59" t="str">
        <f>IFERROR(VLOOKUP($A59,observations_series_id_WPU0613020T_api_key_ecc133893ea92a842ee685c734246086_file[],2,FALSE),"")</f>
        <v/>
      </c>
      <c r="F59" s="2" t="str">
        <f>IFERROR(VLOOKUP($A59,observations_series_id_WPU0613020T_api_key_ecc133893ea92a842ee685c734246086_file[],3,FALSE),"")</f>
        <v/>
      </c>
      <c r="G59" t="str">
        <f>IFERROR(VLOOKUP($A59,observations_series_id_PCU22122212_api_key_ecc133893ea92a842ee685c734246086_file[],2,FALSE),"")</f>
        <v/>
      </c>
      <c r="H59" s="2" t="str">
        <f>IFERROR(VLOOKUP($A59,observations_series_id_PCU22122212_api_key_ecc133893ea92a842ee685c734246086_file[],3,FALSE),"")</f>
        <v/>
      </c>
      <c r="I59" t="str">
        <f>IFERROR(VLOOKUP($A59,observations_series_id_PCU3241913241910_api_key_ecc133893ea92a842ee685c734246086[],2,FALSE),"")</f>
        <v/>
      </c>
      <c r="J59" s="2" t="str">
        <f>IFERROR(VLOOKUP($A59,observations_series_id_PCU3241913241910_api_key_ecc133893ea92a842ee685c734246086[],3,FALSE),"")</f>
        <v/>
      </c>
      <c r="K59" t="str">
        <f>IFERROR(VLOOKUP($A59,observations_series_id_EXJPUS_api_key_ecc133893ea92a842ee685c734246086_file_type[],2,FALSE),"")</f>
        <v/>
      </c>
      <c r="L59" s="2" t="str">
        <f>IFERROR(VLOOKUP($A59,observations_series_id_EXJPUS_api_key_ecc133893ea92a842ee685c734246086_file_type[],3,FALSE),"")</f>
        <v/>
      </c>
      <c r="M59" t="str">
        <f>IFERROR(AVERAGEIFS(timeseries_access_key_fqeas14oitk235763mntlb1c0brnk9w3fenzqbk313q5kvxyf52kukw1pa[Value.LME-ZNC],timeseries_access_key_fqeas14oitk235763mntlb1c0brnk9w3fenzqbk313q5kvxyf52kukw1pa[Month],MONTH(Data!$A59),timeseries_access_key_fqeas14oitk235763mntlb1c0brnk9w3fenzqbk313q5kvxyf52kukw1pa[Year],YEAR(Data!$A59)),"")</f>
        <v/>
      </c>
      <c r="N59" s="2" t="str">
        <f>IFERROR(AVERAGEIFS(timeseries_access_key_fqeas14oitk235763mntlb1c0brnk9w3fenzqbk313q5kvxyf52kukw1pa[Column1],timeseries_access_key_fqeas14oitk235763mntlb1c0brnk9w3fenzqbk313q5kvxyf52kukw1pa[Month],MONTH(Data!$A59),timeseries_access_key_fqeas14oitk235763mntlb1c0brnk9w3fenzqbk313q5kvxyf52kukw1pa[Year],YEAR(Data!$A59)),"")</f>
        <v/>
      </c>
      <c r="O59" s="8" t="str">
        <f>IFERROR(VLOOKUP($A59,Text_1_2[[Text.1.1.3]:[Text.1.3]],2,FALSE),"")</f>
        <v/>
      </c>
      <c r="P59" s="2"/>
    </row>
    <row r="60" spans="1:16" x14ac:dyDescent="0.25">
      <c r="A60" s="1">
        <v>22951</v>
      </c>
      <c r="B60" t="str">
        <f>HLOOKUP(Dashboard!$I$27,results,ROW(A60),FALSE)</f>
        <v/>
      </c>
      <c r="C60">
        <f>IFERROR(VLOOKUP(A60,observations_series_id_PCU22112222112243_api_key_ecc133893ea92a842ee685c73424608[],2,FALSE),"")</f>
        <v>18.100000000000001</v>
      </c>
      <c r="D60" s="2">
        <f>IFERROR(VLOOKUP(A60,observations_series_id_PCU22112222112243_api_key_ecc133893ea92a842ee685c73424608[],3,FALSE),"")</f>
        <v>3.8674033149171394E-2</v>
      </c>
      <c r="E60" t="str">
        <f>IFERROR(VLOOKUP($A60,observations_series_id_WPU0613020T_api_key_ecc133893ea92a842ee685c734246086_file[],2,FALSE),"")</f>
        <v/>
      </c>
      <c r="F60" s="2" t="str">
        <f>IFERROR(VLOOKUP($A60,observations_series_id_WPU0613020T_api_key_ecc133893ea92a842ee685c734246086_file[],3,FALSE),"")</f>
        <v/>
      </c>
      <c r="G60" t="str">
        <f>IFERROR(VLOOKUP($A60,observations_series_id_PCU22122212_api_key_ecc133893ea92a842ee685c734246086_file[],2,FALSE),"")</f>
        <v/>
      </c>
      <c r="H60" s="2" t="str">
        <f>IFERROR(VLOOKUP($A60,observations_series_id_PCU22122212_api_key_ecc133893ea92a842ee685c734246086_file[],3,FALSE),"")</f>
        <v/>
      </c>
      <c r="I60" t="str">
        <f>IFERROR(VLOOKUP($A60,observations_series_id_PCU3241913241910_api_key_ecc133893ea92a842ee685c734246086[],2,FALSE),"")</f>
        <v/>
      </c>
      <c r="J60" s="2" t="str">
        <f>IFERROR(VLOOKUP($A60,observations_series_id_PCU3241913241910_api_key_ecc133893ea92a842ee685c734246086[],3,FALSE),"")</f>
        <v/>
      </c>
      <c r="K60" t="str">
        <f>IFERROR(VLOOKUP($A60,observations_series_id_EXJPUS_api_key_ecc133893ea92a842ee685c734246086_file_type[],2,FALSE),"")</f>
        <v/>
      </c>
      <c r="L60" s="2" t="str">
        <f>IFERROR(VLOOKUP($A60,observations_series_id_EXJPUS_api_key_ecc133893ea92a842ee685c734246086_file_type[],3,FALSE),"")</f>
        <v/>
      </c>
      <c r="M60" t="str">
        <f>IFERROR(AVERAGEIFS(timeseries_access_key_fqeas14oitk235763mntlb1c0brnk9w3fenzqbk313q5kvxyf52kukw1pa[Value.LME-ZNC],timeseries_access_key_fqeas14oitk235763mntlb1c0brnk9w3fenzqbk313q5kvxyf52kukw1pa[Month],MONTH(Data!$A60),timeseries_access_key_fqeas14oitk235763mntlb1c0brnk9w3fenzqbk313q5kvxyf52kukw1pa[Year],YEAR(Data!$A60)),"")</f>
        <v/>
      </c>
      <c r="N60" s="2" t="str">
        <f>IFERROR(AVERAGEIFS(timeseries_access_key_fqeas14oitk235763mntlb1c0brnk9w3fenzqbk313q5kvxyf52kukw1pa[Column1],timeseries_access_key_fqeas14oitk235763mntlb1c0brnk9w3fenzqbk313q5kvxyf52kukw1pa[Month],MONTH(Data!$A60),timeseries_access_key_fqeas14oitk235763mntlb1c0brnk9w3fenzqbk313q5kvxyf52kukw1pa[Year],YEAR(Data!$A60)),"")</f>
        <v/>
      </c>
      <c r="O60" s="8" t="str">
        <f>IFERROR(VLOOKUP($A60,Text_1_2[[Text.1.1.3]:[Text.1.3]],2,FALSE),"")</f>
        <v/>
      </c>
      <c r="P60" s="2"/>
    </row>
    <row r="61" spans="1:16" x14ac:dyDescent="0.25">
      <c r="A61" s="1">
        <v>22981</v>
      </c>
      <c r="B61" t="str">
        <f>HLOOKUP(Dashboard!$I$27,results,ROW(A61),FALSE)</f>
        <v/>
      </c>
      <c r="C61">
        <f>IFERROR(VLOOKUP(A61,observations_series_id_PCU22112222112243_api_key_ecc133893ea92a842ee685c73424608[],2,FALSE),"")</f>
        <v>18.100000000000001</v>
      </c>
      <c r="D61" s="2">
        <f>IFERROR(VLOOKUP(A61,observations_series_id_PCU22112222112243_api_key_ecc133893ea92a842ee685c73424608[],3,FALSE),"")</f>
        <v>3.8674033149171394E-2</v>
      </c>
      <c r="E61" t="str">
        <f>IFERROR(VLOOKUP($A61,observations_series_id_WPU0613020T_api_key_ecc133893ea92a842ee685c734246086_file[],2,FALSE),"")</f>
        <v/>
      </c>
      <c r="F61" s="2" t="str">
        <f>IFERROR(VLOOKUP($A61,observations_series_id_WPU0613020T_api_key_ecc133893ea92a842ee685c734246086_file[],3,FALSE),"")</f>
        <v/>
      </c>
      <c r="G61" t="str">
        <f>IFERROR(VLOOKUP($A61,observations_series_id_PCU22122212_api_key_ecc133893ea92a842ee685c734246086_file[],2,FALSE),"")</f>
        <v/>
      </c>
      <c r="H61" s="2" t="str">
        <f>IFERROR(VLOOKUP($A61,observations_series_id_PCU22122212_api_key_ecc133893ea92a842ee685c734246086_file[],3,FALSE),"")</f>
        <v/>
      </c>
      <c r="I61" t="str">
        <f>IFERROR(VLOOKUP($A61,observations_series_id_PCU3241913241910_api_key_ecc133893ea92a842ee685c734246086[],2,FALSE),"")</f>
        <v/>
      </c>
      <c r="J61" s="2" t="str">
        <f>IFERROR(VLOOKUP($A61,observations_series_id_PCU3241913241910_api_key_ecc133893ea92a842ee685c734246086[],3,FALSE),"")</f>
        <v/>
      </c>
      <c r="K61" t="str">
        <f>IFERROR(VLOOKUP($A61,observations_series_id_EXJPUS_api_key_ecc133893ea92a842ee685c734246086_file_type[],2,FALSE),"")</f>
        <v/>
      </c>
      <c r="L61" s="2" t="str">
        <f>IFERROR(VLOOKUP($A61,observations_series_id_EXJPUS_api_key_ecc133893ea92a842ee685c734246086_file_type[],3,FALSE),"")</f>
        <v/>
      </c>
      <c r="M61" t="str">
        <f>IFERROR(AVERAGEIFS(timeseries_access_key_fqeas14oitk235763mntlb1c0brnk9w3fenzqbk313q5kvxyf52kukw1pa[Value.LME-ZNC],timeseries_access_key_fqeas14oitk235763mntlb1c0brnk9w3fenzqbk313q5kvxyf52kukw1pa[Month],MONTH(Data!$A61),timeseries_access_key_fqeas14oitk235763mntlb1c0brnk9w3fenzqbk313q5kvxyf52kukw1pa[Year],YEAR(Data!$A61)),"")</f>
        <v/>
      </c>
      <c r="N61" s="2" t="str">
        <f>IFERROR(AVERAGEIFS(timeseries_access_key_fqeas14oitk235763mntlb1c0brnk9w3fenzqbk313q5kvxyf52kukw1pa[Column1],timeseries_access_key_fqeas14oitk235763mntlb1c0brnk9w3fenzqbk313q5kvxyf52kukw1pa[Month],MONTH(Data!$A61),timeseries_access_key_fqeas14oitk235763mntlb1c0brnk9w3fenzqbk313q5kvxyf52kukw1pa[Year],YEAR(Data!$A61)),"")</f>
        <v/>
      </c>
      <c r="O61" s="8" t="str">
        <f>IFERROR(VLOOKUP($A61,Text_1_2[[Text.1.1.3]:[Text.1.3]],2,FALSE),"")</f>
        <v/>
      </c>
      <c r="P61" s="2"/>
    </row>
    <row r="62" spans="1:16" x14ac:dyDescent="0.25">
      <c r="A62" s="1">
        <v>23012</v>
      </c>
      <c r="B62" t="str">
        <f>HLOOKUP(Dashboard!$I$27,results,ROW(A62),FALSE)</f>
        <v/>
      </c>
      <c r="C62">
        <f>IFERROR(VLOOKUP(A62,observations_series_id_PCU22112222112243_api_key_ecc133893ea92a842ee685c73424608[],2,FALSE),"")</f>
        <v>18.100000000000001</v>
      </c>
      <c r="D62" s="2">
        <f>IFERROR(VLOOKUP(A62,observations_series_id_PCU22112222112243_api_key_ecc133893ea92a842ee685c73424608[],3,FALSE),"")</f>
        <v>3.8674033149171394E-2</v>
      </c>
      <c r="E62" t="str">
        <f>IFERROR(VLOOKUP($A62,observations_series_id_WPU0613020T_api_key_ecc133893ea92a842ee685c734246086_file[],2,FALSE),"")</f>
        <v/>
      </c>
      <c r="F62" s="2" t="str">
        <f>IFERROR(VLOOKUP($A62,observations_series_id_WPU0613020T_api_key_ecc133893ea92a842ee685c734246086_file[],3,FALSE),"")</f>
        <v/>
      </c>
      <c r="G62" t="str">
        <f>IFERROR(VLOOKUP($A62,observations_series_id_PCU22122212_api_key_ecc133893ea92a842ee685c734246086_file[],2,FALSE),"")</f>
        <v/>
      </c>
      <c r="H62" s="2" t="str">
        <f>IFERROR(VLOOKUP($A62,observations_series_id_PCU22122212_api_key_ecc133893ea92a842ee685c734246086_file[],3,FALSE),"")</f>
        <v/>
      </c>
      <c r="I62" t="str">
        <f>IFERROR(VLOOKUP($A62,observations_series_id_PCU3241913241910_api_key_ecc133893ea92a842ee685c734246086[],2,FALSE),"")</f>
        <v/>
      </c>
      <c r="J62" s="2" t="str">
        <f>IFERROR(VLOOKUP($A62,observations_series_id_PCU3241913241910_api_key_ecc133893ea92a842ee685c734246086[],3,FALSE),"")</f>
        <v/>
      </c>
      <c r="K62" t="str">
        <f>IFERROR(VLOOKUP($A62,observations_series_id_EXJPUS_api_key_ecc133893ea92a842ee685c734246086_file_type[],2,FALSE),"")</f>
        <v/>
      </c>
      <c r="L62" s="2" t="str">
        <f>IFERROR(VLOOKUP($A62,observations_series_id_EXJPUS_api_key_ecc133893ea92a842ee685c734246086_file_type[],3,FALSE),"")</f>
        <v/>
      </c>
      <c r="M62" t="str">
        <f>IFERROR(AVERAGEIFS(timeseries_access_key_fqeas14oitk235763mntlb1c0brnk9w3fenzqbk313q5kvxyf52kukw1pa[Value.LME-ZNC],timeseries_access_key_fqeas14oitk235763mntlb1c0brnk9w3fenzqbk313q5kvxyf52kukw1pa[Month],MONTH(Data!$A62),timeseries_access_key_fqeas14oitk235763mntlb1c0brnk9w3fenzqbk313q5kvxyf52kukw1pa[Year],YEAR(Data!$A62)),"")</f>
        <v/>
      </c>
      <c r="N62" s="2" t="str">
        <f>IFERROR(AVERAGEIFS(timeseries_access_key_fqeas14oitk235763mntlb1c0brnk9w3fenzqbk313q5kvxyf52kukw1pa[Column1],timeseries_access_key_fqeas14oitk235763mntlb1c0brnk9w3fenzqbk313q5kvxyf52kukw1pa[Month],MONTH(Data!$A62),timeseries_access_key_fqeas14oitk235763mntlb1c0brnk9w3fenzqbk313q5kvxyf52kukw1pa[Year],YEAR(Data!$A62)),"")</f>
        <v/>
      </c>
      <c r="O62" s="8" t="str">
        <f>IFERROR(VLOOKUP($A62,Text_1_2[[Text.1.1.3]:[Text.1.3]],2,FALSE),"")</f>
        <v/>
      </c>
      <c r="P62" s="2"/>
    </row>
    <row r="63" spans="1:16" x14ac:dyDescent="0.25">
      <c r="A63" s="1">
        <v>23043</v>
      </c>
      <c r="B63" t="str">
        <f>HLOOKUP(Dashboard!$I$27,results,ROW(A63),FALSE)</f>
        <v/>
      </c>
      <c r="C63">
        <f>IFERROR(VLOOKUP(A63,observations_series_id_PCU22112222112243_api_key_ecc133893ea92a842ee685c73424608[],2,FALSE),"")</f>
        <v>18.100000000000001</v>
      </c>
      <c r="D63" s="2">
        <f>IFERROR(VLOOKUP(A63,observations_series_id_PCU22112222112243_api_key_ecc133893ea92a842ee685c73424608[],3,FALSE),"")</f>
        <v>3.8674033149171394E-2</v>
      </c>
      <c r="E63" t="str">
        <f>IFERROR(VLOOKUP($A63,observations_series_id_WPU0613020T_api_key_ecc133893ea92a842ee685c734246086_file[],2,FALSE),"")</f>
        <v/>
      </c>
      <c r="F63" s="2" t="str">
        <f>IFERROR(VLOOKUP($A63,observations_series_id_WPU0613020T_api_key_ecc133893ea92a842ee685c734246086_file[],3,FALSE),"")</f>
        <v/>
      </c>
      <c r="G63" t="str">
        <f>IFERROR(VLOOKUP($A63,observations_series_id_PCU22122212_api_key_ecc133893ea92a842ee685c734246086_file[],2,FALSE),"")</f>
        <v/>
      </c>
      <c r="H63" s="2" t="str">
        <f>IFERROR(VLOOKUP($A63,observations_series_id_PCU22122212_api_key_ecc133893ea92a842ee685c734246086_file[],3,FALSE),"")</f>
        <v/>
      </c>
      <c r="I63" t="str">
        <f>IFERROR(VLOOKUP($A63,observations_series_id_PCU3241913241910_api_key_ecc133893ea92a842ee685c734246086[],2,FALSE),"")</f>
        <v/>
      </c>
      <c r="J63" s="2" t="str">
        <f>IFERROR(VLOOKUP($A63,observations_series_id_PCU3241913241910_api_key_ecc133893ea92a842ee685c734246086[],3,FALSE),"")</f>
        <v/>
      </c>
      <c r="K63" t="str">
        <f>IFERROR(VLOOKUP($A63,observations_series_id_EXJPUS_api_key_ecc133893ea92a842ee685c734246086_file_type[],2,FALSE),"")</f>
        <v/>
      </c>
      <c r="L63" s="2" t="str">
        <f>IFERROR(VLOOKUP($A63,observations_series_id_EXJPUS_api_key_ecc133893ea92a842ee685c734246086_file_type[],3,FALSE),"")</f>
        <v/>
      </c>
      <c r="M63" t="str">
        <f>IFERROR(AVERAGEIFS(timeseries_access_key_fqeas14oitk235763mntlb1c0brnk9w3fenzqbk313q5kvxyf52kukw1pa[Value.LME-ZNC],timeseries_access_key_fqeas14oitk235763mntlb1c0brnk9w3fenzqbk313q5kvxyf52kukw1pa[Month],MONTH(Data!$A63),timeseries_access_key_fqeas14oitk235763mntlb1c0brnk9w3fenzqbk313q5kvxyf52kukw1pa[Year],YEAR(Data!$A63)),"")</f>
        <v/>
      </c>
      <c r="N63" s="2" t="str">
        <f>IFERROR(AVERAGEIFS(timeseries_access_key_fqeas14oitk235763mntlb1c0brnk9w3fenzqbk313q5kvxyf52kukw1pa[Column1],timeseries_access_key_fqeas14oitk235763mntlb1c0brnk9w3fenzqbk313q5kvxyf52kukw1pa[Month],MONTH(Data!$A63),timeseries_access_key_fqeas14oitk235763mntlb1c0brnk9w3fenzqbk313q5kvxyf52kukw1pa[Year],YEAR(Data!$A63)),"")</f>
        <v/>
      </c>
      <c r="O63" s="8" t="str">
        <f>IFERROR(VLOOKUP($A63,Text_1_2[[Text.1.1.3]:[Text.1.3]],2,FALSE),"")</f>
        <v/>
      </c>
      <c r="P63" s="2"/>
    </row>
    <row r="64" spans="1:16" x14ac:dyDescent="0.25">
      <c r="A64" s="1">
        <v>23071</v>
      </c>
      <c r="B64" t="str">
        <f>HLOOKUP(Dashboard!$I$27,results,ROW(A64),FALSE)</f>
        <v/>
      </c>
      <c r="C64">
        <f>IFERROR(VLOOKUP(A64,observations_series_id_PCU22112222112243_api_key_ecc133893ea92a842ee685c73424608[],2,FALSE),"")</f>
        <v>18.100000000000001</v>
      </c>
      <c r="D64" s="2">
        <f>IFERROR(VLOOKUP(A64,observations_series_id_PCU22112222112243_api_key_ecc133893ea92a842ee685c73424608[],3,FALSE),"")</f>
        <v>3.8674033149171394E-2</v>
      </c>
      <c r="E64" t="str">
        <f>IFERROR(VLOOKUP($A64,observations_series_id_WPU0613020T_api_key_ecc133893ea92a842ee685c734246086_file[],2,FALSE),"")</f>
        <v/>
      </c>
      <c r="F64" s="2" t="str">
        <f>IFERROR(VLOOKUP($A64,observations_series_id_WPU0613020T_api_key_ecc133893ea92a842ee685c734246086_file[],3,FALSE),"")</f>
        <v/>
      </c>
      <c r="G64" t="str">
        <f>IFERROR(VLOOKUP($A64,observations_series_id_PCU22122212_api_key_ecc133893ea92a842ee685c734246086_file[],2,FALSE),"")</f>
        <v/>
      </c>
      <c r="H64" s="2" t="str">
        <f>IFERROR(VLOOKUP($A64,observations_series_id_PCU22122212_api_key_ecc133893ea92a842ee685c734246086_file[],3,FALSE),"")</f>
        <v/>
      </c>
      <c r="I64" t="str">
        <f>IFERROR(VLOOKUP($A64,observations_series_id_PCU3241913241910_api_key_ecc133893ea92a842ee685c734246086[],2,FALSE),"")</f>
        <v/>
      </c>
      <c r="J64" s="2" t="str">
        <f>IFERROR(VLOOKUP($A64,observations_series_id_PCU3241913241910_api_key_ecc133893ea92a842ee685c734246086[],3,FALSE),"")</f>
        <v/>
      </c>
      <c r="K64" t="str">
        <f>IFERROR(VLOOKUP($A64,observations_series_id_EXJPUS_api_key_ecc133893ea92a842ee685c734246086_file_type[],2,FALSE),"")</f>
        <v/>
      </c>
      <c r="L64" s="2" t="str">
        <f>IFERROR(VLOOKUP($A64,observations_series_id_EXJPUS_api_key_ecc133893ea92a842ee685c734246086_file_type[],3,FALSE),"")</f>
        <v/>
      </c>
      <c r="M64" t="str">
        <f>IFERROR(AVERAGEIFS(timeseries_access_key_fqeas14oitk235763mntlb1c0brnk9w3fenzqbk313q5kvxyf52kukw1pa[Value.LME-ZNC],timeseries_access_key_fqeas14oitk235763mntlb1c0brnk9w3fenzqbk313q5kvxyf52kukw1pa[Month],MONTH(Data!$A64),timeseries_access_key_fqeas14oitk235763mntlb1c0brnk9w3fenzqbk313q5kvxyf52kukw1pa[Year],YEAR(Data!$A64)),"")</f>
        <v/>
      </c>
      <c r="N64" s="2" t="str">
        <f>IFERROR(AVERAGEIFS(timeseries_access_key_fqeas14oitk235763mntlb1c0brnk9w3fenzqbk313q5kvxyf52kukw1pa[Column1],timeseries_access_key_fqeas14oitk235763mntlb1c0brnk9w3fenzqbk313q5kvxyf52kukw1pa[Month],MONTH(Data!$A64),timeseries_access_key_fqeas14oitk235763mntlb1c0brnk9w3fenzqbk313q5kvxyf52kukw1pa[Year],YEAR(Data!$A64)),"")</f>
        <v/>
      </c>
      <c r="O64" s="8" t="str">
        <f>IFERROR(VLOOKUP($A64,Text_1_2[[Text.1.1.3]:[Text.1.3]],2,FALSE),"")</f>
        <v/>
      </c>
      <c r="P64" s="2"/>
    </row>
    <row r="65" spans="1:16" x14ac:dyDescent="0.25">
      <c r="A65" s="1">
        <v>23102</v>
      </c>
      <c r="B65" t="str">
        <f>HLOOKUP(Dashboard!$I$27,results,ROW(A65),FALSE)</f>
        <v/>
      </c>
      <c r="C65">
        <f>IFERROR(VLOOKUP(A65,observations_series_id_PCU22112222112243_api_key_ecc133893ea92a842ee685c73424608[],2,FALSE),"")</f>
        <v>18.100000000000001</v>
      </c>
      <c r="D65" s="2">
        <f>IFERROR(VLOOKUP(A65,observations_series_id_PCU22112222112243_api_key_ecc133893ea92a842ee685c73424608[],3,FALSE),"")</f>
        <v>3.8674033149171394E-2</v>
      </c>
      <c r="E65" t="str">
        <f>IFERROR(VLOOKUP($A65,observations_series_id_WPU0613020T_api_key_ecc133893ea92a842ee685c734246086_file[],2,FALSE),"")</f>
        <v/>
      </c>
      <c r="F65" s="2" t="str">
        <f>IFERROR(VLOOKUP($A65,observations_series_id_WPU0613020T_api_key_ecc133893ea92a842ee685c734246086_file[],3,FALSE),"")</f>
        <v/>
      </c>
      <c r="G65" t="str">
        <f>IFERROR(VLOOKUP($A65,observations_series_id_PCU22122212_api_key_ecc133893ea92a842ee685c734246086_file[],2,FALSE),"")</f>
        <v/>
      </c>
      <c r="H65" s="2" t="str">
        <f>IFERROR(VLOOKUP($A65,observations_series_id_PCU22122212_api_key_ecc133893ea92a842ee685c734246086_file[],3,FALSE),"")</f>
        <v/>
      </c>
      <c r="I65" t="str">
        <f>IFERROR(VLOOKUP($A65,observations_series_id_PCU3241913241910_api_key_ecc133893ea92a842ee685c734246086[],2,FALSE),"")</f>
        <v/>
      </c>
      <c r="J65" s="2" t="str">
        <f>IFERROR(VLOOKUP($A65,observations_series_id_PCU3241913241910_api_key_ecc133893ea92a842ee685c734246086[],3,FALSE),"")</f>
        <v/>
      </c>
      <c r="K65" t="str">
        <f>IFERROR(VLOOKUP($A65,observations_series_id_EXJPUS_api_key_ecc133893ea92a842ee685c734246086_file_type[],2,FALSE),"")</f>
        <v/>
      </c>
      <c r="L65" s="2" t="str">
        <f>IFERROR(VLOOKUP($A65,observations_series_id_EXJPUS_api_key_ecc133893ea92a842ee685c734246086_file_type[],3,FALSE),"")</f>
        <v/>
      </c>
      <c r="M65" t="str">
        <f>IFERROR(AVERAGEIFS(timeseries_access_key_fqeas14oitk235763mntlb1c0brnk9w3fenzqbk313q5kvxyf52kukw1pa[Value.LME-ZNC],timeseries_access_key_fqeas14oitk235763mntlb1c0brnk9w3fenzqbk313q5kvxyf52kukw1pa[Month],MONTH(Data!$A65),timeseries_access_key_fqeas14oitk235763mntlb1c0brnk9w3fenzqbk313q5kvxyf52kukw1pa[Year],YEAR(Data!$A65)),"")</f>
        <v/>
      </c>
      <c r="N65" s="2" t="str">
        <f>IFERROR(AVERAGEIFS(timeseries_access_key_fqeas14oitk235763mntlb1c0brnk9w3fenzqbk313q5kvxyf52kukw1pa[Column1],timeseries_access_key_fqeas14oitk235763mntlb1c0brnk9w3fenzqbk313q5kvxyf52kukw1pa[Month],MONTH(Data!$A65),timeseries_access_key_fqeas14oitk235763mntlb1c0brnk9w3fenzqbk313q5kvxyf52kukw1pa[Year],YEAR(Data!$A65)),"")</f>
        <v/>
      </c>
      <c r="O65" s="8" t="str">
        <f>IFERROR(VLOOKUP($A65,Text_1_2[[Text.1.1.3]:[Text.1.3]],2,FALSE),"")</f>
        <v/>
      </c>
      <c r="P65" s="2"/>
    </row>
    <row r="66" spans="1:16" x14ac:dyDescent="0.25">
      <c r="A66" s="1">
        <v>23132</v>
      </c>
      <c r="B66" t="str">
        <f>HLOOKUP(Dashboard!$I$27,results,ROW(A66),FALSE)</f>
        <v/>
      </c>
      <c r="C66">
        <f>IFERROR(VLOOKUP(A66,observations_series_id_PCU22112222112243_api_key_ecc133893ea92a842ee685c73424608[],2,FALSE),"")</f>
        <v>18</v>
      </c>
      <c r="D66" s="2">
        <f>IFERROR(VLOOKUP(A66,observations_series_id_PCU22112222112243_api_key_ecc133893ea92a842ee685c73424608[],3,FALSE),"")</f>
        <v>3.3333333333333437E-2</v>
      </c>
      <c r="E66" t="str">
        <f>IFERROR(VLOOKUP($A66,observations_series_id_WPU0613020T_api_key_ecc133893ea92a842ee685c734246086_file[],2,FALSE),"")</f>
        <v/>
      </c>
      <c r="F66" s="2" t="str">
        <f>IFERROR(VLOOKUP($A66,observations_series_id_WPU0613020T_api_key_ecc133893ea92a842ee685c734246086_file[],3,FALSE),"")</f>
        <v/>
      </c>
      <c r="G66" t="str">
        <f>IFERROR(VLOOKUP($A66,observations_series_id_PCU22122212_api_key_ecc133893ea92a842ee685c734246086_file[],2,FALSE),"")</f>
        <v/>
      </c>
      <c r="H66" s="2" t="str">
        <f>IFERROR(VLOOKUP($A66,observations_series_id_PCU22122212_api_key_ecc133893ea92a842ee685c734246086_file[],3,FALSE),"")</f>
        <v/>
      </c>
      <c r="I66" t="str">
        <f>IFERROR(VLOOKUP($A66,observations_series_id_PCU3241913241910_api_key_ecc133893ea92a842ee685c734246086[],2,FALSE),"")</f>
        <v/>
      </c>
      <c r="J66" s="2" t="str">
        <f>IFERROR(VLOOKUP($A66,observations_series_id_PCU3241913241910_api_key_ecc133893ea92a842ee685c734246086[],3,FALSE),"")</f>
        <v/>
      </c>
      <c r="K66" t="str">
        <f>IFERROR(VLOOKUP($A66,observations_series_id_EXJPUS_api_key_ecc133893ea92a842ee685c734246086_file_type[],2,FALSE),"")</f>
        <v/>
      </c>
      <c r="L66" s="2" t="str">
        <f>IFERROR(VLOOKUP($A66,observations_series_id_EXJPUS_api_key_ecc133893ea92a842ee685c734246086_file_type[],3,FALSE),"")</f>
        <v/>
      </c>
      <c r="M66" t="str">
        <f>IFERROR(AVERAGEIFS(timeseries_access_key_fqeas14oitk235763mntlb1c0brnk9w3fenzqbk313q5kvxyf52kukw1pa[Value.LME-ZNC],timeseries_access_key_fqeas14oitk235763mntlb1c0brnk9w3fenzqbk313q5kvxyf52kukw1pa[Month],MONTH(Data!$A66),timeseries_access_key_fqeas14oitk235763mntlb1c0brnk9w3fenzqbk313q5kvxyf52kukw1pa[Year],YEAR(Data!$A66)),"")</f>
        <v/>
      </c>
      <c r="N66" s="2" t="str">
        <f>IFERROR(AVERAGEIFS(timeseries_access_key_fqeas14oitk235763mntlb1c0brnk9w3fenzqbk313q5kvxyf52kukw1pa[Column1],timeseries_access_key_fqeas14oitk235763mntlb1c0brnk9w3fenzqbk313q5kvxyf52kukw1pa[Month],MONTH(Data!$A66),timeseries_access_key_fqeas14oitk235763mntlb1c0brnk9w3fenzqbk313q5kvxyf52kukw1pa[Year],YEAR(Data!$A66)),"")</f>
        <v/>
      </c>
      <c r="O66" s="8" t="str">
        <f>IFERROR(VLOOKUP($A66,Text_1_2[[Text.1.1.3]:[Text.1.3]],2,FALSE),"")</f>
        <v/>
      </c>
      <c r="P66" s="2"/>
    </row>
    <row r="67" spans="1:16" x14ac:dyDescent="0.25">
      <c r="A67" s="1">
        <v>23163</v>
      </c>
      <c r="B67" t="str">
        <f>HLOOKUP(Dashboard!$I$27,results,ROW(A67),FALSE)</f>
        <v/>
      </c>
      <c r="C67">
        <f>IFERROR(VLOOKUP(A67,observations_series_id_PCU22112222112243_api_key_ecc133893ea92a842ee685c73424608[],2,FALSE),"")</f>
        <v>18</v>
      </c>
      <c r="D67" s="2">
        <f>IFERROR(VLOOKUP(A67,observations_series_id_PCU22112222112243_api_key_ecc133893ea92a842ee685c73424608[],3,FALSE),"")</f>
        <v>3.3333333333333437E-2</v>
      </c>
      <c r="E67" t="str">
        <f>IFERROR(VLOOKUP($A67,observations_series_id_WPU0613020T_api_key_ecc133893ea92a842ee685c734246086_file[],2,FALSE),"")</f>
        <v/>
      </c>
      <c r="F67" s="2" t="str">
        <f>IFERROR(VLOOKUP($A67,observations_series_id_WPU0613020T_api_key_ecc133893ea92a842ee685c734246086_file[],3,FALSE),"")</f>
        <v/>
      </c>
      <c r="G67" t="str">
        <f>IFERROR(VLOOKUP($A67,observations_series_id_PCU22122212_api_key_ecc133893ea92a842ee685c734246086_file[],2,FALSE),"")</f>
        <v/>
      </c>
      <c r="H67" s="2" t="str">
        <f>IFERROR(VLOOKUP($A67,observations_series_id_PCU22122212_api_key_ecc133893ea92a842ee685c734246086_file[],3,FALSE),"")</f>
        <v/>
      </c>
      <c r="I67" t="str">
        <f>IFERROR(VLOOKUP($A67,observations_series_id_PCU3241913241910_api_key_ecc133893ea92a842ee685c734246086[],2,FALSE),"")</f>
        <v/>
      </c>
      <c r="J67" s="2" t="str">
        <f>IFERROR(VLOOKUP($A67,observations_series_id_PCU3241913241910_api_key_ecc133893ea92a842ee685c734246086[],3,FALSE),"")</f>
        <v/>
      </c>
      <c r="K67" t="str">
        <f>IFERROR(VLOOKUP($A67,observations_series_id_EXJPUS_api_key_ecc133893ea92a842ee685c734246086_file_type[],2,FALSE),"")</f>
        <v/>
      </c>
      <c r="L67" s="2" t="str">
        <f>IFERROR(VLOOKUP($A67,observations_series_id_EXJPUS_api_key_ecc133893ea92a842ee685c734246086_file_type[],3,FALSE),"")</f>
        <v/>
      </c>
      <c r="M67" t="str">
        <f>IFERROR(AVERAGEIFS(timeseries_access_key_fqeas14oitk235763mntlb1c0brnk9w3fenzqbk313q5kvxyf52kukw1pa[Value.LME-ZNC],timeseries_access_key_fqeas14oitk235763mntlb1c0brnk9w3fenzqbk313q5kvxyf52kukw1pa[Month],MONTH(Data!$A67),timeseries_access_key_fqeas14oitk235763mntlb1c0brnk9w3fenzqbk313q5kvxyf52kukw1pa[Year],YEAR(Data!$A67)),"")</f>
        <v/>
      </c>
      <c r="N67" s="2" t="str">
        <f>IFERROR(AVERAGEIFS(timeseries_access_key_fqeas14oitk235763mntlb1c0brnk9w3fenzqbk313q5kvxyf52kukw1pa[Column1],timeseries_access_key_fqeas14oitk235763mntlb1c0brnk9w3fenzqbk313q5kvxyf52kukw1pa[Month],MONTH(Data!$A67),timeseries_access_key_fqeas14oitk235763mntlb1c0brnk9w3fenzqbk313q5kvxyf52kukw1pa[Year],YEAR(Data!$A67)),"")</f>
        <v/>
      </c>
      <c r="O67" s="8" t="str">
        <f>IFERROR(VLOOKUP($A67,Text_1_2[[Text.1.1.3]:[Text.1.3]],2,FALSE),"")</f>
        <v/>
      </c>
      <c r="P67" s="2"/>
    </row>
    <row r="68" spans="1:16" x14ac:dyDescent="0.25">
      <c r="A68" s="1">
        <v>23193</v>
      </c>
      <c r="B68" t="str">
        <f>HLOOKUP(Dashboard!$I$27,results,ROW(A68),FALSE)</f>
        <v/>
      </c>
      <c r="C68">
        <f>IFERROR(VLOOKUP(A68,observations_series_id_PCU22112222112243_api_key_ecc133893ea92a842ee685c73424608[],2,FALSE),"")</f>
        <v>18</v>
      </c>
      <c r="D68" s="2">
        <f>IFERROR(VLOOKUP(A68,observations_series_id_PCU22112222112243_api_key_ecc133893ea92a842ee685c73424608[],3,FALSE),"")</f>
        <v>3.3333333333333437E-2</v>
      </c>
      <c r="E68" t="str">
        <f>IFERROR(VLOOKUP($A68,observations_series_id_WPU0613020T_api_key_ecc133893ea92a842ee685c734246086_file[],2,FALSE),"")</f>
        <v/>
      </c>
      <c r="F68" s="2" t="str">
        <f>IFERROR(VLOOKUP($A68,observations_series_id_WPU0613020T_api_key_ecc133893ea92a842ee685c734246086_file[],3,FALSE),"")</f>
        <v/>
      </c>
      <c r="G68" t="str">
        <f>IFERROR(VLOOKUP($A68,observations_series_id_PCU22122212_api_key_ecc133893ea92a842ee685c734246086_file[],2,FALSE),"")</f>
        <v/>
      </c>
      <c r="H68" s="2" t="str">
        <f>IFERROR(VLOOKUP($A68,observations_series_id_PCU22122212_api_key_ecc133893ea92a842ee685c734246086_file[],3,FALSE),"")</f>
        <v/>
      </c>
      <c r="I68" t="str">
        <f>IFERROR(VLOOKUP($A68,observations_series_id_PCU3241913241910_api_key_ecc133893ea92a842ee685c734246086[],2,FALSE),"")</f>
        <v/>
      </c>
      <c r="J68" s="2" t="str">
        <f>IFERROR(VLOOKUP($A68,observations_series_id_PCU3241913241910_api_key_ecc133893ea92a842ee685c734246086[],3,FALSE),"")</f>
        <v/>
      </c>
      <c r="K68" t="str">
        <f>IFERROR(VLOOKUP($A68,observations_series_id_EXJPUS_api_key_ecc133893ea92a842ee685c734246086_file_type[],2,FALSE),"")</f>
        <v/>
      </c>
      <c r="L68" s="2" t="str">
        <f>IFERROR(VLOOKUP($A68,observations_series_id_EXJPUS_api_key_ecc133893ea92a842ee685c734246086_file_type[],3,FALSE),"")</f>
        <v/>
      </c>
      <c r="M68" t="str">
        <f>IFERROR(AVERAGEIFS(timeseries_access_key_fqeas14oitk235763mntlb1c0brnk9w3fenzqbk313q5kvxyf52kukw1pa[Value.LME-ZNC],timeseries_access_key_fqeas14oitk235763mntlb1c0brnk9w3fenzqbk313q5kvxyf52kukw1pa[Month],MONTH(Data!$A68),timeseries_access_key_fqeas14oitk235763mntlb1c0brnk9w3fenzqbk313q5kvxyf52kukw1pa[Year],YEAR(Data!$A68)),"")</f>
        <v/>
      </c>
      <c r="N68" s="2" t="str">
        <f>IFERROR(AVERAGEIFS(timeseries_access_key_fqeas14oitk235763mntlb1c0brnk9w3fenzqbk313q5kvxyf52kukw1pa[Column1],timeseries_access_key_fqeas14oitk235763mntlb1c0brnk9w3fenzqbk313q5kvxyf52kukw1pa[Month],MONTH(Data!$A68),timeseries_access_key_fqeas14oitk235763mntlb1c0brnk9w3fenzqbk313q5kvxyf52kukw1pa[Year],YEAR(Data!$A68)),"")</f>
        <v/>
      </c>
      <c r="O68" s="8" t="str">
        <f>IFERROR(VLOOKUP($A68,Text_1_2[[Text.1.1.3]:[Text.1.3]],2,FALSE),"")</f>
        <v/>
      </c>
      <c r="P68" s="2"/>
    </row>
    <row r="69" spans="1:16" x14ac:dyDescent="0.25">
      <c r="A69" s="1">
        <v>23224</v>
      </c>
      <c r="B69" t="str">
        <f>HLOOKUP(Dashboard!$I$27,results,ROW(A69),FALSE)</f>
        <v/>
      </c>
      <c r="C69">
        <f>IFERROR(VLOOKUP(A69,observations_series_id_PCU22112222112243_api_key_ecc133893ea92a842ee685c73424608[],2,FALSE),"")</f>
        <v>17.899999999999999</v>
      </c>
      <c r="D69" s="2">
        <f>IFERROR(VLOOKUP(A69,observations_series_id_PCU22112222112243_api_key_ecc133893ea92a842ee685c73424608[],3,FALSE),"")</f>
        <v>2.7932960893854775E-2</v>
      </c>
      <c r="E69" t="str">
        <f>IFERROR(VLOOKUP($A69,observations_series_id_WPU0613020T_api_key_ecc133893ea92a842ee685c734246086_file[],2,FALSE),"")</f>
        <v/>
      </c>
      <c r="F69" s="2" t="str">
        <f>IFERROR(VLOOKUP($A69,observations_series_id_WPU0613020T_api_key_ecc133893ea92a842ee685c734246086_file[],3,FALSE),"")</f>
        <v/>
      </c>
      <c r="G69" t="str">
        <f>IFERROR(VLOOKUP($A69,observations_series_id_PCU22122212_api_key_ecc133893ea92a842ee685c734246086_file[],2,FALSE),"")</f>
        <v/>
      </c>
      <c r="H69" s="2" t="str">
        <f>IFERROR(VLOOKUP($A69,observations_series_id_PCU22122212_api_key_ecc133893ea92a842ee685c734246086_file[],3,FALSE),"")</f>
        <v/>
      </c>
      <c r="I69" t="str">
        <f>IFERROR(VLOOKUP($A69,observations_series_id_PCU3241913241910_api_key_ecc133893ea92a842ee685c734246086[],2,FALSE),"")</f>
        <v/>
      </c>
      <c r="J69" s="2" t="str">
        <f>IFERROR(VLOOKUP($A69,observations_series_id_PCU3241913241910_api_key_ecc133893ea92a842ee685c734246086[],3,FALSE),"")</f>
        <v/>
      </c>
      <c r="K69" t="str">
        <f>IFERROR(VLOOKUP($A69,observations_series_id_EXJPUS_api_key_ecc133893ea92a842ee685c734246086_file_type[],2,FALSE),"")</f>
        <v/>
      </c>
      <c r="L69" s="2" t="str">
        <f>IFERROR(VLOOKUP($A69,observations_series_id_EXJPUS_api_key_ecc133893ea92a842ee685c734246086_file_type[],3,FALSE),"")</f>
        <v/>
      </c>
      <c r="M69" t="str">
        <f>IFERROR(AVERAGEIFS(timeseries_access_key_fqeas14oitk235763mntlb1c0brnk9w3fenzqbk313q5kvxyf52kukw1pa[Value.LME-ZNC],timeseries_access_key_fqeas14oitk235763mntlb1c0brnk9w3fenzqbk313q5kvxyf52kukw1pa[Month],MONTH(Data!$A69),timeseries_access_key_fqeas14oitk235763mntlb1c0brnk9w3fenzqbk313q5kvxyf52kukw1pa[Year],YEAR(Data!$A69)),"")</f>
        <v/>
      </c>
      <c r="N69" s="2" t="str">
        <f>IFERROR(AVERAGEIFS(timeseries_access_key_fqeas14oitk235763mntlb1c0brnk9w3fenzqbk313q5kvxyf52kukw1pa[Column1],timeseries_access_key_fqeas14oitk235763mntlb1c0brnk9w3fenzqbk313q5kvxyf52kukw1pa[Month],MONTH(Data!$A69),timeseries_access_key_fqeas14oitk235763mntlb1c0brnk9w3fenzqbk313q5kvxyf52kukw1pa[Year],YEAR(Data!$A69)),"")</f>
        <v/>
      </c>
      <c r="O69" s="8" t="str">
        <f>IFERROR(VLOOKUP($A69,Text_1_2[[Text.1.1.3]:[Text.1.3]],2,FALSE),"")</f>
        <v/>
      </c>
      <c r="P69" s="2"/>
    </row>
    <row r="70" spans="1:16" x14ac:dyDescent="0.25">
      <c r="A70" s="1">
        <v>23255</v>
      </c>
      <c r="B70" t="str">
        <f>HLOOKUP(Dashboard!$I$27,results,ROW(A70),FALSE)</f>
        <v/>
      </c>
      <c r="C70">
        <f>IFERROR(VLOOKUP(A70,observations_series_id_PCU22112222112243_api_key_ecc133893ea92a842ee685c73424608[],2,FALSE),"")</f>
        <v>17.899999999999999</v>
      </c>
      <c r="D70" s="2">
        <f>IFERROR(VLOOKUP(A70,observations_series_id_PCU22112222112243_api_key_ecc133893ea92a842ee685c73424608[],3,FALSE),"")</f>
        <v>2.7932960893854775E-2</v>
      </c>
      <c r="E70" t="str">
        <f>IFERROR(VLOOKUP($A70,observations_series_id_WPU0613020T_api_key_ecc133893ea92a842ee685c734246086_file[],2,FALSE),"")</f>
        <v/>
      </c>
      <c r="F70" s="2" t="str">
        <f>IFERROR(VLOOKUP($A70,observations_series_id_WPU0613020T_api_key_ecc133893ea92a842ee685c734246086_file[],3,FALSE),"")</f>
        <v/>
      </c>
      <c r="G70" t="str">
        <f>IFERROR(VLOOKUP($A70,observations_series_id_PCU22122212_api_key_ecc133893ea92a842ee685c734246086_file[],2,FALSE),"")</f>
        <v/>
      </c>
      <c r="H70" s="2" t="str">
        <f>IFERROR(VLOOKUP($A70,observations_series_id_PCU22122212_api_key_ecc133893ea92a842ee685c734246086_file[],3,FALSE),"")</f>
        <v/>
      </c>
      <c r="I70" t="str">
        <f>IFERROR(VLOOKUP($A70,observations_series_id_PCU3241913241910_api_key_ecc133893ea92a842ee685c734246086[],2,FALSE),"")</f>
        <v/>
      </c>
      <c r="J70" s="2" t="str">
        <f>IFERROR(VLOOKUP($A70,observations_series_id_PCU3241913241910_api_key_ecc133893ea92a842ee685c734246086[],3,FALSE),"")</f>
        <v/>
      </c>
      <c r="K70" t="str">
        <f>IFERROR(VLOOKUP($A70,observations_series_id_EXJPUS_api_key_ecc133893ea92a842ee685c734246086_file_type[],2,FALSE),"")</f>
        <v/>
      </c>
      <c r="L70" s="2" t="str">
        <f>IFERROR(VLOOKUP($A70,observations_series_id_EXJPUS_api_key_ecc133893ea92a842ee685c734246086_file_type[],3,FALSE),"")</f>
        <v/>
      </c>
      <c r="M70" t="str">
        <f>IFERROR(AVERAGEIFS(timeseries_access_key_fqeas14oitk235763mntlb1c0brnk9w3fenzqbk313q5kvxyf52kukw1pa[Value.LME-ZNC],timeseries_access_key_fqeas14oitk235763mntlb1c0brnk9w3fenzqbk313q5kvxyf52kukw1pa[Month],MONTH(Data!$A70),timeseries_access_key_fqeas14oitk235763mntlb1c0brnk9w3fenzqbk313q5kvxyf52kukw1pa[Year],YEAR(Data!$A70)),"")</f>
        <v/>
      </c>
      <c r="N70" s="2" t="str">
        <f>IFERROR(AVERAGEIFS(timeseries_access_key_fqeas14oitk235763mntlb1c0brnk9w3fenzqbk313q5kvxyf52kukw1pa[Column1],timeseries_access_key_fqeas14oitk235763mntlb1c0brnk9w3fenzqbk313q5kvxyf52kukw1pa[Month],MONTH(Data!$A70),timeseries_access_key_fqeas14oitk235763mntlb1c0brnk9w3fenzqbk313q5kvxyf52kukw1pa[Year],YEAR(Data!$A70)),"")</f>
        <v/>
      </c>
      <c r="O70" s="8" t="str">
        <f>IFERROR(VLOOKUP($A70,Text_1_2[[Text.1.1.3]:[Text.1.3]],2,FALSE),"")</f>
        <v/>
      </c>
      <c r="P70" s="2"/>
    </row>
    <row r="71" spans="1:16" x14ac:dyDescent="0.25">
      <c r="A71" s="1">
        <v>23285</v>
      </c>
      <c r="B71" t="str">
        <f>HLOOKUP(Dashboard!$I$27,results,ROW(A71),FALSE)</f>
        <v/>
      </c>
      <c r="C71">
        <f>IFERROR(VLOOKUP(A71,observations_series_id_PCU22112222112243_api_key_ecc133893ea92a842ee685c73424608[],2,FALSE),"")</f>
        <v>17.8</v>
      </c>
      <c r="D71" s="2">
        <f>IFERROR(VLOOKUP(A71,observations_series_id_PCU22112222112243_api_key_ecc133893ea92a842ee685c73424608[],3,FALSE),"")</f>
        <v>2.2471910112359716E-2</v>
      </c>
      <c r="E71" t="str">
        <f>IFERROR(VLOOKUP($A71,observations_series_id_WPU0613020T_api_key_ecc133893ea92a842ee685c734246086_file[],2,FALSE),"")</f>
        <v/>
      </c>
      <c r="F71" s="2" t="str">
        <f>IFERROR(VLOOKUP($A71,observations_series_id_WPU0613020T_api_key_ecc133893ea92a842ee685c734246086_file[],3,FALSE),"")</f>
        <v/>
      </c>
      <c r="G71" t="str">
        <f>IFERROR(VLOOKUP($A71,observations_series_id_PCU22122212_api_key_ecc133893ea92a842ee685c734246086_file[],2,FALSE),"")</f>
        <v/>
      </c>
      <c r="H71" s="2" t="str">
        <f>IFERROR(VLOOKUP($A71,observations_series_id_PCU22122212_api_key_ecc133893ea92a842ee685c734246086_file[],3,FALSE),"")</f>
        <v/>
      </c>
      <c r="I71" t="str">
        <f>IFERROR(VLOOKUP($A71,observations_series_id_PCU3241913241910_api_key_ecc133893ea92a842ee685c734246086[],2,FALSE),"")</f>
        <v/>
      </c>
      <c r="J71" s="2" t="str">
        <f>IFERROR(VLOOKUP($A71,observations_series_id_PCU3241913241910_api_key_ecc133893ea92a842ee685c734246086[],3,FALSE),"")</f>
        <v/>
      </c>
      <c r="K71" t="str">
        <f>IFERROR(VLOOKUP($A71,observations_series_id_EXJPUS_api_key_ecc133893ea92a842ee685c734246086_file_type[],2,FALSE),"")</f>
        <v/>
      </c>
      <c r="L71" s="2" t="str">
        <f>IFERROR(VLOOKUP($A71,observations_series_id_EXJPUS_api_key_ecc133893ea92a842ee685c734246086_file_type[],3,FALSE),"")</f>
        <v/>
      </c>
      <c r="M71" t="str">
        <f>IFERROR(AVERAGEIFS(timeseries_access_key_fqeas14oitk235763mntlb1c0brnk9w3fenzqbk313q5kvxyf52kukw1pa[Value.LME-ZNC],timeseries_access_key_fqeas14oitk235763mntlb1c0brnk9w3fenzqbk313q5kvxyf52kukw1pa[Month],MONTH(Data!$A71),timeseries_access_key_fqeas14oitk235763mntlb1c0brnk9w3fenzqbk313q5kvxyf52kukw1pa[Year],YEAR(Data!$A71)),"")</f>
        <v/>
      </c>
      <c r="N71" s="2" t="str">
        <f>IFERROR(AVERAGEIFS(timeseries_access_key_fqeas14oitk235763mntlb1c0brnk9w3fenzqbk313q5kvxyf52kukw1pa[Column1],timeseries_access_key_fqeas14oitk235763mntlb1c0brnk9w3fenzqbk313q5kvxyf52kukw1pa[Month],MONTH(Data!$A71),timeseries_access_key_fqeas14oitk235763mntlb1c0brnk9w3fenzqbk313q5kvxyf52kukw1pa[Year],YEAR(Data!$A71)),"")</f>
        <v/>
      </c>
      <c r="O71" s="8" t="str">
        <f>IFERROR(VLOOKUP($A71,Text_1_2[[Text.1.1.3]:[Text.1.3]],2,FALSE),"")</f>
        <v/>
      </c>
      <c r="P71" s="2"/>
    </row>
    <row r="72" spans="1:16" x14ac:dyDescent="0.25">
      <c r="A72" s="1">
        <v>23316</v>
      </c>
      <c r="B72" t="str">
        <f>HLOOKUP(Dashboard!$I$27,results,ROW(A72),FALSE)</f>
        <v/>
      </c>
      <c r="C72">
        <f>IFERROR(VLOOKUP(A72,observations_series_id_PCU22112222112243_api_key_ecc133893ea92a842ee685c73424608[],2,FALSE),"")</f>
        <v>17.8</v>
      </c>
      <c r="D72" s="2">
        <f>IFERROR(VLOOKUP(A72,observations_series_id_PCU22112222112243_api_key_ecc133893ea92a842ee685c73424608[],3,FALSE),"")</f>
        <v>2.2471910112359716E-2</v>
      </c>
      <c r="E72" t="str">
        <f>IFERROR(VLOOKUP($A72,observations_series_id_WPU0613020T_api_key_ecc133893ea92a842ee685c734246086_file[],2,FALSE),"")</f>
        <v/>
      </c>
      <c r="F72" s="2" t="str">
        <f>IFERROR(VLOOKUP($A72,observations_series_id_WPU0613020T_api_key_ecc133893ea92a842ee685c734246086_file[],3,FALSE),"")</f>
        <v/>
      </c>
      <c r="G72" t="str">
        <f>IFERROR(VLOOKUP($A72,observations_series_id_PCU22122212_api_key_ecc133893ea92a842ee685c734246086_file[],2,FALSE),"")</f>
        <v/>
      </c>
      <c r="H72" s="2" t="str">
        <f>IFERROR(VLOOKUP($A72,observations_series_id_PCU22122212_api_key_ecc133893ea92a842ee685c734246086_file[],3,FALSE),"")</f>
        <v/>
      </c>
      <c r="I72" t="str">
        <f>IFERROR(VLOOKUP($A72,observations_series_id_PCU3241913241910_api_key_ecc133893ea92a842ee685c734246086[],2,FALSE),"")</f>
        <v/>
      </c>
      <c r="J72" s="2" t="str">
        <f>IFERROR(VLOOKUP($A72,observations_series_id_PCU3241913241910_api_key_ecc133893ea92a842ee685c734246086[],3,FALSE),"")</f>
        <v/>
      </c>
      <c r="K72" t="str">
        <f>IFERROR(VLOOKUP($A72,observations_series_id_EXJPUS_api_key_ecc133893ea92a842ee685c734246086_file_type[],2,FALSE),"")</f>
        <v/>
      </c>
      <c r="L72" s="2" t="str">
        <f>IFERROR(VLOOKUP($A72,observations_series_id_EXJPUS_api_key_ecc133893ea92a842ee685c734246086_file_type[],3,FALSE),"")</f>
        <v/>
      </c>
      <c r="M72" t="str">
        <f>IFERROR(AVERAGEIFS(timeseries_access_key_fqeas14oitk235763mntlb1c0brnk9w3fenzqbk313q5kvxyf52kukw1pa[Value.LME-ZNC],timeseries_access_key_fqeas14oitk235763mntlb1c0brnk9w3fenzqbk313q5kvxyf52kukw1pa[Month],MONTH(Data!$A72),timeseries_access_key_fqeas14oitk235763mntlb1c0brnk9w3fenzqbk313q5kvxyf52kukw1pa[Year],YEAR(Data!$A72)),"")</f>
        <v/>
      </c>
      <c r="N72" s="2" t="str">
        <f>IFERROR(AVERAGEIFS(timeseries_access_key_fqeas14oitk235763mntlb1c0brnk9w3fenzqbk313q5kvxyf52kukw1pa[Column1],timeseries_access_key_fqeas14oitk235763mntlb1c0brnk9w3fenzqbk313q5kvxyf52kukw1pa[Month],MONTH(Data!$A72),timeseries_access_key_fqeas14oitk235763mntlb1c0brnk9w3fenzqbk313q5kvxyf52kukw1pa[Year],YEAR(Data!$A72)),"")</f>
        <v/>
      </c>
      <c r="O72" s="8" t="str">
        <f>IFERROR(VLOOKUP($A72,Text_1_2[[Text.1.1.3]:[Text.1.3]],2,FALSE),"")</f>
        <v/>
      </c>
      <c r="P72" s="2"/>
    </row>
    <row r="73" spans="1:16" x14ac:dyDescent="0.25">
      <c r="A73" s="1">
        <v>23346</v>
      </c>
      <c r="B73" t="str">
        <f>HLOOKUP(Dashboard!$I$27,results,ROW(A73),FALSE)</f>
        <v/>
      </c>
      <c r="C73">
        <f>IFERROR(VLOOKUP(A73,observations_series_id_PCU22112222112243_api_key_ecc133893ea92a842ee685c73424608[],2,FALSE),"")</f>
        <v>17.8</v>
      </c>
      <c r="D73" s="2">
        <f>IFERROR(VLOOKUP(A73,observations_series_id_PCU22112222112243_api_key_ecc133893ea92a842ee685c73424608[],3,FALSE),"")</f>
        <v>2.2471910112359716E-2</v>
      </c>
      <c r="E73" t="str">
        <f>IFERROR(VLOOKUP($A73,observations_series_id_WPU0613020T_api_key_ecc133893ea92a842ee685c734246086_file[],2,FALSE),"")</f>
        <v/>
      </c>
      <c r="F73" s="2" t="str">
        <f>IFERROR(VLOOKUP($A73,observations_series_id_WPU0613020T_api_key_ecc133893ea92a842ee685c734246086_file[],3,FALSE),"")</f>
        <v/>
      </c>
      <c r="G73" t="str">
        <f>IFERROR(VLOOKUP($A73,observations_series_id_PCU22122212_api_key_ecc133893ea92a842ee685c734246086_file[],2,FALSE),"")</f>
        <v/>
      </c>
      <c r="H73" s="2" t="str">
        <f>IFERROR(VLOOKUP($A73,observations_series_id_PCU22122212_api_key_ecc133893ea92a842ee685c734246086_file[],3,FALSE),"")</f>
        <v/>
      </c>
      <c r="I73" t="str">
        <f>IFERROR(VLOOKUP($A73,observations_series_id_PCU3241913241910_api_key_ecc133893ea92a842ee685c734246086[],2,FALSE),"")</f>
        <v/>
      </c>
      <c r="J73" s="2" t="str">
        <f>IFERROR(VLOOKUP($A73,observations_series_id_PCU3241913241910_api_key_ecc133893ea92a842ee685c734246086[],3,FALSE),"")</f>
        <v/>
      </c>
      <c r="K73" t="str">
        <f>IFERROR(VLOOKUP($A73,observations_series_id_EXJPUS_api_key_ecc133893ea92a842ee685c734246086_file_type[],2,FALSE),"")</f>
        <v/>
      </c>
      <c r="L73" s="2" t="str">
        <f>IFERROR(VLOOKUP($A73,observations_series_id_EXJPUS_api_key_ecc133893ea92a842ee685c734246086_file_type[],3,FALSE),"")</f>
        <v/>
      </c>
      <c r="M73" t="str">
        <f>IFERROR(AVERAGEIFS(timeseries_access_key_fqeas14oitk235763mntlb1c0brnk9w3fenzqbk313q5kvxyf52kukw1pa[Value.LME-ZNC],timeseries_access_key_fqeas14oitk235763mntlb1c0brnk9w3fenzqbk313q5kvxyf52kukw1pa[Month],MONTH(Data!$A73),timeseries_access_key_fqeas14oitk235763mntlb1c0brnk9w3fenzqbk313q5kvxyf52kukw1pa[Year],YEAR(Data!$A73)),"")</f>
        <v/>
      </c>
      <c r="N73" s="2" t="str">
        <f>IFERROR(AVERAGEIFS(timeseries_access_key_fqeas14oitk235763mntlb1c0brnk9w3fenzqbk313q5kvxyf52kukw1pa[Column1],timeseries_access_key_fqeas14oitk235763mntlb1c0brnk9w3fenzqbk313q5kvxyf52kukw1pa[Month],MONTH(Data!$A73),timeseries_access_key_fqeas14oitk235763mntlb1c0brnk9w3fenzqbk313q5kvxyf52kukw1pa[Year],YEAR(Data!$A73)),"")</f>
        <v/>
      </c>
      <c r="O73" s="8" t="str">
        <f>IFERROR(VLOOKUP($A73,Text_1_2[[Text.1.1.3]:[Text.1.3]],2,FALSE),"")</f>
        <v/>
      </c>
      <c r="P73" s="2"/>
    </row>
    <row r="74" spans="1:16" x14ac:dyDescent="0.25">
      <c r="A74" s="1">
        <v>23377</v>
      </c>
      <c r="B74" t="str">
        <f>HLOOKUP(Dashboard!$I$27,results,ROW(A74),FALSE)</f>
        <v/>
      </c>
      <c r="C74">
        <f>IFERROR(VLOOKUP(A74,observations_series_id_PCU22112222112243_api_key_ecc133893ea92a842ee685c73424608[],2,FALSE),"")</f>
        <v>17.8</v>
      </c>
      <c r="D74" s="2">
        <f>IFERROR(VLOOKUP(A74,observations_series_id_PCU22112222112243_api_key_ecc133893ea92a842ee685c73424608[],3,FALSE),"")</f>
        <v>2.2471910112359716E-2</v>
      </c>
      <c r="E74" t="str">
        <f>IFERROR(VLOOKUP($A74,observations_series_id_WPU0613020T_api_key_ecc133893ea92a842ee685c734246086_file[],2,FALSE),"")</f>
        <v/>
      </c>
      <c r="F74" s="2" t="str">
        <f>IFERROR(VLOOKUP($A74,observations_series_id_WPU0613020T_api_key_ecc133893ea92a842ee685c734246086_file[],3,FALSE),"")</f>
        <v/>
      </c>
      <c r="G74" t="str">
        <f>IFERROR(VLOOKUP($A74,observations_series_id_PCU22122212_api_key_ecc133893ea92a842ee685c734246086_file[],2,FALSE),"")</f>
        <v/>
      </c>
      <c r="H74" s="2" t="str">
        <f>IFERROR(VLOOKUP($A74,observations_series_id_PCU22122212_api_key_ecc133893ea92a842ee685c734246086_file[],3,FALSE),"")</f>
        <v/>
      </c>
      <c r="I74" t="str">
        <f>IFERROR(VLOOKUP($A74,observations_series_id_PCU3241913241910_api_key_ecc133893ea92a842ee685c734246086[],2,FALSE),"")</f>
        <v/>
      </c>
      <c r="J74" s="2" t="str">
        <f>IFERROR(VLOOKUP($A74,observations_series_id_PCU3241913241910_api_key_ecc133893ea92a842ee685c734246086[],3,FALSE),"")</f>
        <v/>
      </c>
      <c r="K74" t="str">
        <f>IFERROR(VLOOKUP($A74,observations_series_id_EXJPUS_api_key_ecc133893ea92a842ee685c734246086_file_type[],2,FALSE),"")</f>
        <v/>
      </c>
      <c r="L74" s="2" t="str">
        <f>IFERROR(VLOOKUP($A74,observations_series_id_EXJPUS_api_key_ecc133893ea92a842ee685c734246086_file_type[],3,FALSE),"")</f>
        <v/>
      </c>
      <c r="M74" t="str">
        <f>IFERROR(AVERAGEIFS(timeseries_access_key_fqeas14oitk235763mntlb1c0brnk9w3fenzqbk313q5kvxyf52kukw1pa[Value.LME-ZNC],timeseries_access_key_fqeas14oitk235763mntlb1c0brnk9w3fenzqbk313q5kvxyf52kukw1pa[Month],MONTH(Data!$A74),timeseries_access_key_fqeas14oitk235763mntlb1c0brnk9w3fenzqbk313q5kvxyf52kukw1pa[Year],YEAR(Data!$A74)),"")</f>
        <v/>
      </c>
      <c r="N74" s="2" t="str">
        <f>IFERROR(AVERAGEIFS(timeseries_access_key_fqeas14oitk235763mntlb1c0brnk9w3fenzqbk313q5kvxyf52kukw1pa[Column1],timeseries_access_key_fqeas14oitk235763mntlb1c0brnk9w3fenzqbk313q5kvxyf52kukw1pa[Month],MONTH(Data!$A74),timeseries_access_key_fqeas14oitk235763mntlb1c0brnk9w3fenzqbk313q5kvxyf52kukw1pa[Year],YEAR(Data!$A74)),"")</f>
        <v/>
      </c>
      <c r="O74" s="8" t="str">
        <f>IFERROR(VLOOKUP($A74,Text_1_2[[Text.1.1.3]:[Text.1.3]],2,FALSE),"")</f>
        <v/>
      </c>
      <c r="P74" s="2"/>
    </row>
    <row r="75" spans="1:16" x14ac:dyDescent="0.25">
      <c r="A75" s="1">
        <v>23408</v>
      </c>
      <c r="B75" t="str">
        <f>HLOOKUP(Dashboard!$I$27,results,ROW(A75),FALSE)</f>
        <v/>
      </c>
      <c r="C75">
        <f>IFERROR(VLOOKUP(A75,observations_series_id_PCU22112222112243_api_key_ecc133893ea92a842ee685c73424608[],2,FALSE),"")</f>
        <v>17.8</v>
      </c>
      <c r="D75" s="2">
        <f>IFERROR(VLOOKUP(A75,observations_series_id_PCU22112222112243_api_key_ecc133893ea92a842ee685c73424608[],3,FALSE),"")</f>
        <v>2.2471910112359716E-2</v>
      </c>
      <c r="E75" t="str">
        <f>IFERROR(VLOOKUP($A75,observations_series_id_WPU0613020T_api_key_ecc133893ea92a842ee685c734246086_file[],2,FALSE),"")</f>
        <v/>
      </c>
      <c r="F75" s="2" t="str">
        <f>IFERROR(VLOOKUP($A75,observations_series_id_WPU0613020T_api_key_ecc133893ea92a842ee685c734246086_file[],3,FALSE),"")</f>
        <v/>
      </c>
      <c r="G75" t="str">
        <f>IFERROR(VLOOKUP($A75,observations_series_id_PCU22122212_api_key_ecc133893ea92a842ee685c734246086_file[],2,FALSE),"")</f>
        <v/>
      </c>
      <c r="H75" s="2" t="str">
        <f>IFERROR(VLOOKUP($A75,observations_series_id_PCU22122212_api_key_ecc133893ea92a842ee685c734246086_file[],3,FALSE),"")</f>
        <v/>
      </c>
      <c r="I75" t="str">
        <f>IFERROR(VLOOKUP($A75,observations_series_id_PCU3241913241910_api_key_ecc133893ea92a842ee685c734246086[],2,FALSE),"")</f>
        <v/>
      </c>
      <c r="J75" s="2" t="str">
        <f>IFERROR(VLOOKUP($A75,observations_series_id_PCU3241913241910_api_key_ecc133893ea92a842ee685c734246086[],3,FALSE),"")</f>
        <v/>
      </c>
      <c r="K75" t="str">
        <f>IFERROR(VLOOKUP($A75,observations_series_id_EXJPUS_api_key_ecc133893ea92a842ee685c734246086_file_type[],2,FALSE),"")</f>
        <v/>
      </c>
      <c r="L75" s="2" t="str">
        <f>IFERROR(VLOOKUP($A75,observations_series_id_EXJPUS_api_key_ecc133893ea92a842ee685c734246086_file_type[],3,FALSE),"")</f>
        <v/>
      </c>
      <c r="M75" t="str">
        <f>IFERROR(AVERAGEIFS(timeseries_access_key_fqeas14oitk235763mntlb1c0brnk9w3fenzqbk313q5kvxyf52kukw1pa[Value.LME-ZNC],timeseries_access_key_fqeas14oitk235763mntlb1c0brnk9w3fenzqbk313q5kvxyf52kukw1pa[Month],MONTH(Data!$A75),timeseries_access_key_fqeas14oitk235763mntlb1c0brnk9w3fenzqbk313q5kvxyf52kukw1pa[Year],YEAR(Data!$A75)),"")</f>
        <v/>
      </c>
      <c r="N75" s="2" t="str">
        <f>IFERROR(AVERAGEIFS(timeseries_access_key_fqeas14oitk235763mntlb1c0brnk9w3fenzqbk313q5kvxyf52kukw1pa[Column1],timeseries_access_key_fqeas14oitk235763mntlb1c0brnk9w3fenzqbk313q5kvxyf52kukw1pa[Month],MONTH(Data!$A75),timeseries_access_key_fqeas14oitk235763mntlb1c0brnk9w3fenzqbk313q5kvxyf52kukw1pa[Year],YEAR(Data!$A75)),"")</f>
        <v/>
      </c>
      <c r="O75" s="8" t="str">
        <f>IFERROR(VLOOKUP($A75,Text_1_2[[Text.1.1.3]:[Text.1.3]],2,FALSE),"")</f>
        <v/>
      </c>
      <c r="P75" s="2"/>
    </row>
    <row r="76" spans="1:16" x14ac:dyDescent="0.25">
      <c r="A76" s="1">
        <v>23437</v>
      </c>
      <c r="B76" t="str">
        <f>HLOOKUP(Dashboard!$I$27,results,ROW(A76),FALSE)</f>
        <v/>
      </c>
      <c r="C76">
        <f>IFERROR(VLOOKUP(A76,observations_series_id_PCU22112222112243_api_key_ecc133893ea92a842ee685c73424608[],2,FALSE),"")</f>
        <v>17.399999999999999</v>
      </c>
      <c r="D76" s="2">
        <f>IFERROR(VLOOKUP(A76,observations_series_id_PCU22112222112243_api_key_ecc133893ea92a842ee685c73424608[],3,FALSE),"")</f>
        <v>0</v>
      </c>
      <c r="E76" t="str">
        <f>IFERROR(VLOOKUP($A76,observations_series_id_WPU0613020T_api_key_ecc133893ea92a842ee685c734246086_file[],2,FALSE),"")</f>
        <v/>
      </c>
      <c r="F76" s="2" t="str">
        <f>IFERROR(VLOOKUP($A76,observations_series_id_WPU0613020T_api_key_ecc133893ea92a842ee685c734246086_file[],3,FALSE),"")</f>
        <v/>
      </c>
      <c r="G76" t="str">
        <f>IFERROR(VLOOKUP($A76,observations_series_id_PCU22122212_api_key_ecc133893ea92a842ee685c734246086_file[],2,FALSE),"")</f>
        <v/>
      </c>
      <c r="H76" s="2" t="str">
        <f>IFERROR(VLOOKUP($A76,observations_series_id_PCU22122212_api_key_ecc133893ea92a842ee685c734246086_file[],3,FALSE),"")</f>
        <v/>
      </c>
      <c r="I76" t="str">
        <f>IFERROR(VLOOKUP($A76,observations_series_id_PCU3241913241910_api_key_ecc133893ea92a842ee685c734246086[],2,FALSE),"")</f>
        <v/>
      </c>
      <c r="J76" s="2" t="str">
        <f>IFERROR(VLOOKUP($A76,observations_series_id_PCU3241913241910_api_key_ecc133893ea92a842ee685c734246086[],3,FALSE),"")</f>
        <v/>
      </c>
      <c r="K76" t="str">
        <f>IFERROR(VLOOKUP($A76,observations_series_id_EXJPUS_api_key_ecc133893ea92a842ee685c734246086_file_type[],2,FALSE),"")</f>
        <v/>
      </c>
      <c r="L76" s="2" t="str">
        <f>IFERROR(VLOOKUP($A76,observations_series_id_EXJPUS_api_key_ecc133893ea92a842ee685c734246086_file_type[],3,FALSE),"")</f>
        <v/>
      </c>
      <c r="M76" t="str">
        <f>IFERROR(AVERAGEIFS(timeseries_access_key_fqeas14oitk235763mntlb1c0brnk9w3fenzqbk313q5kvxyf52kukw1pa[Value.LME-ZNC],timeseries_access_key_fqeas14oitk235763mntlb1c0brnk9w3fenzqbk313q5kvxyf52kukw1pa[Month],MONTH(Data!$A76),timeseries_access_key_fqeas14oitk235763mntlb1c0brnk9w3fenzqbk313q5kvxyf52kukw1pa[Year],YEAR(Data!$A76)),"")</f>
        <v/>
      </c>
      <c r="N76" s="2" t="str">
        <f>IFERROR(AVERAGEIFS(timeseries_access_key_fqeas14oitk235763mntlb1c0brnk9w3fenzqbk313q5kvxyf52kukw1pa[Column1],timeseries_access_key_fqeas14oitk235763mntlb1c0brnk9w3fenzqbk313q5kvxyf52kukw1pa[Month],MONTH(Data!$A76),timeseries_access_key_fqeas14oitk235763mntlb1c0brnk9w3fenzqbk313q5kvxyf52kukw1pa[Year],YEAR(Data!$A76)),"")</f>
        <v/>
      </c>
      <c r="O76" s="8" t="str">
        <f>IFERROR(VLOOKUP($A76,Text_1_2[[Text.1.1.3]:[Text.1.3]],2,FALSE),"")</f>
        <v/>
      </c>
      <c r="P76" s="2"/>
    </row>
    <row r="77" spans="1:16" x14ac:dyDescent="0.25">
      <c r="A77" s="1">
        <v>23468</v>
      </c>
      <c r="B77" t="str">
        <f>HLOOKUP(Dashboard!$I$27,results,ROW(A77),FALSE)</f>
        <v/>
      </c>
      <c r="C77">
        <f>IFERROR(VLOOKUP(A77,observations_series_id_PCU22112222112243_api_key_ecc133893ea92a842ee685c73424608[],2,FALSE),"")</f>
        <v>17.8</v>
      </c>
      <c r="D77" s="2">
        <f>IFERROR(VLOOKUP(A77,observations_series_id_PCU22112222112243_api_key_ecc133893ea92a842ee685c73424608[],3,FALSE),"")</f>
        <v>2.2471910112359716E-2</v>
      </c>
      <c r="E77" t="str">
        <f>IFERROR(VLOOKUP($A77,observations_series_id_WPU0613020T_api_key_ecc133893ea92a842ee685c734246086_file[],2,FALSE),"")</f>
        <v/>
      </c>
      <c r="F77" s="2" t="str">
        <f>IFERROR(VLOOKUP($A77,observations_series_id_WPU0613020T_api_key_ecc133893ea92a842ee685c734246086_file[],3,FALSE),"")</f>
        <v/>
      </c>
      <c r="G77" t="str">
        <f>IFERROR(VLOOKUP($A77,observations_series_id_PCU22122212_api_key_ecc133893ea92a842ee685c734246086_file[],2,FALSE),"")</f>
        <v/>
      </c>
      <c r="H77" s="2" t="str">
        <f>IFERROR(VLOOKUP($A77,observations_series_id_PCU22122212_api_key_ecc133893ea92a842ee685c734246086_file[],3,FALSE),"")</f>
        <v/>
      </c>
      <c r="I77" t="str">
        <f>IFERROR(VLOOKUP($A77,observations_series_id_PCU3241913241910_api_key_ecc133893ea92a842ee685c734246086[],2,FALSE),"")</f>
        <v/>
      </c>
      <c r="J77" s="2" t="str">
        <f>IFERROR(VLOOKUP($A77,observations_series_id_PCU3241913241910_api_key_ecc133893ea92a842ee685c734246086[],3,FALSE),"")</f>
        <v/>
      </c>
      <c r="K77" t="str">
        <f>IFERROR(VLOOKUP($A77,observations_series_id_EXJPUS_api_key_ecc133893ea92a842ee685c734246086_file_type[],2,FALSE),"")</f>
        <v/>
      </c>
      <c r="L77" s="2" t="str">
        <f>IFERROR(VLOOKUP($A77,observations_series_id_EXJPUS_api_key_ecc133893ea92a842ee685c734246086_file_type[],3,FALSE),"")</f>
        <v/>
      </c>
      <c r="M77" t="str">
        <f>IFERROR(AVERAGEIFS(timeseries_access_key_fqeas14oitk235763mntlb1c0brnk9w3fenzqbk313q5kvxyf52kukw1pa[Value.LME-ZNC],timeseries_access_key_fqeas14oitk235763mntlb1c0brnk9w3fenzqbk313q5kvxyf52kukw1pa[Month],MONTH(Data!$A77),timeseries_access_key_fqeas14oitk235763mntlb1c0brnk9w3fenzqbk313q5kvxyf52kukw1pa[Year],YEAR(Data!$A77)),"")</f>
        <v/>
      </c>
      <c r="N77" s="2" t="str">
        <f>IFERROR(AVERAGEIFS(timeseries_access_key_fqeas14oitk235763mntlb1c0brnk9w3fenzqbk313q5kvxyf52kukw1pa[Column1],timeseries_access_key_fqeas14oitk235763mntlb1c0brnk9w3fenzqbk313q5kvxyf52kukw1pa[Month],MONTH(Data!$A77),timeseries_access_key_fqeas14oitk235763mntlb1c0brnk9w3fenzqbk313q5kvxyf52kukw1pa[Year],YEAR(Data!$A77)),"")</f>
        <v/>
      </c>
      <c r="O77" s="8" t="str">
        <f>IFERROR(VLOOKUP($A77,Text_1_2[[Text.1.1.3]:[Text.1.3]],2,FALSE),"")</f>
        <v/>
      </c>
      <c r="P77" s="2"/>
    </row>
    <row r="78" spans="1:16" x14ac:dyDescent="0.25">
      <c r="A78" s="1">
        <v>23498</v>
      </c>
      <c r="B78" t="str">
        <f>HLOOKUP(Dashboard!$I$27,results,ROW(A78),FALSE)</f>
        <v/>
      </c>
      <c r="C78">
        <f>IFERROR(VLOOKUP(A78,observations_series_id_PCU22112222112243_api_key_ecc133893ea92a842ee685c73424608[],2,FALSE),"")</f>
        <v>17.8</v>
      </c>
      <c r="D78" s="2">
        <f>IFERROR(VLOOKUP(A78,observations_series_id_PCU22112222112243_api_key_ecc133893ea92a842ee685c73424608[],3,FALSE),"")</f>
        <v>2.2471910112359716E-2</v>
      </c>
      <c r="E78" t="str">
        <f>IFERROR(VLOOKUP($A78,observations_series_id_WPU0613020T_api_key_ecc133893ea92a842ee685c734246086_file[],2,FALSE),"")</f>
        <v/>
      </c>
      <c r="F78" s="2" t="str">
        <f>IFERROR(VLOOKUP($A78,observations_series_id_WPU0613020T_api_key_ecc133893ea92a842ee685c734246086_file[],3,FALSE),"")</f>
        <v/>
      </c>
      <c r="G78" t="str">
        <f>IFERROR(VLOOKUP($A78,observations_series_id_PCU22122212_api_key_ecc133893ea92a842ee685c734246086_file[],2,FALSE),"")</f>
        <v/>
      </c>
      <c r="H78" s="2" t="str">
        <f>IFERROR(VLOOKUP($A78,observations_series_id_PCU22122212_api_key_ecc133893ea92a842ee685c734246086_file[],3,FALSE),"")</f>
        <v/>
      </c>
      <c r="I78" t="str">
        <f>IFERROR(VLOOKUP($A78,observations_series_id_PCU3241913241910_api_key_ecc133893ea92a842ee685c734246086[],2,FALSE),"")</f>
        <v/>
      </c>
      <c r="J78" s="2" t="str">
        <f>IFERROR(VLOOKUP($A78,observations_series_id_PCU3241913241910_api_key_ecc133893ea92a842ee685c734246086[],3,FALSE),"")</f>
        <v/>
      </c>
      <c r="K78" t="str">
        <f>IFERROR(VLOOKUP($A78,observations_series_id_EXJPUS_api_key_ecc133893ea92a842ee685c734246086_file_type[],2,FALSE),"")</f>
        <v/>
      </c>
      <c r="L78" s="2" t="str">
        <f>IFERROR(VLOOKUP($A78,observations_series_id_EXJPUS_api_key_ecc133893ea92a842ee685c734246086_file_type[],3,FALSE),"")</f>
        <v/>
      </c>
      <c r="M78" t="str">
        <f>IFERROR(AVERAGEIFS(timeseries_access_key_fqeas14oitk235763mntlb1c0brnk9w3fenzqbk313q5kvxyf52kukw1pa[Value.LME-ZNC],timeseries_access_key_fqeas14oitk235763mntlb1c0brnk9w3fenzqbk313q5kvxyf52kukw1pa[Month],MONTH(Data!$A78),timeseries_access_key_fqeas14oitk235763mntlb1c0brnk9w3fenzqbk313q5kvxyf52kukw1pa[Year],YEAR(Data!$A78)),"")</f>
        <v/>
      </c>
      <c r="N78" s="2" t="str">
        <f>IFERROR(AVERAGEIFS(timeseries_access_key_fqeas14oitk235763mntlb1c0brnk9w3fenzqbk313q5kvxyf52kukw1pa[Column1],timeseries_access_key_fqeas14oitk235763mntlb1c0brnk9w3fenzqbk313q5kvxyf52kukw1pa[Month],MONTH(Data!$A78),timeseries_access_key_fqeas14oitk235763mntlb1c0brnk9w3fenzqbk313q5kvxyf52kukw1pa[Year],YEAR(Data!$A78)),"")</f>
        <v/>
      </c>
      <c r="O78" s="8" t="str">
        <f>IFERROR(VLOOKUP($A78,Text_1_2[[Text.1.1.3]:[Text.1.3]],2,FALSE),"")</f>
        <v/>
      </c>
      <c r="P78" s="2"/>
    </row>
    <row r="79" spans="1:16" x14ac:dyDescent="0.25">
      <c r="A79" s="1">
        <v>23529</v>
      </c>
      <c r="B79" t="str">
        <f>HLOOKUP(Dashboard!$I$27,results,ROW(A79),FALSE)</f>
        <v/>
      </c>
      <c r="C79">
        <f>IFERROR(VLOOKUP(A79,observations_series_id_PCU22112222112243_api_key_ecc133893ea92a842ee685c73424608[],2,FALSE),"")</f>
        <v>17.8</v>
      </c>
      <c r="D79" s="2">
        <f>IFERROR(VLOOKUP(A79,observations_series_id_PCU22112222112243_api_key_ecc133893ea92a842ee685c73424608[],3,FALSE),"")</f>
        <v>2.2471910112359716E-2</v>
      </c>
      <c r="E79" t="str">
        <f>IFERROR(VLOOKUP($A79,observations_series_id_WPU0613020T_api_key_ecc133893ea92a842ee685c734246086_file[],2,FALSE),"")</f>
        <v/>
      </c>
      <c r="F79" s="2" t="str">
        <f>IFERROR(VLOOKUP($A79,observations_series_id_WPU0613020T_api_key_ecc133893ea92a842ee685c734246086_file[],3,FALSE),"")</f>
        <v/>
      </c>
      <c r="G79" t="str">
        <f>IFERROR(VLOOKUP($A79,observations_series_id_PCU22122212_api_key_ecc133893ea92a842ee685c734246086_file[],2,FALSE),"")</f>
        <v/>
      </c>
      <c r="H79" s="2" t="str">
        <f>IFERROR(VLOOKUP($A79,observations_series_id_PCU22122212_api_key_ecc133893ea92a842ee685c734246086_file[],3,FALSE),"")</f>
        <v/>
      </c>
      <c r="I79" t="str">
        <f>IFERROR(VLOOKUP($A79,observations_series_id_PCU3241913241910_api_key_ecc133893ea92a842ee685c734246086[],2,FALSE),"")</f>
        <v/>
      </c>
      <c r="J79" s="2" t="str">
        <f>IFERROR(VLOOKUP($A79,observations_series_id_PCU3241913241910_api_key_ecc133893ea92a842ee685c734246086[],3,FALSE),"")</f>
        <v/>
      </c>
      <c r="K79" t="str">
        <f>IFERROR(VLOOKUP($A79,observations_series_id_EXJPUS_api_key_ecc133893ea92a842ee685c734246086_file_type[],2,FALSE),"")</f>
        <v/>
      </c>
      <c r="L79" s="2" t="str">
        <f>IFERROR(VLOOKUP($A79,observations_series_id_EXJPUS_api_key_ecc133893ea92a842ee685c734246086_file_type[],3,FALSE),"")</f>
        <v/>
      </c>
      <c r="M79" t="str">
        <f>IFERROR(AVERAGEIFS(timeseries_access_key_fqeas14oitk235763mntlb1c0brnk9w3fenzqbk313q5kvxyf52kukw1pa[Value.LME-ZNC],timeseries_access_key_fqeas14oitk235763mntlb1c0brnk9w3fenzqbk313q5kvxyf52kukw1pa[Month],MONTH(Data!$A79),timeseries_access_key_fqeas14oitk235763mntlb1c0brnk9w3fenzqbk313q5kvxyf52kukw1pa[Year],YEAR(Data!$A79)),"")</f>
        <v/>
      </c>
      <c r="N79" s="2" t="str">
        <f>IFERROR(AVERAGEIFS(timeseries_access_key_fqeas14oitk235763mntlb1c0brnk9w3fenzqbk313q5kvxyf52kukw1pa[Column1],timeseries_access_key_fqeas14oitk235763mntlb1c0brnk9w3fenzqbk313q5kvxyf52kukw1pa[Month],MONTH(Data!$A79),timeseries_access_key_fqeas14oitk235763mntlb1c0brnk9w3fenzqbk313q5kvxyf52kukw1pa[Year],YEAR(Data!$A79)),"")</f>
        <v/>
      </c>
      <c r="O79" s="8" t="str">
        <f>IFERROR(VLOOKUP($A79,Text_1_2[[Text.1.1.3]:[Text.1.3]],2,FALSE),"")</f>
        <v/>
      </c>
      <c r="P79" s="2"/>
    </row>
    <row r="80" spans="1:16" x14ac:dyDescent="0.25">
      <c r="A80" s="1">
        <v>23559</v>
      </c>
      <c r="B80" t="str">
        <f>HLOOKUP(Dashboard!$I$27,results,ROW(A80),FALSE)</f>
        <v/>
      </c>
      <c r="C80">
        <f>IFERROR(VLOOKUP(A80,observations_series_id_PCU22112222112243_api_key_ecc133893ea92a842ee685c73424608[],2,FALSE),"")</f>
        <v>17.7</v>
      </c>
      <c r="D80" s="2">
        <f>IFERROR(VLOOKUP(A80,observations_series_id_PCU22112222112243_api_key_ecc133893ea92a842ee685c73424608[],3,FALSE),"")</f>
        <v>1.6949152542372947E-2</v>
      </c>
      <c r="E80" t="str">
        <f>IFERROR(VLOOKUP($A80,observations_series_id_WPU0613020T_api_key_ecc133893ea92a842ee685c734246086_file[],2,FALSE),"")</f>
        <v/>
      </c>
      <c r="F80" s="2" t="str">
        <f>IFERROR(VLOOKUP($A80,observations_series_id_WPU0613020T_api_key_ecc133893ea92a842ee685c734246086_file[],3,FALSE),"")</f>
        <v/>
      </c>
      <c r="G80" t="str">
        <f>IFERROR(VLOOKUP($A80,observations_series_id_PCU22122212_api_key_ecc133893ea92a842ee685c734246086_file[],2,FALSE),"")</f>
        <v/>
      </c>
      <c r="H80" s="2" t="str">
        <f>IFERROR(VLOOKUP($A80,observations_series_id_PCU22122212_api_key_ecc133893ea92a842ee685c734246086_file[],3,FALSE),"")</f>
        <v/>
      </c>
      <c r="I80" t="str">
        <f>IFERROR(VLOOKUP($A80,observations_series_id_PCU3241913241910_api_key_ecc133893ea92a842ee685c734246086[],2,FALSE),"")</f>
        <v/>
      </c>
      <c r="J80" s="2" t="str">
        <f>IFERROR(VLOOKUP($A80,observations_series_id_PCU3241913241910_api_key_ecc133893ea92a842ee685c734246086[],3,FALSE),"")</f>
        <v/>
      </c>
      <c r="K80" t="str">
        <f>IFERROR(VLOOKUP($A80,observations_series_id_EXJPUS_api_key_ecc133893ea92a842ee685c734246086_file_type[],2,FALSE),"")</f>
        <v/>
      </c>
      <c r="L80" s="2" t="str">
        <f>IFERROR(VLOOKUP($A80,observations_series_id_EXJPUS_api_key_ecc133893ea92a842ee685c734246086_file_type[],3,FALSE),"")</f>
        <v/>
      </c>
      <c r="M80" t="str">
        <f>IFERROR(AVERAGEIFS(timeseries_access_key_fqeas14oitk235763mntlb1c0brnk9w3fenzqbk313q5kvxyf52kukw1pa[Value.LME-ZNC],timeseries_access_key_fqeas14oitk235763mntlb1c0brnk9w3fenzqbk313q5kvxyf52kukw1pa[Month],MONTH(Data!$A80),timeseries_access_key_fqeas14oitk235763mntlb1c0brnk9w3fenzqbk313q5kvxyf52kukw1pa[Year],YEAR(Data!$A80)),"")</f>
        <v/>
      </c>
      <c r="N80" s="2" t="str">
        <f>IFERROR(AVERAGEIFS(timeseries_access_key_fqeas14oitk235763mntlb1c0brnk9w3fenzqbk313q5kvxyf52kukw1pa[Column1],timeseries_access_key_fqeas14oitk235763mntlb1c0brnk9w3fenzqbk313q5kvxyf52kukw1pa[Month],MONTH(Data!$A80),timeseries_access_key_fqeas14oitk235763mntlb1c0brnk9w3fenzqbk313q5kvxyf52kukw1pa[Year],YEAR(Data!$A80)),"")</f>
        <v/>
      </c>
      <c r="O80" s="8" t="str">
        <f>IFERROR(VLOOKUP($A80,Text_1_2[[Text.1.1.3]:[Text.1.3]],2,FALSE),"")</f>
        <v/>
      </c>
      <c r="P80" s="2"/>
    </row>
    <row r="81" spans="1:16" x14ac:dyDescent="0.25">
      <c r="A81" s="1">
        <v>23590</v>
      </c>
      <c r="B81" t="str">
        <f>HLOOKUP(Dashboard!$I$27,results,ROW(A81),FALSE)</f>
        <v/>
      </c>
      <c r="C81">
        <f>IFERROR(VLOOKUP(A81,observations_series_id_PCU22112222112243_api_key_ecc133893ea92a842ee685c73424608[],2,FALSE),"")</f>
        <v>17.899999999999999</v>
      </c>
      <c r="D81" s="2">
        <f>IFERROR(VLOOKUP(A81,observations_series_id_PCU22112222112243_api_key_ecc133893ea92a842ee685c73424608[],3,FALSE),"")</f>
        <v>2.7932960893854775E-2</v>
      </c>
      <c r="E81" t="str">
        <f>IFERROR(VLOOKUP($A81,observations_series_id_WPU0613020T_api_key_ecc133893ea92a842ee685c734246086_file[],2,FALSE),"")</f>
        <v/>
      </c>
      <c r="F81" s="2" t="str">
        <f>IFERROR(VLOOKUP($A81,observations_series_id_WPU0613020T_api_key_ecc133893ea92a842ee685c734246086_file[],3,FALSE),"")</f>
        <v/>
      </c>
      <c r="G81" t="str">
        <f>IFERROR(VLOOKUP($A81,observations_series_id_PCU22122212_api_key_ecc133893ea92a842ee685c734246086_file[],2,FALSE),"")</f>
        <v/>
      </c>
      <c r="H81" s="2" t="str">
        <f>IFERROR(VLOOKUP($A81,observations_series_id_PCU22122212_api_key_ecc133893ea92a842ee685c734246086_file[],3,FALSE),"")</f>
        <v/>
      </c>
      <c r="I81" t="str">
        <f>IFERROR(VLOOKUP($A81,observations_series_id_PCU3241913241910_api_key_ecc133893ea92a842ee685c734246086[],2,FALSE),"")</f>
        <v/>
      </c>
      <c r="J81" s="2" t="str">
        <f>IFERROR(VLOOKUP($A81,observations_series_id_PCU3241913241910_api_key_ecc133893ea92a842ee685c734246086[],3,FALSE),"")</f>
        <v/>
      </c>
      <c r="K81" t="str">
        <f>IFERROR(VLOOKUP($A81,observations_series_id_EXJPUS_api_key_ecc133893ea92a842ee685c734246086_file_type[],2,FALSE),"")</f>
        <v/>
      </c>
      <c r="L81" s="2" t="str">
        <f>IFERROR(VLOOKUP($A81,observations_series_id_EXJPUS_api_key_ecc133893ea92a842ee685c734246086_file_type[],3,FALSE),"")</f>
        <v/>
      </c>
      <c r="M81" t="str">
        <f>IFERROR(AVERAGEIFS(timeseries_access_key_fqeas14oitk235763mntlb1c0brnk9w3fenzqbk313q5kvxyf52kukw1pa[Value.LME-ZNC],timeseries_access_key_fqeas14oitk235763mntlb1c0brnk9w3fenzqbk313q5kvxyf52kukw1pa[Month],MONTH(Data!$A81),timeseries_access_key_fqeas14oitk235763mntlb1c0brnk9w3fenzqbk313q5kvxyf52kukw1pa[Year],YEAR(Data!$A81)),"")</f>
        <v/>
      </c>
      <c r="N81" s="2" t="str">
        <f>IFERROR(AVERAGEIFS(timeseries_access_key_fqeas14oitk235763mntlb1c0brnk9w3fenzqbk313q5kvxyf52kukw1pa[Column1],timeseries_access_key_fqeas14oitk235763mntlb1c0brnk9w3fenzqbk313q5kvxyf52kukw1pa[Month],MONTH(Data!$A81),timeseries_access_key_fqeas14oitk235763mntlb1c0brnk9w3fenzqbk313q5kvxyf52kukw1pa[Year],YEAR(Data!$A81)),"")</f>
        <v/>
      </c>
      <c r="O81" s="8" t="str">
        <f>IFERROR(VLOOKUP($A81,Text_1_2[[Text.1.1.3]:[Text.1.3]],2,FALSE),"")</f>
        <v/>
      </c>
      <c r="P81" s="2"/>
    </row>
    <row r="82" spans="1:16" x14ac:dyDescent="0.25">
      <c r="A82" s="1">
        <v>23621</v>
      </c>
      <c r="B82" t="str">
        <f>HLOOKUP(Dashboard!$I$27,results,ROW(A82),FALSE)</f>
        <v/>
      </c>
      <c r="C82">
        <f>IFERROR(VLOOKUP(A82,observations_series_id_PCU22112222112243_api_key_ecc133893ea92a842ee685c73424608[],2,FALSE),"")</f>
        <v>17.899999999999999</v>
      </c>
      <c r="D82" s="2">
        <f>IFERROR(VLOOKUP(A82,observations_series_id_PCU22112222112243_api_key_ecc133893ea92a842ee685c73424608[],3,FALSE),"")</f>
        <v>2.7932960893854775E-2</v>
      </c>
      <c r="E82" t="str">
        <f>IFERROR(VLOOKUP($A82,observations_series_id_WPU0613020T_api_key_ecc133893ea92a842ee685c734246086_file[],2,FALSE),"")</f>
        <v/>
      </c>
      <c r="F82" s="2" t="str">
        <f>IFERROR(VLOOKUP($A82,observations_series_id_WPU0613020T_api_key_ecc133893ea92a842ee685c734246086_file[],3,FALSE),"")</f>
        <v/>
      </c>
      <c r="G82" t="str">
        <f>IFERROR(VLOOKUP($A82,observations_series_id_PCU22122212_api_key_ecc133893ea92a842ee685c734246086_file[],2,FALSE),"")</f>
        <v/>
      </c>
      <c r="H82" s="2" t="str">
        <f>IFERROR(VLOOKUP($A82,observations_series_id_PCU22122212_api_key_ecc133893ea92a842ee685c734246086_file[],3,FALSE),"")</f>
        <v/>
      </c>
      <c r="I82" t="str">
        <f>IFERROR(VLOOKUP($A82,observations_series_id_PCU3241913241910_api_key_ecc133893ea92a842ee685c734246086[],2,FALSE),"")</f>
        <v/>
      </c>
      <c r="J82" s="2" t="str">
        <f>IFERROR(VLOOKUP($A82,observations_series_id_PCU3241913241910_api_key_ecc133893ea92a842ee685c734246086[],3,FALSE),"")</f>
        <v/>
      </c>
      <c r="K82" t="str">
        <f>IFERROR(VLOOKUP($A82,observations_series_id_EXJPUS_api_key_ecc133893ea92a842ee685c734246086_file_type[],2,FALSE),"")</f>
        <v/>
      </c>
      <c r="L82" s="2" t="str">
        <f>IFERROR(VLOOKUP($A82,observations_series_id_EXJPUS_api_key_ecc133893ea92a842ee685c734246086_file_type[],3,FALSE),"")</f>
        <v/>
      </c>
      <c r="M82" t="str">
        <f>IFERROR(AVERAGEIFS(timeseries_access_key_fqeas14oitk235763mntlb1c0brnk9w3fenzqbk313q5kvxyf52kukw1pa[Value.LME-ZNC],timeseries_access_key_fqeas14oitk235763mntlb1c0brnk9w3fenzqbk313q5kvxyf52kukw1pa[Month],MONTH(Data!$A82),timeseries_access_key_fqeas14oitk235763mntlb1c0brnk9w3fenzqbk313q5kvxyf52kukw1pa[Year],YEAR(Data!$A82)),"")</f>
        <v/>
      </c>
      <c r="N82" s="2" t="str">
        <f>IFERROR(AVERAGEIFS(timeseries_access_key_fqeas14oitk235763mntlb1c0brnk9w3fenzqbk313q5kvxyf52kukw1pa[Column1],timeseries_access_key_fqeas14oitk235763mntlb1c0brnk9w3fenzqbk313q5kvxyf52kukw1pa[Month],MONTH(Data!$A82),timeseries_access_key_fqeas14oitk235763mntlb1c0brnk9w3fenzqbk313q5kvxyf52kukw1pa[Year],YEAR(Data!$A82)),"")</f>
        <v/>
      </c>
      <c r="O82" s="8" t="str">
        <f>IFERROR(VLOOKUP($A82,Text_1_2[[Text.1.1.3]:[Text.1.3]],2,FALSE),"")</f>
        <v/>
      </c>
      <c r="P82" s="2"/>
    </row>
    <row r="83" spans="1:16" x14ac:dyDescent="0.25">
      <c r="A83" s="1">
        <v>23651</v>
      </c>
      <c r="B83" t="str">
        <f>HLOOKUP(Dashboard!$I$27,results,ROW(A83),FALSE)</f>
        <v/>
      </c>
      <c r="C83">
        <f>IFERROR(VLOOKUP(A83,observations_series_id_PCU22112222112243_api_key_ecc133893ea92a842ee685c73424608[],2,FALSE),"")</f>
        <v>17.899999999999999</v>
      </c>
      <c r="D83" s="2">
        <f>IFERROR(VLOOKUP(A83,observations_series_id_PCU22112222112243_api_key_ecc133893ea92a842ee685c73424608[],3,FALSE),"")</f>
        <v>2.7932960893854775E-2</v>
      </c>
      <c r="E83" t="str">
        <f>IFERROR(VLOOKUP($A83,observations_series_id_WPU0613020T_api_key_ecc133893ea92a842ee685c734246086_file[],2,FALSE),"")</f>
        <v/>
      </c>
      <c r="F83" s="2" t="str">
        <f>IFERROR(VLOOKUP($A83,observations_series_id_WPU0613020T_api_key_ecc133893ea92a842ee685c734246086_file[],3,FALSE),"")</f>
        <v/>
      </c>
      <c r="G83" t="str">
        <f>IFERROR(VLOOKUP($A83,observations_series_id_PCU22122212_api_key_ecc133893ea92a842ee685c734246086_file[],2,FALSE),"")</f>
        <v/>
      </c>
      <c r="H83" s="2" t="str">
        <f>IFERROR(VLOOKUP($A83,observations_series_id_PCU22122212_api_key_ecc133893ea92a842ee685c734246086_file[],3,FALSE),"")</f>
        <v/>
      </c>
      <c r="I83" t="str">
        <f>IFERROR(VLOOKUP($A83,observations_series_id_PCU3241913241910_api_key_ecc133893ea92a842ee685c734246086[],2,FALSE),"")</f>
        <v/>
      </c>
      <c r="J83" s="2" t="str">
        <f>IFERROR(VLOOKUP($A83,observations_series_id_PCU3241913241910_api_key_ecc133893ea92a842ee685c734246086[],3,FALSE),"")</f>
        <v/>
      </c>
      <c r="K83" t="str">
        <f>IFERROR(VLOOKUP($A83,observations_series_id_EXJPUS_api_key_ecc133893ea92a842ee685c734246086_file_type[],2,FALSE),"")</f>
        <v/>
      </c>
      <c r="L83" s="2" t="str">
        <f>IFERROR(VLOOKUP($A83,observations_series_id_EXJPUS_api_key_ecc133893ea92a842ee685c734246086_file_type[],3,FALSE),"")</f>
        <v/>
      </c>
      <c r="M83" t="str">
        <f>IFERROR(AVERAGEIFS(timeseries_access_key_fqeas14oitk235763mntlb1c0brnk9w3fenzqbk313q5kvxyf52kukw1pa[Value.LME-ZNC],timeseries_access_key_fqeas14oitk235763mntlb1c0brnk9w3fenzqbk313q5kvxyf52kukw1pa[Month],MONTH(Data!$A83),timeseries_access_key_fqeas14oitk235763mntlb1c0brnk9w3fenzqbk313q5kvxyf52kukw1pa[Year],YEAR(Data!$A83)),"")</f>
        <v/>
      </c>
      <c r="N83" s="2" t="str">
        <f>IFERROR(AVERAGEIFS(timeseries_access_key_fqeas14oitk235763mntlb1c0brnk9w3fenzqbk313q5kvxyf52kukw1pa[Column1],timeseries_access_key_fqeas14oitk235763mntlb1c0brnk9w3fenzqbk313q5kvxyf52kukw1pa[Month],MONTH(Data!$A83),timeseries_access_key_fqeas14oitk235763mntlb1c0brnk9w3fenzqbk313q5kvxyf52kukw1pa[Year],YEAR(Data!$A83)),"")</f>
        <v/>
      </c>
      <c r="O83" s="8" t="str">
        <f>IFERROR(VLOOKUP($A83,Text_1_2[[Text.1.1.3]:[Text.1.3]],2,FALSE),"")</f>
        <v/>
      </c>
      <c r="P83" s="2"/>
    </row>
    <row r="84" spans="1:16" x14ac:dyDescent="0.25">
      <c r="A84" s="1">
        <v>23682</v>
      </c>
      <c r="B84" t="str">
        <f>HLOOKUP(Dashboard!$I$27,results,ROW(A84),FALSE)</f>
        <v/>
      </c>
      <c r="C84">
        <f>IFERROR(VLOOKUP(A84,observations_series_id_PCU22112222112243_api_key_ecc133893ea92a842ee685c73424608[],2,FALSE),"")</f>
        <v>17.899999999999999</v>
      </c>
      <c r="D84" s="2">
        <f>IFERROR(VLOOKUP(A84,observations_series_id_PCU22112222112243_api_key_ecc133893ea92a842ee685c73424608[],3,FALSE),"")</f>
        <v>2.7932960893854775E-2</v>
      </c>
      <c r="E84" t="str">
        <f>IFERROR(VLOOKUP($A84,observations_series_id_WPU0613020T_api_key_ecc133893ea92a842ee685c734246086_file[],2,FALSE),"")</f>
        <v/>
      </c>
      <c r="F84" s="2" t="str">
        <f>IFERROR(VLOOKUP($A84,observations_series_id_WPU0613020T_api_key_ecc133893ea92a842ee685c734246086_file[],3,FALSE),"")</f>
        <v/>
      </c>
      <c r="G84" t="str">
        <f>IFERROR(VLOOKUP($A84,observations_series_id_PCU22122212_api_key_ecc133893ea92a842ee685c734246086_file[],2,FALSE),"")</f>
        <v/>
      </c>
      <c r="H84" s="2" t="str">
        <f>IFERROR(VLOOKUP($A84,observations_series_id_PCU22122212_api_key_ecc133893ea92a842ee685c734246086_file[],3,FALSE),"")</f>
        <v/>
      </c>
      <c r="I84" t="str">
        <f>IFERROR(VLOOKUP($A84,observations_series_id_PCU3241913241910_api_key_ecc133893ea92a842ee685c734246086[],2,FALSE),"")</f>
        <v/>
      </c>
      <c r="J84" s="2" t="str">
        <f>IFERROR(VLOOKUP($A84,observations_series_id_PCU3241913241910_api_key_ecc133893ea92a842ee685c734246086[],3,FALSE),"")</f>
        <v/>
      </c>
      <c r="K84" t="str">
        <f>IFERROR(VLOOKUP($A84,observations_series_id_EXJPUS_api_key_ecc133893ea92a842ee685c734246086_file_type[],2,FALSE),"")</f>
        <v/>
      </c>
      <c r="L84" s="2" t="str">
        <f>IFERROR(VLOOKUP($A84,observations_series_id_EXJPUS_api_key_ecc133893ea92a842ee685c734246086_file_type[],3,FALSE),"")</f>
        <v/>
      </c>
      <c r="M84" t="str">
        <f>IFERROR(AVERAGEIFS(timeseries_access_key_fqeas14oitk235763mntlb1c0brnk9w3fenzqbk313q5kvxyf52kukw1pa[Value.LME-ZNC],timeseries_access_key_fqeas14oitk235763mntlb1c0brnk9w3fenzqbk313q5kvxyf52kukw1pa[Month],MONTH(Data!$A84),timeseries_access_key_fqeas14oitk235763mntlb1c0brnk9w3fenzqbk313q5kvxyf52kukw1pa[Year],YEAR(Data!$A84)),"")</f>
        <v/>
      </c>
      <c r="N84" s="2" t="str">
        <f>IFERROR(AVERAGEIFS(timeseries_access_key_fqeas14oitk235763mntlb1c0brnk9w3fenzqbk313q5kvxyf52kukw1pa[Column1],timeseries_access_key_fqeas14oitk235763mntlb1c0brnk9w3fenzqbk313q5kvxyf52kukw1pa[Month],MONTH(Data!$A84),timeseries_access_key_fqeas14oitk235763mntlb1c0brnk9w3fenzqbk313q5kvxyf52kukw1pa[Year],YEAR(Data!$A84)),"")</f>
        <v/>
      </c>
      <c r="O84" s="8" t="str">
        <f>IFERROR(VLOOKUP($A84,Text_1_2[[Text.1.1.3]:[Text.1.3]],2,FALSE),"")</f>
        <v/>
      </c>
      <c r="P84" s="2"/>
    </row>
    <row r="85" spans="1:16" x14ac:dyDescent="0.25">
      <c r="A85" s="1">
        <v>23712</v>
      </c>
      <c r="B85" t="str">
        <f>HLOOKUP(Dashboard!$I$27,results,ROW(A85),FALSE)</f>
        <v/>
      </c>
      <c r="C85">
        <f>IFERROR(VLOOKUP(A85,observations_series_id_PCU22112222112243_api_key_ecc133893ea92a842ee685c73424608[],2,FALSE),"")</f>
        <v>17.899999999999999</v>
      </c>
      <c r="D85" s="2">
        <f>IFERROR(VLOOKUP(A85,observations_series_id_PCU22112222112243_api_key_ecc133893ea92a842ee685c73424608[],3,FALSE),"")</f>
        <v>2.7932960893854775E-2</v>
      </c>
      <c r="E85" t="str">
        <f>IFERROR(VLOOKUP($A85,observations_series_id_WPU0613020T_api_key_ecc133893ea92a842ee685c734246086_file[],2,FALSE),"")</f>
        <v/>
      </c>
      <c r="F85" s="2" t="str">
        <f>IFERROR(VLOOKUP($A85,observations_series_id_WPU0613020T_api_key_ecc133893ea92a842ee685c734246086_file[],3,FALSE),"")</f>
        <v/>
      </c>
      <c r="G85" t="str">
        <f>IFERROR(VLOOKUP($A85,observations_series_id_PCU22122212_api_key_ecc133893ea92a842ee685c734246086_file[],2,FALSE),"")</f>
        <v/>
      </c>
      <c r="H85" s="2" t="str">
        <f>IFERROR(VLOOKUP($A85,observations_series_id_PCU22122212_api_key_ecc133893ea92a842ee685c734246086_file[],3,FALSE),"")</f>
        <v/>
      </c>
      <c r="I85" t="str">
        <f>IFERROR(VLOOKUP($A85,observations_series_id_PCU3241913241910_api_key_ecc133893ea92a842ee685c734246086[],2,FALSE),"")</f>
        <v/>
      </c>
      <c r="J85" s="2" t="str">
        <f>IFERROR(VLOOKUP($A85,observations_series_id_PCU3241913241910_api_key_ecc133893ea92a842ee685c734246086[],3,FALSE),"")</f>
        <v/>
      </c>
      <c r="K85" t="str">
        <f>IFERROR(VLOOKUP($A85,observations_series_id_EXJPUS_api_key_ecc133893ea92a842ee685c734246086_file_type[],2,FALSE),"")</f>
        <v/>
      </c>
      <c r="L85" s="2" t="str">
        <f>IFERROR(VLOOKUP($A85,observations_series_id_EXJPUS_api_key_ecc133893ea92a842ee685c734246086_file_type[],3,FALSE),"")</f>
        <v/>
      </c>
      <c r="M85" t="str">
        <f>IFERROR(AVERAGEIFS(timeseries_access_key_fqeas14oitk235763mntlb1c0brnk9w3fenzqbk313q5kvxyf52kukw1pa[Value.LME-ZNC],timeseries_access_key_fqeas14oitk235763mntlb1c0brnk9w3fenzqbk313q5kvxyf52kukw1pa[Month],MONTH(Data!$A85),timeseries_access_key_fqeas14oitk235763mntlb1c0brnk9w3fenzqbk313q5kvxyf52kukw1pa[Year],YEAR(Data!$A85)),"")</f>
        <v/>
      </c>
      <c r="N85" s="2" t="str">
        <f>IFERROR(AVERAGEIFS(timeseries_access_key_fqeas14oitk235763mntlb1c0brnk9w3fenzqbk313q5kvxyf52kukw1pa[Column1],timeseries_access_key_fqeas14oitk235763mntlb1c0brnk9w3fenzqbk313q5kvxyf52kukw1pa[Month],MONTH(Data!$A85),timeseries_access_key_fqeas14oitk235763mntlb1c0brnk9w3fenzqbk313q5kvxyf52kukw1pa[Year],YEAR(Data!$A85)),"")</f>
        <v/>
      </c>
      <c r="O85" s="8" t="str">
        <f>IFERROR(VLOOKUP($A85,Text_1_2[[Text.1.1.3]:[Text.1.3]],2,FALSE),"")</f>
        <v/>
      </c>
      <c r="P85" s="2"/>
    </row>
    <row r="86" spans="1:16" x14ac:dyDescent="0.25">
      <c r="A86" s="1">
        <v>23743</v>
      </c>
      <c r="B86" t="str">
        <f>HLOOKUP(Dashboard!$I$27,results,ROW(A86),FALSE)</f>
        <v/>
      </c>
      <c r="C86">
        <f>IFERROR(VLOOKUP(A86,observations_series_id_PCU22112222112243_api_key_ecc133893ea92a842ee685c73424608[],2,FALSE),"")</f>
        <v>17.899999999999999</v>
      </c>
      <c r="D86" s="2">
        <f>IFERROR(VLOOKUP(A86,observations_series_id_PCU22112222112243_api_key_ecc133893ea92a842ee685c73424608[],3,FALSE),"")</f>
        <v>2.7932960893854775E-2</v>
      </c>
      <c r="E86" t="str">
        <f>IFERROR(VLOOKUP($A86,observations_series_id_WPU0613020T_api_key_ecc133893ea92a842ee685c734246086_file[],2,FALSE),"")</f>
        <v/>
      </c>
      <c r="F86" s="2" t="str">
        <f>IFERROR(VLOOKUP($A86,observations_series_id_WPU0613020T_api_key_ecc133893ea92a842ee685c734246086_file[],3,FALSE),"")</f>
        <v/>
      </c>
      <c r="G86" t="str">
        <f>IFERROR(VLOOKUP($A86,observations_series_id_PCU22122212_api_key_ecc133893ea92a842ee685c734246086_file[],2,FALSE),"")</f>
        <v/>
      </c>
      <c r="H86" s="2" t="str">
        <f>IFERROR(VLOOKUP($A86,observations_series_id_PCU22122212_api_key_ecc133893ea92a842ee685c734246086_file[],3,FALSE),"")</f>
        <v/>
      </c>
      <c r="I86" t="str">
        <f>IFERROR(VLOOKUP($A86,observations_series_id_PCU3241913241910_api_key_ecc133893ea92a842ee685c734246086[],2,FALSE),"")</f>
        <v/>
      </c>
      <c r="J86" s="2" t="str">
        <f>IFERROR(VLOOKUP($A86,observations_series_id_PCU3241913241910_api_key_ecc133893ea92a842ee685c734246086[],3,FALSE),"")</f>
        <v/>
      </c>
      <c r="K86" t="str">
        <f>IFERROR(VLOOKUP($A86,observations_series_id_EXJPUS_api_key_ecc133893ea92a842ee685c734246086_file_type[],2,FALSE),"")</f>
        <v/>
      </c>
      <c r="L86" s="2" t="str">
        <f>IFERROR(VLOOKUP($A86,observations_series_id_EXJPUS_api_key_ecc133893ea92a842ee685c734246086_file_type[],3,FALSE),"")</f>
        <v/>
      </c>
      <c r="M86" t="str">
        <f>IFERROR(AVERAGEIFS(timeseries_access_key_fqeas14oitk235763mntlb1c0brnk9w3fenzqbk313q5kvxyf52kukw1pa[Value.LME-ZNC],timeseries_access_key_fqeas14oitk235763mntlb1c0brnk9w3fenzqbk313q5kvxyf52kukw1pa[Month],MONTH(Data!$A86),timeseries_access_key_fqeas14oitk235763mntlb1c0brnk9w3fenzqbk313q5kvxyf52kukw1pa[Year],YEAR(Data!$A86)),"")</f>
        <v/>
      </c>
      <c r="N86" s="2" t="str">
        <f>IFERROR(AVERAGEIFS(timeseries_access_key_fqeas14oitk235763mntlb1c0brnk9w3fenzqbk313q5kvxyf52kukw1pa[Column1],timeseries_access_key_fqeas14oitk235763mntlb1c0brnk9w3fenzqbk313q5kvxyf52kukw1pa[Month],MONTH(Data!$A86),timeseries_access_key_fqeas14oitk235763mntlb1c0brnk9w3fenzqbk313q5kvxyf52kukw1pa[Year],YEAR(Data!$A86)),"")</f>
        <v/>
      </c>
      <c r="O86" s="8" t="str">
        <f>IFERROR(VLOOKUP($A86,Text_1_2[[Text.1.1.3]:[Text.1.3]],2,FALSE),"")</f>
        <v/>
      </c>
      <c r="P86" s="2"/>
    </row>
    <row r="87" spans="1:16" x14ac:dyDescent="0.25">
      <c r="A87" s="1">
        <v>23774</v>
      </c>
      <c r="B87" t="str">
        <f>HLOOKUP(Dashboard!$I$27,results,ROW(A87),FALSE)</f>
        <v/>
      </c>
      <c r="C87">
        <f>IFERROR(VLOOKUP(A87,observations_series_id_PCU22112222112243_api_key_ecc133893ea92a842ee685c73424608[],2,FALSE),"")</f>
        <v>17.8</v>
      </c>
      <c r="D87" s="2">
        <f>IFERROR(VLOOKUP(A87,observations_series_id_PCU22112222112243_api_key_ecc133893ea92a842ee685c73424608[],3,FALSE),"")</f>
        <v>2.2471910112359716E-2</v>
      </c>
      <c r="E87" t="str">
        <f>IFERROR(VLOOKUP($A87,observations_series_id_WPU0613020T_api_key_ecc133893ea92a842ee685c734246086_file[],2,FALSE),"")</f>
        <v/>
      </c>
      <c r="F87" s="2" t="str">
        <f>IFERROR(VLOOKUP($A87,observations_series_id_WPU0613020T_api_key_ecc133893ea92a842ee685c734246086_file[],3,FALSE),"")</f>
        <v/>
      </c>
      <c r="G87" t="str">
        <f>IFERROR(VLOOKUP($A87,observations_series_id_PCU22122212_api_key_ecc133893ea92a842ee685c734246086_file[],2,FALSE),"")</f>
        <v/>
      </c>
      <c r="H87" s="2" t="str">
        <f>IFERROR(VLOOKUP($A87,observations_series_id_PCU22122212_api_key_ecc133893ea92a842ee685c734246086_file[],3,FALSE),"")</f>
        <v/>
      </c>
      <c r="I87" t="str">
        <f>IFERROR(VLOOKUP($A87,observations_series_id_PCU3241913241910_api_key_ecc133893ea92a842ee685c734246086[],2,FALSE),"")</f>
        <v/>
      </c>
      <c r="J87" s="2" t="str">
        <f>IFERROR(VLOOKUP($A87,observations_series_id_PCU3241913241910_api_key_ecc133893ea92a842ee685c734246086[],3,FALSE),"")</f>
        <v/>
      </c>
      <c r="K87" t="str">
        <f>IFERROR(VLOOKUP($A87,observations_series_id_EXJPUS_api_key_ecc133893ea92a842ee685c734246086_file_type[],2,FALSE),"")</f>
        <v/>
      </c>
      <c r="L87" s="2" t="str">
        <f>IFERROR(VLOOKUP($A87,observations_series_id_EXJPUS_api_key_ecc133893ea92a842ee685c734246086_file_type[],3,FALSE),"")</f>
        <v/>
      </c>
      <c r="M87" t="str">
        <f>IFERROR(AVERAGEIFS(timeseries_access_key_fqeas14oitk235763mntlb1c0brnk9w3fenzqbk313q5kvxyf52kukw1pa[Value.LME-ZNC],timeseries_access_key_fqeas14oitk235763mntlb1c0brnk9w3fenzqbk313q5kvxyf52kukw1pa[Month],MONTH(Data!$A87),timeseries_access_key_fqeas14oitk235763mntlb1c0brnk9w3fenzqbk313q5kvxyf52kukw1pa[Year],YEAR(Data!$A87)),"")</f>
        <v/>
      </c>
      <c r="N87" s="2" t="str">
        <f>IFERROR(AVERAGEIFS(timeseries_access_key_fqeas14oitk235763mntlb1c0brnk9w3fenzqbk313q5kvxyf52kukw1pa[Column1],timeseries_access_key_fqeas14oitk235763mntlb1c0brnk9w3fenzqbk313q5kvxyf52kukw1pa[Month],MONTH(Data!$A87),timeseries_access_key_fqeas14oitk235763mntlb1c0brnk9w3fenzqbk313q5kvxyf52kukw1pa[Year],YEAR(Data!$A87)),"")</f>
        <v/>
      </c>
      <c r="O87" s="8" t="str">
        <f>IFERROR(VLOOKUP($A87,Text_1_2[[Text.1.1.3]:[Text.1.3]],2,FALSE),"")</f>
        <v/>
      </c>
      <c r="P87" s="2"/>
    </row>
    <row r="88" spans="1:16" x14ac:dyDescent="0.25">
      <c r="A88" s="1">
        <v>23802</v>
      </c>
      <c r="B88" t="str">
        <f>HLOOKUP(Dashboard!$I$27,results,ROW(A88),FALSE)</f>
        <v/>
      </c>
      <c r="C88">
        <f>IFERROR(VLOOKUP(A88,observations_series_id_PCU22112222112243_api_key_ecc133893ea92a842ee685c73424608[],2,FALSE),"")</f>
        <v>17.8</v>
      </c>
      <c r="D88" s="2">
        <f>IFERROR(VLOOKUP(A88,observations_series_id_PCU22112222112243_api_key_ecc133893ea92a842ee685c73424608[],3,FALSE),"")</f>
        <v>2.2471910112359716E-2</v>
      </c>
      <c r="E88" t="str">
        <f>IFERROR(VLOOKUP($A88,observations_series_id_WPU0613020T_api_key_ecc133893ea92a842ee685c734246086_file[],2,FALSE),"")</f>
        <v/>
      </c>
      <c r="F88" s="2" t="str">
        <f>IFERROR(VLOOKUP($A88,observations_series_id_WPU0613020T_api_key_ecc133893ea92a842ee685c734246086_file[],3,FALSE),"")</f>
        <v/>
      </c>
      <c r="G88" t="str">
        <f>IFERROR(VLOOKUP($A88,observations_series_id_PCU22122212_api_key_ecc133893ea92a842ee685c734246086_file[],2,FALSE),"")</f>
        <v/>
      </c>
      <c r="H88" s="2" t="str">
        <f>IFERROR(VLOOKUP($A88,observations_series_id_PCU22122212_api_key_ecc133893ea92a842ee685c734246086_file[],3,FALSE),"")</f>
        <v/>
      </c>
      <c r="I88" t="str">
        <f>IFERROR(VLOOKUP($A88,observations_series_id_PCU3241913241910_api_key_ecc133893ea92a842ee685c734246086[],2,FALSE),"")</f>
        <v/>
      </c>
      <c r="J88" s="2" t="str">
        <f>IFERROR(VLOOKUP($A88,observations_series_id_PCU3241913241910_api_key_ecc133893ea92a842ee685c734246086[],3,FALSE),"")</f>
        <v/>
      </c>
      <c r="K88" t="str">
        <f>IFERROR(VLOOKUP($A88,observations_series_id_EXJPUS_api_key_ecc133893ea92a842ee685c734246086_file_type[],2,FALSE),"")</f>
        <v/>
      </c>
      <c r="L88" s="2" t="str">
        <f>IFERROR(VLOOKUP($A88,observations_series_id_EXJPUS_api_key_ecc133893ea92a842ee685c734246086_file_type[],3,FALSE),"")</f>
        <v/>
      </c>
      <c r="M88" t="str">
        <f>IFERROR(AVERAGEIFS(timeseries_access_key_fqeas14oitk235763mntlb1c0brnk9w3fenzqbk313q5kvxyf52kukw1pa[Value.LME-ZNC],timeseries_access_key_fqeas14oitk235763mntlb1c0brnk9w3fenzqbk313q5kvxyf52kukw1pa[Month],MONTH(Data!$A88),timeseries_access_key_fqeas14oitk235763mntlb1c0brnk9w3fenzqbk313q5kvxyf52kukw1pa[Year],YEAR(Data!$A88)),"")</f>
        <v/>
      </c>
      <c r="N88" s="2" t="str">
        <f>IFERROR(AVERAGEIFS(timeseries_access_key_fqeas14oitk235763mntlb1c0brnk9w3fenzqbk313q5kvxyf52kukw1pa[Column1],timeseries_access_key_fqeas14oitk235763mntlb1c0brnk9w3fenzqbk313q5kvxyf52kukw1pa[Month],MONTH(Data!$A88),timeseries_access_key_fqeas14oitk235763mntlb1c0brnk9w3fenzqbk313q5kvxyf52kukw1pa[Year],YEAR(Data!$A88)),"")</f>
        <v/>
      </c>
      <c r="O88" s="8" t="str">
        <f>IFERROR(VLOOKUP($A88,Text_1_2[[Text.1.1.3]:[Text.1.3]],2,FALSE),"")</f>
        <v/>
      </c>
      <c r="P88" s="2"/>
    </row>
    <row r="89" spans="1:16" x14ac:dyDescent="0.25">
      <c r="A89" s="1">
        <v>23833</v>
      </c>
      <c r="B89" t="str">
        <f>HLOOKUP(Dashboard!$I$27,results,ROW(A89),FALSE)</f>
        <v/>
      </c>
      <c r="C89">
        <f>IFERROR(VLOOKUP(A89,observations_series_id_PCU22112222112243_api_key_ecc133893ea92a842ee685c73424608[],2,FALSE),"")</f>
        <v>17.8</v>
      </c>
      <c r="D89" s="2">
        <f>IFERROR(VLOOKUP(A89,observations_series_id_PCU22112222112243_api_key_ecc133893ea92a842ee685c73424608[],3,FALSE),"")</f>
        <v>2.2471910112359716E-2</v>
      </c>
      <c r="E89" t="str">
        <f>IFERROR(VLOOKUP($A89,observations_series_id_WPU0613020T_api_key_ecc133893ea92a842ee685c734246086_file[],2,FALSE),"")</f>
        <v/>
      </c>
      <c r="F89" s="2" t="str">
        <f>IFERROR(VLOOKUP($A89,observations_series_id_WPU0613020T_api_key_ecc133893ea92a842ee685c734246086_file[],3,FALSE),"")</f>
        <v/>
      </c>
      <c r="G89" t="str">
        <f>IFERROR(VLOOKUP($A89,observations_series_id_PCU22122212_api_key_ecc133893ea92a842ee685c734246086_file[],2,FALSE),"")</f>
        <v/>
      </c>
      <c r="H89" s="2" t="str">
        <f>IFERROR(VLOOKUP($A89,observations_series_id_PCU22122212_api_key_ecc133893ea92a842ee685c734246086_file[],3,FALSE),"")</f>
        <v/>
      </c>
      <c r="I89" t="str">
        <f>IFERROR(VLOOKUP($A89,observations_series_id_PCU3241913241910_api_key_ecc133893ea92a842ee685c734246086[],2,FALSE),"")</f>
        <v/>
      </c>
      <c r="J89" s="2" t="str">
        <f>IFERROR(VLOOKUP($A89,observations_series_id_PCU3241913241910_api_key_ecc133893ea92a842ee685c734246086[],3,FALSE),"")</f>
        <v/>
      </c>
      <c r="K89" t="str">
        <f>IFERROR(VLOOKUP($A89,observations_series_id_EXJPUS_api_key_ecc133893ea92a842ee685c734246086_file_type[],2,FALSE),"")</f>
        <v/>
      </c>
      <c r="L89" s="2" t="str">
        <f>IFERROR(VLOOKUP($A89,observations_series_id_EXJPUS_api_key_ecc133893ea92a842ee685c734246086_file_type[],3,FALSE),"")</f>
        <v/>
      </c>
      <c r="M89" t="str">
        <f>IFERROR(AVERAGEIFS(timeseries_access_key_fqeas14oitk235763mntlb1c0brnk9w3fenzqbk313q5kvxyf52kukw1pa[Value.LME-ZNC],timeseries_access_key_fqeas14oitk235763mntlb1c0brnk9w3fenzqbk313q5kvxyf52kukw1pa[Month],MONTH(Data!$A89),timeseries_access_key_fqeas14oitk235763mntlb1c0brnk9w3fenzqbk313q5kvxyf52kukw1pa[Year],YEAR(Data!$A89)),"")</f>
        <v/>
      </c>
      <c r="N89" s="2" t="str">
        <f>IFERROR(AVERAGEIFS(timeseries_access_key_fqeas14oitk235763mntlb1c0brnk9w3fenzqbk313q5kvxyf52kukw1pa[Column1],timeseries_access_key_fqeas14oitk235763mntlb1c0brnk9w3fenzqbk313q5kvxyf52kukw1pa[Month],MONTH(Data!$A89),timeseries_access_key_fqeas14oitk235763mntlb1c0brnk9w3fenzqbk313q5kvxyf52kukw1pa[Year],YEAR(Data!$A89)),"")</f>
        <v/>
      </c>
      <c r="O89" s="8" t="str">
        <f>IFERROR(VLOOKUP($A89,Text_1_2[[Text.1.1.3]:[Text.1.3]],2,FALSE),"")</f>
        <v/>
      </c>
      <c r="P89" s="2"/>
    </row>
    <row r="90" spans="1:16" x14ac:dyDescent="0.25">
      <c r="A90" s="1">
        <v>23863</v>
      </c>
      <c r="B90" t="str">
        <f>HLOOKUP(Dashboard!$I$27,results,ROW(A90),FALSE)</f>
        <v/>
      </c>
      <c r="C90">
        <f>IFERROR(VLOOKUP(A90,observations_series_id_PCU22112222112243_api_key_ecc133893ea92a842ee685c73424608[],2,FALSE),"")</f>
        <v>17.8</v>
      </c>
      <c r="D90" s="2">
        <f>IFERROR(VLOOKUP(A90,observations_series_id_PCU22112222112243_api_key_ecc133893ea92a842ee685c73424608[],3,FALSE),"")</f>
        <v>2.2471910112359716E-2</v>
      </c>
      <c r="E90" t="str">
        <f>IFERROR(VLOOKUP($A90,observations_series_id_WPU0613020T_api_key_ecc133893ea92a842ee685c734246086_file[],2,FALSE),"")</f>
        <v/>
      </c>
      <c r="F90" s="2" t="str">
        <f>IFERROR(VLOOKUP($A90,observations_series_id_WPU0613020T_api_key_ecc133893ea92a842ee685c734246086_file[],3,FALSE),"")</f>
        <v/>
      </c>
      <c r="G90" t="str">
        <f>IFERROR(VLOOKUP($A90,observations_series_id_PCU22122212_api_key_ecc133893ea92a842ee685c734246086_file[],2,FALSE),"")</f>
        <v/>
      </c>
      <c r="H90" s="2" t="str">
        <f>IFERROR(VLOOKUP($A90,observations_series_id_PCU22122212_api_key_ecc133893ea92a842ee685c734246086_file[],3,FALSE),"")</f>
        <v/>
      </c>
      <c r="I90" t="str">
        <f>IFERROR(VLOOKUP($A90,observations_series_id_PCU3241913241910_api_key_ecc133893ea92a842ee685c734246086[],2,FALSE),"")</f>
        <v/>
      </c>
      <c r="J90" s="2" t="str">
        <f>IFERROR(VLOOKUP($A90,observations_series_id_PCU3241913241910_api_key_ecc133893ea92a842ee685c734246086[],3,FALSE),"")</f>
        <v/>
      </c>
      <c r="K90" t="str">
        <f>IFERROR(VLOOKUP($A90,observations_series_id_EXJPUS_api_key_ecc133893ea92a842ee685c734246086_file_type[],2,FALSE),"")</f>
        <v/>
      </c>
      <c r="L90" s="2" t="str">
        <f>IFERROR(VLOOKUP($A90,observations_series_id_EXJPUS_api_key_ecc133893ea92a842ee685c734246086_file_type[],3,FALSE),"")</f>
        <v/>
      </c>
      <c r="M90" t="str">
        <f>IFERROR(AVERAGEIFS(timeseries_access_key_fqeas14oitk235763mntlb1c0brnk9w3fenzqbk313q5kvxyf52kukw1pa[Value.LME-ZNC],timeseries_access_key_fqeas14oitk235763mntlb1c0brnk9w3fenzqbk313q5kvxyf52kukw1pa[Month],MONTH(Data!$A90),timeseries_access_key_fqeas14oitk235763mntlb1c0brnk9w3fenzqbk313q5kvxyf52kukw1pa[Year],YEAR(Data!$A90)),"")</f>
        <v/>
      </c>
      <c r="N90" s="2" t="str">
        <f>IFERROR(AVERAGEIFS(timeseries_access_key_fqeas14oitk235763mntlb1c0brnk9w3fenzqbk313q5kvxyf52kukw1pa[Column1],timeseries_access_key_fqeas14oitk235763mntlb1c0brnk9w3fenzqbk313q5kvxyf52kukw1pa[Month],MONTH(Data!$A90),timeseries_access_key_fqeas14oitk235763mntlb1c0brnk9w3fenzqbk313q5kvxyf52kukw1pa[Year],YEAR(Data!$A90)),"")</f>
        <v/>
      </c>
      <c r="O90" s="8" t="str">
        <f>IFERROR(VLOOKUP($A90,Text_1_2[[Text.1.1.3]:[Text.1.3]],2,FALSE),"")</f>
        <v/>
      </c>
      <c r="P90" s="2"/>
    </row>
    <row r="91" spans="1:16" x14ac:dyDescent="0.25">
      <c r="A91" s="1">
        <v>23894</v>
      </c>
      <c r="B91" t="str">
        <f>HLOOKUP(Dashboard!$I$27,results,ROW(A91),FALSE)</f>
        <v/>
      </c>
      <c r="C91">
        <f>IFERROR(VLOOKUP(A91,observations_series_id_PCU22112222112243_api_key_ecc133893ea92a842ee685c73424608[],2,FALSE),"")</f>
        <v>17.8</v>
      </c>
      <c r="D91" s="2">
        <f>IFERROR(VLOOKUP(A91,observations_series_id_PCU22112222112243_api_key_ecc133893ea92a842ee685c73424608[],3,FALSE),"")</f>
        <v>2.2471910112359716E-2</v>
      </c>
      <c r="E91" t="str">
        <f>IFERROR(VLOOKUP($A91,observations_series_id_WPU0613020T_api_key_ecc133893ea92a842ee685c734246086_file[],2,FALSE),"")</f>
        <v/>
      </c>
      <c r="F91" s="2" t="str">
        <f>IFERROR(VLOOKUP($A91,observations_series_id_WPU0613020T_api_key_ecc133893ea92a842ee685c734246086_file[],3,FALSE),"")</f>
        <v/>
      </c>
      <c r="G91" t="str">
        <f>IFERROR(VLOOKUP($A91,observations_series_id_PCU22122212_api_key_ecc133893ea92a842ee685c734246086_file[],2,FALSE),"")</f>
        <v/>
      </c>
      <c r="H91" s="2" t="str">
        <f>IFERROR(VLOOKUP($A91,observations_series_id_PCU22122212_api_key_ecc133893ea92a842ee685c734246086_file[],3,FALSE),"")</f>
        <v/>
      </c>
      <c r="I91" t="str">
        <f>IFERROR(VLOOKUP($A91,observations_series_id_PCU3241913241910_api_key_ecc133893ea92a842ee685c734246086[],2,FALSE),"")</f>
        <v/>
      </c>
      <c r="J91" s="2" t="str">
        <f>IFERROR(VLOOKUP($A91,observations_series_id_PCU3241913241910_api_key_ecc133893ea92a842ee685c734246086[],3,FALSE),"")</f>
        <v/>
      </c>
      <c r="K91" t="str">
        <f>IFERROR(VLOOKUP($A91,observations_series_id_EXJPUS_api_key_ecc133893ea92a842ee685c734246086_file_type[],2,FALSE),"")</f>
        <v/>
      </c>
      <c r="L91" s="2" t="str">
        <f>IFERROR(VLOOKUP($A91,observations_series_id_EXJPUS_api_key_ecc133893ea92a842ee685c734246086_file_type[],3,FALSE),"")</f>
        <v/>
      </c>
      <c r="M91" t="str">
        <f>IFERROR(AVERAGEIFS(timeseries_access_key_fqeas14oitk235763mntlb1c0brnk9w3fenzqbk313q5kvxyf52kukw1pa[Value.LME-ZNC],timeseries_access_key_fqeas14oitk235763mntlb1c0brnk9w3fenzqbk313q5kvxyf52kukw1pa[Month],MONTH(Data!$A91),timeseries_access_key_fqeas14oitk235763mntlb1c0brnk9w3fenzqbk313q5kvxyf52kukw1pa[Year],YEAR(Data!$A91)),"")</f>
        <v/>
      </c>
      <c r="N91" s="2" t="str">
        <f>IFERROR(AVERAGEIFS(timeseries_access_key_fqeas14oitk235763mntlb1c0brnk9w3fenzqbk313q5kvxyf52kukw1pa[Column1],timeseries_access_key_fqeas14oitk235763mntlb1c0brnk9w3fenzqbk313q5kvxyf52kukw1pa[Month],MONTH(Data!$A91),timeseries_access_key_fqeas14oitk235763mntlb1c0brnk9w3fenzqbk313q5kvxyf52kukw1pa[Year],YEAR(Data!$A91)),"")</f>
        <v/>
      </c>
      <c r="O91" s="8" t="str">
        <f>IFERROR(VLOOKUP($A91,Text_1_2[[Text.1.1.3]:[Text.1.3]],2,FALSE),"")</f>
        <v/>
      </c>
      <c r="P91" s="2"/>
    </row>
    <row r="92" spans="1:16" x14ac:dyDescent="0.25">
      <c r="A92" s="1">
        <v>23924</v>
      </c>
      <c r="B92" t="str">
        <f>HLOOKUP(Dashboard!$I$27,results,ROW(A92),FALSE)</f>
        <v/>
      </c>
      <c r="C92">
        <f>IFERROR(VLOOKUP(A92,observations_series_id_PCU22112222112243_api_key_ecc133893ea92a842ee685c73424608[],2,FALSE),"")</f>
        <v>17.8</v>
      </c>
      <c r="D92" s="2">
        <f>IFERROR(VLOOKUP(A92,observations_series_id_PCU22112222112243_api_key_ecc133893ea92a842ee685c73424608[],3,FALSE),"")</f>
        <v>2.2471910112359716E-2</v>
      </c>
      <c r="E92" t="str">
        <f>IFERROR(VLOOKUP($A92,observations_series_id_WPU0613020T_api_key_ecc133893ea92a842ee685c734246086_file[],2,FALSE),"")</f>
        <v/>
      </c>
      <c r="F92" s="2" t="str">
        <f>IFERROR(VLOOKUP($A92,observations_series_id_WPU0613020T_api_key_ecc133893ea92a842ee685c734246086_file[],3,FALSE),"")</f>
        <v/>
      </c>
      <c r="G92" t="str">
        <f>IFERROR(VLOOKUP($A92,observations_series_id_PCU22122212_api_key_ecc133893ea92a842ee685c734246086_file[],2,FALSE),"")</f>
        <v/>
      </c>
      <c r="H92" s="2" t="str">
        <f>IFERROR(VLOOKUP($A92,observations_series_id_PCU22122212_api_key_ecc133893ea92a842ee685c734246086_file[],3,FALSE),"")</f>
        <v/>
      </c>
      <c r="I92" t="str">
        <f>IFERROR(VLOOKUP($A92,observations_series_id_PCU3241913241910_api_key_ecc133893ea92a842ee685c734246086[],2,FALSE),"")</f>
        <v/>
      </c>
      <c r="J92" s="2" t="str">
        <f>IFERROR(VLOOKUP($A92,observations_series_id_PCU3241913241910_api_key_ecc133893ea92a842ee685c734246086[],3,FALSE),"")</f>
        <v/>
      </c>
      <c r="K92" t="str">
        <f>IFERROR(VLOOKUP($A92,observations_series_id_EXJPUS_api_key_ecc133893ea92a842ee685c734246086_file_type[],2,FALSE),"")</f>
        <v/>
      </c>
      <c r="L92" s="2" t="str">
        <f>IFERROR(VLOOKUP($A92,observations_series_id_EXJPUS_api_key_ecc133893ea92a842ee685c734246086_file_type[],3,FALSE),"")</f>
        <v/>
      </c>
      <c r="M92" t="str">
        <f>IFERROR(AVERAGEIFS(timeseries_access_key_fqeas14oitk235763mntlb1c0brnk9w3fenzqbk313q5kvxyf52kukw1pa[Value.LME-ZNC],timeseries_access_key_fqeas14oitk235763mntlb1c0brnk9w3fenzqbk313q5kvxyf52kukw1pa[Month],MONTH(Data!$A92),timeseries_access_key_fqeas14oitk235763mntlb1c0brnk9w3fenzqbk313q5kvxyf52kukw1pa[Year],YEAR(Data!$A92)),"")</f>
        <v/>
      </c>
      <c r="N92" s="2" t="str">
        <f>IFERROR(AVERAGEIFS(timeseries_access_key_fqeas14oitk235763mntlb1c0brnk9w3fenzqbk313q5kvxyf52kukw1pa[Column1],timeseries_access_key_fqeas14oitk235763mntlb1c0brnk9w3fenzqbk313q5kvxyf52kukw1pa[Month],MONTH(Data!$A92),timeseries_access_key_fqeas14oitk235763mntlb1c0brnk9w3fenzqbk313q5kvxyf52kukw1pa[Year],YEAR(Data!$A92)),"")</f>
        <v/>
      </c>
      <c r="O92" s="8" t="str">
        <f>IFERROR(VLOOKUP($A92,Text_1_2[[Text.1.1.3]:[Text.1.3]],2,FALSE),"")</f>
        <v/>
      </c>
      <c r="P92" s="2"/>
    </row>
    <row r="93" spans="1:16" x14ac:dyDescent="0.25">
      <c r="A93" s="1">
        <v>23955</v>
      </c>
      <c r="B93" t="str">
        <f>HLOOKUP(Dashboard!$I$27,results,ROW(A93),FALSE)</f>
        <v/>
      </c>
      <c r="C93">
        <f>IFERROR(VLOOKUP(A93,observations_series_id_PCU22112222112243_api_key_ecc133893ea92a842ee685c73424608[],2,FALSE),"")</f>
        <v>17.8</v>
      </c>
      <c r="D93" s="2">
        <f>IFERROR(VLOOKUP(A93,observations_series_id_PCU22112222112243_api_key_ecc133893ea92a842ee685c73424608[],3,FALSE),"")</f>
        <v>2.2471910112359716E-2</v>
      </c>
      <c r="E93" t="str">
        <f>IFERROR(VLOOKUP($A93,observations_series_id_WPU0613020T_api_key_ecc133893ea92a842ee685c734246086_file[],2,FALSE),"")</f>
        <v/>
      </c>
      <c r="F93" s="2" t="str">
        <f>IFERROR(VLOOKUP($A93,observations_series_id_WPU0613020T_api_key_ecc133893ea92a842ee685c734246086_file[],3,FALSE),"")</f>
        <v/>
      </c>
      <c r="G93" t="str">
        <f>IFERROR(VLOOKUP($A93,observations_series_id_PCU22122212_api_key_ecc133893ea92a842ee685c734246086_file[],2,FALSE),"")</f>
        <v/>
      </c>
      <c r="H93" s="2" t="str">
        <f>IFERROR(VLOOKUP($A93,observations_series_id_PCU22122212_api_key_ecc133893ea92a842ee685c734246086_file[],3,FALSE),"")</f>
        <v/>
      </c>
      <c r="I93" t="str">
        <f>IFERROR(VLOOKUP($A93,observations_series_id_PCU3241913241910_api_key_ecc133893ea92a842ee685c734246086[],2,FALSE),"")</f>
        <v/>
      </c>
      <c r="J93" s="2" t="str">
        <f>IFERROR(VLOOKUP($A93,observations_series_id_PCU3241913241910_api_key_ecc133893ea92a842ee685c734246086[],3,FALSE),"")</f>
        <v/>
      </c>
      <c r="K93" t="str">
        <f>IFERROR(VLOOKUP($A93,observations_series_id_EXJPUS_api_key_ecc133893ea92a842ee685c734246086_file_type[],2,FALSE),"")</f>
        <v/>
      </c>
      <c r="L93" s="2" t="str">
        <f>IFERROR(VLOOKUP($A93,observations_series_id_EXJPUS_api_key_ecc133893ea92a842ee685c734246086_file_type[],3,FALSE),"")</f>
        <v/>
      </c>
      <c r="M93" t="str">
        <f>IFERROR(AVERAGEIFS(timeseries_access_key_fqeas14oitk235763mntlb1c0brnk9w3fenzqbk313q5kvxyf52kukw1pa[Value.LME-ZNC],timeseries_access_key_fqeas14oitk235763mntlb1c0brnk9w3fenzqbk313q5kvxyf52kukw1pa[Month],MONTH(Data!$A93),timeseries_access_key_fqeas14oitk235763mntlb1c0brnk9w3fenzqbk313q5kvxyf52kukw1pa[Year],YEAR(Data!$A93)),"")</f>
        <v/>
      </c>
      <c r="N93" s="2" t="str">
        <f>IFERROR(AVERAGEIFS(timeseries_access_key_fqeas14oitk235763mntlb1c0brnk9w3fenzqbk313q5kvxyf52kukw1pa[Column1],timeseries_access_key_fqeas14oitk235763mntlb1c0brnk9w3fenzqbk313q5kvxyf52kukw1pa[Month],MONTH(Data!$A93),timeseries_access_key_fqeas14oitk235763mntlb1c0brnk9w3fenzqbk313q5kvxyf52kukw1pa[Year],YEAR(Data!$A93)),"")</f>
        <v/>
      </c>
      <c r="O93" s="8" t="str">
        <f>IFERROR(VLOOKUP($A93,Text_1_2[[Text.1.1.3]:[Text.1.3]],2,FALSE),"")</f>
        <v/>
      </c>
      <c r="P93" s="2"/>
    </row>
    <row r="94" spans="1:16" x14ac:dyDescent="0.25">
      <c r="A94" s="1">
        <v>23986</v>
      </c>
      <c r="B94" t="str">
        <f>HLOOKUP(Dashboard!$I$27,results,ROW(A94),FALSE)</f>
        <v/>
      </c>
      <c r="C94">
        <f>IFERROR(VLOOKUP(A94,observations_series_id_PCU22112222112243_api_key_ecc133893ea92a842ee685c73424608[],2,FALSE),"")</f>
        <v>17.8</v>
      </c>
      <c r="D94" s="2">
        <f>IFERROR(VLOOKUP(A94,observations_series_id_PCU22112222112243_api_key_ecc133893ea92a842ee685c73424608[],3,FALSE),"")</f>
        <v>2.2471910112359716E-2</v>
      </c>
      <c r="E94" t="str">
        <f>IFERROR(VLOOKUP($A94,observations_series_id_WPU0613020T_api_key_ecc133893ea92a842ee685c734246086_file[],2,FALSE),"")</f>
        <v/>
      </c>
      <c r="F94" s="2" t="str">
        <f>IFERROR(VLOOKUP($A94,observations_series_id_WPU0613020T_api_key_ecc133893ea92a842ee685c734246086_file[],3,FALSE),"")</f>
        <v/>
      </c>
      <c r="G94" t="str">
        <f>IFERROR(VLOOKUP($A94,observations_series_id_PCU22122212_api_key_ecc133893ea92a842ee685c734246086_file[],2,FALSE),"")</f>
        <v/>
      </c>
      <c r="H94" s="2" t="str">
        <f>IFERROR(VLOOKUP($A94,observations_series_id_PCU22122212_api_key_ecc133893ea92a842ee685c734246086_file[],3,FALSE),"")</f>
        <v/>
      </c>
      <c r="I94" t="str">
        <f>IFERROR(VLOOKUP($A94,observations_series_id_PCU3241913241910_api_key_ecc133893ea92a842ee685c734246086[],2,FALSE),"")</f>
        <v/>
      </c>
      <c r="J94" s="2" t="str">
        <f>IFERROR(VLOOKUP($A94,observations_series_id_PCU3241913241910_api_key_ecc133893ea92a842ee685c734246086[],3,FALSE),"")</f>
        <v/>
      </c>
      <c r="K94" t="str">
        <f>IFERROR(VLOOKUP($A94,observations_series_id_EXJPUS_api_key_ecc133893ea92a842ee685c734246086_file_type[],2,FALSE),"")</f>
        <v/>
      </c>
      <c r="L94" s="2" t="str">
        <f>IFERROR(VLOOKUP($A94,observations_series_id_EXJPUS_api_key_ecc133893ea92a842ee685c734246086_file_type[],3,FALSE),"")</f>
        <v/>
      </c>
      <c r="M94" t="str">
        <f>IFERROR(AVERAGEIFS(timeseries_access_key_fqeas14oitk235763mntlb1c0brnk9w3fenzqbk313q5kvxyf52kukw1pa[Value.LME-ZNC],timeseries_access_key_fqeas14oitk235763mntlb1c0brnk9w3fenzqbk313q5kvxyf52kukw1pa[Month],MONTH(Data!$A94),timeseries_access_key_fqeas14oitk235763mntlb1c0brnk9w3fenzqbk313q5kvxyf52kukw1pa[Year],YEAR(Data!$A94)),"")</f>
        <v/>
      </c>
      <c r="N94" s="2" t="str">
        <f>IFERROR(AVERAGEIFS(timeseries_access_key_fqeas14oitk235763mntlb1c0brnk9w3fenzqbk313q5kvxyf52kukw1pa[Column1],timeseries_access_key_fqeas14oitk235763mntlb1c0brnk9w3fenzqbk313q5kvxyf52kukw1pa[Month],MONTH(Data!$A94),timeseries_access_key_fqeas14oitk235763mntlb1c0brnk9w3fenzqbk313q5kvxyf52kukw1pa[Year],YEAR(Data!$A94)),"")</f>
        <v/>
      </c>
      <c r="O94" s="8" t="str">
        <f>IFERROR(VLOOKUP($A94,Text_1_2[[Text.1.1.3]:[Text.1.3]],2,FALSE),"")</f>
        <v/>
      </c>
      <c r="P94" s="2"/>
    </row>
    <row r="95" spans="1:16" x14ac:dyDescent="0.25">
      <c r="A95" s="1">
        <v>24016</v>
      </c>
      <c r="B95" t="str">
        <f>HLOOKUP(Dashboard!$I$27,results,ROW(A95),FALSE)</f>
        <v/>
      </c>
      <c r="C95">
        <f>IFERROR(VLOOKUP(A95,observations_series_id_PCU22112222112243_api_key_ecc133893ea92a842ee685c73424608[],2,FALSE),"")</f>
        <v>17.8</v>
      </c>
      <c r="D95" s="2">
        <f>IFERROR(VLOOKUP(A95,observations_series_id_PCU22112222112243_api_key_ecc133893ea92a842ee685c73424608[],3,FALSE),"")</f>
        <v>2.2471910112359716E-2</v>
      </c>
      <c r="E95" t="str">
        <f>IFERROR(VLOOKUP($A95,observations_series_id_WPU0613020T_api_key_ecc133893ea92a842ee685c734246086_file[],2,FALSE),"")</f>
        <v/>
      </c>
      <c r="F95" s="2" t="str">
        <f>IFERROR(VLOOKUP($A95,observations_series_id_WPU0613020T_api_key_ecc133893ea92a842ee685c734246086_file[],3,FALSE),"")</f>
        <v/>
      </c>
      <c r="G95" t="str">
        <f>IFERROR(VLOOKUP($A95,observations_series_id_PCU22122212_api_key_ecc133893ea92a842ee685c734246086_file[],2,FALSE),"")</f>
        <v/>
      </c>
      <c r="H95" s="2" t="str">
        <f>IFERROR(VLOOKUP($A95,observations_series_id_PCU22122212_api_key_ecc133893ea92a842ee685c734246086_file[],3,FALSE),"")</f>
        <v/>
      </c>
      <c r="I95" t="str">
        <f>IFERROR(VLOOKUP($A95,observations_series_id_PCU3241913241910_api_key_ecc133893ea92a842ee685c734246086[],2,FALSE),"")</f>
        <v/>
      </c>
      <c r="J95" s="2" t="str">
        <f>IFERROR(VLOOKUP($A95,observations_series_id_PCU3241913241910_api_key_ecc133893ea92a842ee685c734246086[],3,FALSE),"")</f>
        <v/>
      </c>
      <c r="K95" t="str">
        <f>IFERROR(VLOOKUP($A95,observations_series_id_EXJPUS_api_key_ecc133893ea92a842ee685c734246086_file_type[],2,FALSE),"")</f>
        <v/>
      </c>
      <c r="L95" s="2" t="str">
        <f>IFERROR(VLOOKUP($A95,observations_series_id_EXJPUS_api_key_ecc133893ea92a842ee685c734246086_file_type[],3,FALSE),"")</f>
        <v/>
      </c>
      <c r="M95" t="str">
        <f>IFERROR(AVERAGEIFS(timeseries_access_key_fqeas14oitk235763mntlb1c0brnk9w3fenzqbk313q5kvxyf52kukw1pa[Value.LME-ZNC],timeseries_access_key_fqeas14oitk235763mntlb1c0brnk9w3fenzqbk313q5kvxyf52kukw1pa[Month],MONTH(Data!$A95),timeseries_access_key_fqeas14oitk235763mntlb1c0brnk9w3fenzqbk313q5kvxyf52kukw1pa[Year],YEAR(Data!$A95)),"")</f>
        <v/>
      </c>
      <c r="N95" s="2" t="str">
        <f>IFERROR(AVERAGEIFS(timeseries_access_key_fqeas14oitk235763mntlb1c0brnk9w3fenzqbk313q5kvxyf52kukw1pa[Column1],timeseries_access_key_fqeas14oitk235763mntlb1c0brnk9w3fenzqbk313q5kvxyf52kukw1pa[Month],MONTH(Data!$A95),timeseries_access_key_fqeas14oitk235763mntlb1c0brnk9w3fenzqbk313q5kvxyf52kukw1pa[Year],YEAR(Data!$A95)),"")</f>
        <v/>
      </c>
      <c r="O95" s="8" t="str">
        <f>IFERROR(VLOOKUP($A95,Text_1_2[[Text.1.1.3]:[Text.1.3]],2,FALSE),"")</f>
        <v/>
      </c>
      <c r="P95" s="2"/>
    </row>
    <row r="96" spans="1:16" x14ac:dyDescent="0.25">
      <c r="A96" s="1">
        <v>24047</v>
      </c>
      <c r="B96" t="str">
        <f>HLOOKUP(Dashboard!$I$27,results,ROW(A96),FALSE)</f>
        <v/>
      </c>
      <c r="C96">
        <f>IFERROR(VLOOKUP(A96,observations_series_id_PCU22112222112243_api_key_ecc133893ea92a842ee685c73424608[],2,FALSE),"")</f>
        <v>17.8</v>
      </c>
      <c r="D96" s="2">
        <f>IFERROR(VLOOKUP(A96,observations_series_id_PCU22112222112243_api_key_ecc133893ea92a842ee685c73424608[],3,FALSE),"")</f>
        <v>2.2471910112359716E-2</v>
      </c>
      <c r="E96" t="str">
        <f>IFERROR(VLOOKUP($A96,observations_series_id_WPU0613020T_api_key_ecc133893ea92a842ee685c734246086_file[],2,FALSE),"")</f>
        <v/>
      </c>
      <c r="F96" s="2" t="str">
        <f>IFERROR(VLOOKUP($A96,observations_series_id_WPU0613020T_api_key_ecc133893ea92a842ee685c734246086_file[],3,FALSE),"")</f>
        <v/>
      </c>
      <c r="G96" t="str">
        <f>IFERROR(VLOOKUP($A96,observations_series_id_PCU22122212_api_key_ecc133893ea92a842ee685c734246086_file[],2,FALSE),"")</f>
        <v/>
      </c>
      <c r="H96" s="2" t="str">
        <f>IFERROR(VLOOKUP($A96,observations_series_id_PCU22122212_api_key_ecc133893ea92a842ee685c734246086_file[],3,FALSE),"")</f>
        <v/>
      </c>
      <c r="I96" t="str">
        <f>IFERROR(VLOOKUP($A96,observations_series_id_PCU3241913241910_api_key_ecc133893ea92a842ee685c734246086[],2,FALSE),"")</f>
        <v/>
      </c>
      <c r="J96" s="2" t="str">
        <f>IFERROR(VLOOKUP($A96,observations_series_id_PCU3241913241910_api_key_ecc133893ea92a842ee685c734246086[],3,FALSE),"")</f>
        <v/>
      </c>
      <c r="K96" t="str">
        <f>IFERROR(VLOOKUP($A96,observations_series_id_EXJPUS_api_key_ecc133893ea92a842ee685c734246086_file_type[],2,FALSE),"")</f>
        <v/>
      </c>
      <c r="L96" s="2" t="str">
        <f>IFERROR(VLOOKUP($A96,observations_series_id_EXJPUS_api_key_ecc133893ea92a842ee685c734246086_file_type[],3,FALSE),"")</f>
        <v/>
      </c>
      <c r="M96" t="str">
        <f>IFERROR(AVERAGEIFS(timeseries_access_key_fqeas14oitk235763mntlb1c0brnk9w3fenzqbk313q5kvxyf52kukw1pa[Value.LME-ZNC],timeseries_access_key_fqeas14oitk235763mntlb1c0brnk9w3fenzqbk313q5kvxyf52kukw1pa[Month],MONTH(Data!$A96),timeseries_access_key_fqeas14oitk235763mntlb1c0brnk9w3fenzqbk313q5kvxyf52kukw1pa[Year],YEAR(Data!$A96)),"")</f>
        <v/>
      </c>
      <c r="N96" s="2" t="str">
        <f>IFERROR(AVERAGEIFS(timeseries_access_key_fqeas14oitk235763mntlb1c0brnk9w3fenzqbk313q5kvxyf52kukw1pa[Column1],timeseries_access_key_fqeas14oitk235763mntlb1c0brnk9w3fenzqbk313q5kvxyf52kukw1pa[Month],MONTH(Data!$A96),timeseries_access_key_fqeas14oitk235763mntlb1c0brnk9w3fenzqbk313q5kvxyf52kukw1pa[Year],YEAR(Data!$A96)),"")</f>
        <v/>
      </c>
      <c r="O96" s="8" t="str">
        <f>IFERROR(VLOOKUP($A96,Text_1_2[[Text.1.1.3]:[Text.1.3]],2,FALSE),"")</f>
        <v/>
      </c>
      <c r="P96" s="2"/>
    </row>
    <row r="97" spans="1:16" x14ac:dyDescent="0.25">
      <c r="A97" s="1">
        <v>24077</v>
      </c>
      <c r="B97" t="str">
        <f>HLOOKUP(Dashboard!$I$27,results,ROW(A97),FALSE)</f>
        <v/>
      </c>
      <c r="C97">
        <f>IFERROR(VLOOKUP(A97,observations_series_id_PCU22112222112243_api_key_ecc133893ea92a842ee685c73424608[],2,FALSE),"")</f>
        <v>17.8</v>
      </c>
      <c r="D97" s="2">
        <f>IFERROR(VLOOKUP(A97,observations_series_id_PCU22112222112243_api_key_ecc133893ea92a842ee685c73424608[],3,FALSE),"")</f>
        <v>2.2471910112359716E-2</v>
      </c>
      <c r="E97" t="str">
        <f>IFERROR(VLOOKUP($A97,observations_series_id_WPU0613020T_api_key_ecc133893ea92a842ee685c734246086_file[],2,FALSE),"")</f>
        <v/>
      </c>
      <c r="F97" s="2" t="str">
        <f>IFERROR(VLOOKUP($A97,observations_series_id_WPU0613020T_api_key_ecc133893ea92a842ee685c734246086_file[],3,FALSE),"")</f>
        <v/>
      </c>
      <c r="G97" t="str">
        <f>IFERROR(VLOOKUP($A97,observations_series_id_PCU22122212_api_key_ecc133893ea92a842ee685c734246086_file[],2,FALSE),"")</f>
        <v/>
      </c>
      <c r="H97" s="2" t="str">
        <f>IFERROR(VLOOKUP($A97,observations_series_id_PCU22122212_api_key_ecc133893ea92a842ee685c734246086_file[],3,FALSE),"")</f>
        <v/>
      </c>
      <c r="I97" t="str">
        <f>IFERROR(VLOOKUP($A97,observations_series_id_PCU3241913241910_api_key_ecc133893ea92a842ee685c734246086[],2,FALSE),"")</f>
        <v/>
      </c>
      <c r="J97" s="2" t="str">
        <f>IFERROR(VLOOKUP($A97,observations_series_id_PCU3241913241910_api_key_ecc133893ea92a842ee685c734246086[],3,FALSE),"")</f>
        <v/>
      </c>
      <c r="K97" t="str">
        <f>IFERROR(VLOOKUP($A97,observations_series_id_EXJPUS_api_key_ecc133893ea92a842ee685c734246086_file_type[],2,FALSE),"")</f>
        <v/>
      </c>
      <c r="L97" s="2" t="str">
        <f>IFERROR(VLOOKUP($A97,observations_series_id_EXJPUS_api_key_ecc133893ea92a842ee685c734246086_file_type[],3,FALSE),"")</f>
        <v/>
      </c>
      <c r="M97" t="str">
        <f>IFERROR(AVERAGEIFS(timeseries_access_key_fqeas14oitk235763mntlb1c0brnk9w3fenzqbk313q5kvxyf52kukw1pa[Value.LME-ZNC],timeseries_access_key_fqeas14oitk235763mntlb1c0brnk9w3fenzqbk313q5kvxyf52kukw1pa[Month],MONTH(Data!$A97),timeseries_access_key_fqeas14oitk235763mntlb1c0brnk9w3fenzqbk313q5kvxyf52kukw1pa[Year],YEAR(Data!$A97)),"")</f>
        <v/>
      </c>
      <c r="N97" s="2" t="str">
        <f>IFERROR(AVERAGEIFS(timeseries_access_key_fqeas14oitk235763mntlb1c0brnk9w3fenzqbk313q5kvxyf52kukw1pa[Column1],timeseries_access_key_fqeas14oitk235763mntlb1c0brnk9w3fenzqbk313q5kvxyf52kukw1pa[Month],MONTH(Data!$A97),timeseries_access_key_fqeas14oitk235763mntlb1c0brnk9w3fenzqbk313q5kvxyf52kukw1pa[Year],YEAR(Data!$A97)),"")</f>
        <v/>
      </c>
      <c r="O97" s="8" t="str">
        <f>IFERROR(VLOOKUP($A97,Text_1_2[[Text.1.1.3]:[Text.1.3]],2,FALSE),"")</f>
        <v/>
      </c>
      <c r="P97" s="2"/>
    </row>
    <row r="98" spans="1:16" x14ac:dyDescent="0.25">
      <c r="A98" s="1">
        <v>24108</v>
      </c>
      <c r="B98" t="str">
        <f>HLOOKUP(Dashboard!$I$27,results,ROW(A98),FALSE)</f>
        <v/>
      </c>
      <c r="C98">
        <f>IFERROR(VLOOKUP(A98,observations_series_id_PCU22112222112243_api_key_ecc133893ea92a842ee685c73424608[],2,FALSE),"")</f>
        <v>17.7</v>
      </c>
      <c r="D98" s="2">
        <f>IFERROR(VLOOKUP(A98,observations_series_id_PCU22112222112243_api_key_ecc133893ea92a842ee685c73424608[],3,FALSE),"")</f>
        <v>1.6949152542372947E-2</v>
      </c>
      <c r="E98" t="str">
        <f>IFERROR(VLOOKUP($A98,observations_series_id_WPU0613020T_api_key_ecc133893ea92a842ee685c734246086_file[],2,FALSE),"")</f>
        <v/>
      </c>
      <c r="F98" s="2" t="str">
        <f>IFERROR(VLOOKUP($A98,observations_series_id_WPU0613020T_api_key_ecc133893ea92a842ee685c734246086_file[],3,FALSE),"")</f>
        <v/>
      </c>
      <c r="G98" t="str">
        <f>IFERROR(VLOOKUP($A98,observations_series_id_PCU22122212_api_key_ecc133893ea92a842ee685c734246086_file[],2,FALSE),"")</f>
        <v/>
      </c>
      <c r="H98" s="2" t="str">
        <f>IFERROR(VLOOKUP($A98,observations_series_id_PCU22122212_api_key_ecc133893ea92a842ee685c734246086_file[],3,FALSE),"")</f>
        <v/>
      </c>
      <c r="I98" t="str">
        <f>IFERROR(VLOOKUP($A98,observations_series_id_PCU3241913241910_api_key_ecc133893ea92a842ee685c734246086[],2,FALSE),"")</f>
        <v/>
      </c>
      <c r="J98" s="2" t="str">
        <f>IFERROR(VLOOKUP($A98,observations_series_id_PCU3241913241910_api_key_ecc133893ea92a842ee685c734246086[],3,FALSE),"")</f>
        <v/>
      </c>
      <c r="K98" t="str">
        <f>IFERROR(VLOOKUP($A98,observations_series_id_EXJPUS_api_key_ecc133893ea92a842ee685c734246086_file_type[],2,FALSE),"")</f>
        <v/>
      </c>
      <c r="L98" s="2" t="str">
        <f>IFERROR(VLOOKUP($A98,observations_series_id_EXJPUS_api_key_ecc133893ea92a842ee685c734246086_file_type[],3,FALSE),"")</f>
        <v/>
      </c>
      <c r="M98" t="str">
        <f>IFERROR(AVERAGEIFS(timeseries_access_key_fqeas14oitk235763mntlb1c0brnk9w3fenzqbk313q5kvxyf52kukw1pa[Value.LME-ZNC],timeseries_access_key_fqeas14oitk235763mntlb1c0brnk9w3fenzqbk313q5kvxyf52kukw1pa[Month],MONTH(Data!$A98),timeseries_access_key_fqeas14oitk235763mntlb1c0brnk9w3fenzqbk313q5kvxyf52kukw1pa[Year],YEAR(Data!$A98)),"")</f>
        <v/>
      </c>
      <c r="N98" s="2" t="str">
        <f>IFERROR(AVERAGEIFS(timeseries_access_key_fqeas14oitk235763mntlb1c0brnk9w3fenzqbk313q5kvxyf52kukw1pa[Column1],timeseries_access_key_fqeas14oitk235763mntlb1c0brnk9w3fenzqbk313q5kvxyf52kukw1pa[Month],MONTH(Data!$A98),timeseries_access_key_fqeas14oitk235763mntlb1c0brnk9w3fenzqbk313q5kvxyf52kukw1pa[Year],YEAR(Data!$A98)),"")</f>
        <v/>
      </c>
      <c r="O98" s="8" t="str">
        <f>IFERROR(VLOOKUP($A98,Text_1_2[[Text.1.1.3]:[Text.1.3]],2,FALSE),"")</f>
        <v/>
      </c>
      <c r="P98" s="2"/>
    </row>
    <row r="99" spans="1:16" x14ac:dyDescent="0.25">
      <c r="A99" s="1">
        <v>24139</v>
      </c>
      <c r="B99" t="str">
        <f>HLOOKUP(Dashboard!$I$27,results,ROW(A99),FALSE)</f>
        <v/>
      </c>
      <c r="C99">
        <f>IFERROR(VLOOKUP(A99,observations_series_id_PCU22112222112243_api_key_ecc133893ea92a842ee685c73424608[],2,FALSE),"")</f>
        <v>17.7</v>
      </c>
      <c r="D99" s="2">
        <f>IFERROR(VLOOKUP(A99,observations_series_id_PCU22112222112243_api_key_ecc133893ea92a842ee685c73424608[],3,FALSE),"")</f>
        <v>1.6949152542372947E-2</v>
      </c>
      <c r="E99" t="str">
        <f>IFERROR(VLOOKUP($A99,observations_series_id_WPU0613020T_api_key_ecc133893ea92a842ee685c734246086_file[],2,FALSE),"")</f>
        <v/>
      </c>
      <c r="F99" s="2" t="str">
        <f>IFERROR(VLOOKUP($A99,observations_series_id_WPU0613020T_api_key_ecc133893ea92a842ee685c734246086_file[],3,FALSE),"")</f>
        <v/>
      </c>
      <c r="G99" t="str">
        <f>IFERROR(VLOOKUP($A99,observations_series_id_PCU22122212_api_key_ecc133893ea92a842ee685c734246086_file[],2,FALSE),"")</f>
        <v/>
      </c>
      <c r="H99" s="2" t="str">
        <f>IFERROR(VLOOKUP($A99,observations_series_id_PCU22122212_api_key_ecc133893ea92a842ee685c734246086_file[],3,FALSE),"")</f>
        <v/>
      </c>
      <c r="I99" t="str">
        <f>IFERROR(VLOOKUP($A99,observations_series_id_PCU3241913241910_api_key_ecc133893ea92a842ee685c734246086[],2,FALSE),"")</f>
        <v/>
      </c>
      <c r="J99" s="2" t="str">
        <f>IFERROR(VLOOKUP($A99,observations_series_id_PCU3241913241910_api_key_ecc133893ea92a842ee685c734246086[],3,FALSE),"")</f>
        <v/>
      </c>
      <c r="K99" t="str">
        <f>IFERROR(VLOOKUP($A99,observations_series_id_EXJPUS_api_key_ecc133893ea92a842ee685c734246086_file_type[],2,FALSE),"")</f>
        <v/>
      </c>
      <c r="L99" s="2" t="str">
        <f>IFERROR(VLOOKUP($A99,observations_series_id_EXJPUS_api_key_ecc133893ea92a842ee685c734246086_file_type[],3,FALSE),"")</f>
        <v/>
      </c>
      <c r="M99" t="str">
        <f>IFERROR(AVERAGEIFS(timeseries_access_key_fqeas14oitk235763mntlb1c0brnk9w3fenzqbk313q5kvxyf52kukw1pa[Value.LME-ZNC],timeseries_access_key_fqeas14oitk235763mntlb1c0brnk9w3fenzqbk313q5kvxyf52kukw1pa[Month],MONTH(Data!$A99),timeseries_access_key_fqeas14oitk235763mntlb1c0brnk9w3fenzqbk313q5kvxyf52kukw1pa[Year],YEAR(Data!$A99)),"")</f>
        <v/>
      </c>
      <c r="N99" s="2" t="str">
        <f>IFERROR(AVERAGEIFS(timeseries_access_key_fqeas14oitk235763mntlb1c0brnk9w3fenzqbk313q5kvxyf52kukw1pa[Column1],timeseries_access_key_fqeas14oitk235763mntlb1c0brnk9w3fenzqbk313q5kvxyf52kukw1pa[Month],MONTH(Data!$A99),timeseries_access_key_fqeas14oitk235763mntlb1c0brnk9w3fenzqbk313q5kvxyf52kukw1pa[Year],YEAR(Data!$A99)),"")</f>
        <v/>
      </c>
      <c r="O99" s="8" t="str">
        <f>IFERROR(VLOOKUP($A99,Text_1_2[[Text.1.1.3]:[Text.1.3]],2,FALSE),"")</f>
        <v/>
      </c>
      <c r="P99" s="2"/>
    </row>
    <row r="100" spans="1:16" x14ac:dyDescent="0.25">
      <c r="A100" s="1">
        <v>24167</v>
      </c>
      <c r="B100" t="str">
        <f>HLOOKUP(Dashboard!$I$27,results,ROW(A100),FALSE)</f>
        <v/>
      </c>
      <c r="C100">
        <f>IFERROR(VLOOKUP(A100,observations_series_id_PCU22112222112243_api_key_ecc133893ea92a842ee685c73424608[],2,FALSE),"")</f>
        <v>17.8</v>
      </c>
      <c r="D100" s="2">
        <f>IFERROR(VLOOKUP(A100,observations_series_id_PCU22112222112243_api_key_ecc133893ea92a842ee685c73424608[],3,FALSE),"")</f>
        <v>2.2471910112359716E-2</v>
      </c>
      <c r="E100" t="str">
        <f>IFERROR(VLOOKUP($A100,observations_series_id_WPU0613020T_api_key_ecc133893ea92a842ee685c734246086_file[],2,FALSE),"")</f>
        <v/>
      </c>
      <c r="F100" s="2" t="str">
        <f>IFERROR(VLOOKUP($A100,observations_series_id_WPU0613020T_api_key_ecc133893ea92a842ee685c734246086_file[],3,FALSE),"")</f>
        <v/>
      </c>
      <c r="G100" t="str">
        <f>IFERROR(VLOOKUP($A100,observations_series_id_PCU22122212_api_key_ecc133893ea92a842ee685c734246086_file[],2,FALSE),"")</f>
        <v/>
      </c>
      <c r="H100" s="2" t="str">
        <f>IFERROR(VLOOKUP($A100,observations_series_id_PCU22122212_api_key_ecc133893ea92a842ee685c734246086_file[],3,FALSE),"")</f>
        <v/>
      </c>
      <c r="I100" t="str">
        <f>IFERROR(VLOOKUP($A100,observations_series_id_PCU3241913241910_api_key_ecc133893ea92a842ee685c734246086[],2,FALSE),"")</f>
        <v/>
      </c>
      <c r="J100" s="2" t="str">
        <f>IFERROR(VLOOKUP($A100,observations_series_id_PCU3241913241910_api_key_ecc133893ea92a842ee685c734246086[],3,FALSE),"")</f>
        <v/>
      </c>
      <c r="K100" t="str">
        <f>IFERROR(VLOOKUP($A100,observations_series_id_EXJPUS_api_key_ecc133893ea92a842ee685c734246086_file_type[],2,FALSE),"")</f>
        <v/>
      </c>
      <c r="L100" s="2" t="str">
        <f>IFERROR(VLOOKUP($A100,observations_series_id_EXJPUS_api_key_ecc133893ea92a842ee685c734246086_file_type[],3,FALSE),"")</f>
        <v/>
      </c>
      <c r="M100" t="str">
        <f>IFERROR(AVERAGEIFS(timeseries_access_key_fqeas14oitk235763mntlb1c0brnk9w3fenzqbk313q5kvxyf52kukw1pa[Value.LME-ZNC],timeseries_access_key_fqeas14oitk235763mntlb1c0brnk9w3fenzqbk313q5kvxyf52kukw1pa[Month],MONTH(Data!$A100),timeseries_access_key_fqeas14oitk235763mntlb1c0brnk9w3fenzqbk313q5kvxyf52kukw1pa[Year],YEAR(Data!$A100)),"")</f>
        <v/>
      </c>
      <c r="N100" s="2" t="str">
        <f>IFERROR(AVERAGEIFS(timeseries_access_key_fqeas14oitk235763mntlb1c0brnk9w3fenzqbk313q5kvxyf52kukw1pa[Column1],timeseries_access_key_fqeas14oitk235763mntlb1c0brnk9w3fenzqbk313q5kvxyf52kukw1pa[Month],MONTH(Data!$A100),timeseries_access_key_fqeas14oitk235763mntlb1c0brnk9w3fenzqbk313q5kvxyf52kukw1pa[Year],YEAR(Data!$A100)),"")</f>
        <v/>
      </c>
      <c r="O100" s="8" t="str">
        <f>IFERROR(VLOOKUP($A100,Text_1_2[[Text.1.1.3]:[Text.1.3]],2,FALSE),"")</f>
        <v/>
      </c>
      <c r="P100" s="2"/>
    </row>
    <row r="101" spans="1:16" x14ac:dyDescent="0.25">
      <c r="A101" s="1">
        <v>24198</v>
      </c>
      <c r="B101" t="str">
        <f>HLOOKUP(Dashboard!$I$27,results,ROW(A101),FALSE)</f>
        <v/>
      </c>
      <c r="C101">
        <f>IFERROR(VLOOKUP(A101,observations_series_id_PCU22112222112243_api_key_ecc133893ea92a842ee685c73424608[],2,FALSE),"")</f>
        <v>17.7</v>
      </c>
      <c r="D101" s="2">
        <f>IFERROR(VLOOKUP(A101,observations_series_id_PCU22112222112243_api_key_ecc133893ea92a842ee685c73424608[],3,FALSE),"")</f>
        <v>1.6949152542372947E-2</v>
      </c>
      <c r="E101" t="str">
        <f>IFERROR(VLOOKUP($A101,observations_series_id_WPU0613020T_api_key_ecc133893ea92a842ee685c734246086_file[],2,FALSE),"")</f>
        <v/>
      </c>
      <c r="F101" s="2" t="str">
        <f>IFERROR(VLOOKUP($A101,observations_series_id_WPU0613020T_api_key_ecc133893ea92a842ee685c734246086_file[],3,FALSE),"")</f>
        <v/>
      </c>
      <c r="G101" t="str">
        <f>IFERROR(VLOOKUP($A101,observations_series_id_PCU22122212_api_key_ecc133893ea92a842ee685c734246086_file[],2,FALSE),"")</f>
        <v/>
      </c>
      <c r="H101" s="2" t="str">
        <f>IFERROR(VLOOKUP($A101,observations_series_id_PCU22122212_api_key_ecc133893ea92a842ee685c734246086_file[],3,FALSE),"")</f>
        <v/>
      </c>
      <c r="I101" t="str">
        <f>IFERROR(VLOOKUP($A101,observations_series_id_PCU3241913241910_api_key_ecc133893ea92a842ee685c734246086[],2,FALSE),"")</f>
        <v/>
      </c>
      <c r="J101" s="2" t="str">
        <f>IFERROR(VLOOKUP($A101,observations_series_id_PCU3241913241910_api_key_ecc133893ea92a842ee685c734246086[],3,FALSE),"")</f>
        <v/>
      </c>
      <c r="K101" t="str">
        <f>IFERROR(VLOOKUP($A101,observations_series_id_EXJPUS_api_key_ecc133893ea92a842ee685c734246086_file_type[],2,FALSE),"")</f>
        <v/>
      </c>
      <c r="L101" s="2" t="str">
        <f>IFERROR(VLOOKUP($A101,observations_series_id_EXJPUS_api_key_ecc133893ea92a842ee685c734246086_file_type[],3,FALSE),"")</f>
        <v/>
      </c>
      <c r="M101" t="str">
        <f>IFERROR(AVERAGEIFS(timeseries_access_key_fqeas14oitk235763mntlb1c0brnk9w3fenzqbk313q5kvxyf52kukw1pa[Value.LME-ZNC],timeseries_access_key_fqeas14oitk235763mntlb1c0brnk9w3fenzqbk313q5kvxyf52kukw1pa[Month],MONTH(Data!$A101),timeseries_access_key_fqeas14oitk235763mntlb1c0brnk9w3fenzqbk313q5kvxyf52kukw1pa[Year],YEAR(Data!$A101)),"")</f>
        <v/>
      </c>
      <c r="N101" s="2" t="str">
        <f>IFERROR(AVERAGEIFS(timeseries_access_key_fqeas14oitk235763mntlb1c0brnk9w3fenzqbk313q5kvxyf52kukw1pa[Column1],timeseries_access_key_fqeas14oitk235763mntlb1c0brnk9w3fenzqbk313q5kvxyf52kukw1pa[Month],MONTH(Data!$A101),timeseries_access_key_fqeas14oitk235763mntlb1c0brnk9w3fenzqbk313q5kvxyf52kukw1pa[Year],YEAR(Data!$A101)),"")</f>
        <v/>
      </c>
      <c r="O101" s="8" t="str">
        <f>IFERROR(VLOOKUP($A101,Text_1_2[[Text.1.1.3]:[Text.1.3]],2,FALSE),"")</f>
        <v/>
      </c>
      <c r="P101" s="2"/>
    </row>
    <row r="102" spans="1:16" x14ac:dyDescent="0.25">
      <c r="A102" s="1">
        <v>24228</v>
      </c>
      <c r="B102" t="str">
        <f>HLOOKUP(Dashboard!$I$27,results,ROW(A102),FALSE)</f>
        <v/>
      </c>
      <c r="C102">
        <f>IFERROR(VLOOKUP(A102,observations_series_id_PCU22112222112243_api_key_ecc133893ea92a842ee685c73424608[],2,FALSE),"")</f>
        <v>17.7</v>
      </c>
      <c r="D102" s="2">
        <f>IFERROR(VLOOKUP(A102,observations_series_id_PCU22112222112243_api_key_ecc133893ea92a842ee685c73424608[],3,FALSE),"")</f>
        <v>1.6949152542372947E-2</v>
      </c>
      <c r="E102" t="str">
        <f>IFERROR(VLOOKUP($A102,observations_series_id_WPU0613020T_api_key_ecc133893ea92a842ee685c734246086_file[],2,FALSE),"")</f>
        <v/>
      </c>
      <c r="F102" s="2" t="str">
        <f>IFERROR(VLOOKUP($A102,observations_series_id_WPU0613020T_api_key_ecc133893ea92a842ee685c734246086_file[],3,FALSE),"")</f>
        <v/>
      </c>
      <c r="G102" t="str">
        <f>IFERROR(VLOOKUP($A102,observations_series_id_PCU22122212_api_key_ecc133893ea92a842ee685c734246086_file[],2,FALSE),"")</f>
        <v/>
      </c>
      <c r="H102" s="2" t="str">
        <f>IFERROR(VLOOKUP($A102,observations_series_id_PCU22122212_api_key_ecc133893ea92a842ee685c734246086_file[],3,FALSE),"")</f>
        <v/>
      </c>
      <c r="I102" t="str">
        <f>IFERROR(VLOOKUP($A102,observations_series_id_PCU3241913241910_api_key_ecc133893ea92a842ee685c734246086[],2,FALSE),"")</f>
        <v/>
      </c>
      <c r="J102" s="2" t="str">
        <f>IFERROR(VLOOKUP($A102,observations_series_id_PCU3241913241910_api_key_ecc133893ea92a842ee685c734246086[],3,FALSE),"")</f>
        <v/>
      </c>
      <c r="K102" t="str">
        <f>IFERROR(VLOOKUP($A102,observations_series_id_EXJPUS_api_key_ecc133893ea92a842ee685c734246086_file_type[],2,FALSE),"")</f>
        <v/>
      </c>
      <c r="L102" s="2" t="str">
        <f>IFERROR(VLOOKUP($A102,observations_series_id_EXJPUS_api_key_ecc133893ea92a842ee685c734246086_file_type[],3,FALSE),"")</f>
        <v/>
      </c>
      <c r="M102" t="str">
        <f>IFERROR(AVERAGEIFS(timeseries_access_key_fqeas14oitk235763mntlb1c0brnk9w3fenzqbk313q5kvxyf52kukw1pa[Value.LME-ZNC],timeseries_access_key_fqeas14oitk235763mntlb1c0brnk9w3fenzqbk313q5kvxyf52kukw1pa[Month],MONTH(Data!$A102),timeseries_access_key_fqeas14oitk235763mntlb1c0brnk9w3fenzqbk313q5kvxyf52kukw1pa[Year],YEAR(Data!$A102)),"")</f>
        <v/>
      </c>
      <c r="N102" s="2" t="str">
        <f>IFERROR(AVERAGEIFS(timeseries_access_key_fqeas14oitk235763mntlb1c0brnk9w3fenzqbk313q5kvxyf52kukw1pa[Column1],timeseries_access_key_fqeas14oitk235763mntlb1c0brnk9w3fenzqbk313q5kvxyf52kukw1pa[Month],MONTH(Data!$A102),timeseries_access_key_fqeas14oitk235763mntlb1c0brnk9w3fenzqbk313q5kvxyf52kukw1pa[Year],YEAR(Data!$A102)),"")</f>
        <v/>
      </c>
      <c r="O102" s="8" t="str">
        <f>IFERROR(VLOOKUP($A102,Text_1_2[[Text.1.1.3]:[Text.1.3]],2,FALSE),"")</f>
        <v/>
      </c>
      <c r="P102" s="2"/>
    </row>
    <row r="103" spans="1:16" x14ac:dyDescent="0.25">
      <c r="A103" s="1">
        <v>24259</v>
      </c>
      <c r="B103" t="str">
        <f>HLOOKUP(Dashboard!$I$27,results,ROW(A103),FALSE)</f>
        <v/>
      </c>
      <c r="C103">
        <f>IFERROR(VLOOKUP(A103,observations_series_id_PCU22112222112243_api_key_ecc133893ea92a842ee685c73424608[],2,FALSE),"")</f>
        <v>17.7</v>
      </c>
      <c r="D103" s="2">
        <f>IFERROR(VLOOKUP(A103,observations_series_id_PCU22112222112243_api_key_ecc133893ea92a842ee685c73424608[],3,FALSE),"")</f>
        <v>1.6949152542372947E-2</v>
      </c>
      <c r="E103" t="str">
        <f>IFERROR(VLOOKUP($A103,observations_series_id_WPU0613020T_api_key_ecc133893ea92a842ee685c734246086_file[],2,FALSE),"")</f>
        <v/>
      </c>
      <c r="F103" s="2" t="str">
        <f>IFERROR(VLOOKUP($A103,observations_series_id_WPU0613020T_api_key_ecc133893ea92a842ee685c734246086_file[],3,FALSE),"")</f>
        <v/>
      </c>
      <c r="G103" t="str">
        <f>IFERROR(VLOOKUP($A103,observations_series_id_PCU22122212_api_key_ecc133893ea92a842ee685c734246086_file[],2,FALSE),"")</f>
        <v/>
      </c>
      <c r="H103" s="2" t="str">
        <f>IFERROR(VLOOKUP($A103,observations_series_id_PCU22122212_api_key_ecc133893ea92a842ee685c734246086_file[],3,FALSE),"")</f>
        <v/>
      </c>
      <c r="I103" t="str">
        <f>IFERROR(VLOOKUP($A103,observations_series_id_PCU3241913241910_api_key_ecc133893ea92a842ee685c734246086[],2,FALSE),"")</f>
        <v/>
      </c>
      <c r="J103" s="2" t="str">
        <f>IFERROR(VLOOKUP($A103,observations_series_id_PCU3241913241910_api_key_ecc133893ea92a842ee685c734246086[],3,FALSE),"")</f>
        <v/>
      </c>
      <c r="K103" t="str">
        <f>IFERROR(VLOOKUP($A103,observations_series_id_EXJPUS_api_key_ecc133893ea92a842ee685c734246086_file_type[],2,FALSE),"")</f>
        <v/>
      </c>
      <c r="L103" s="2" t="str">
        <f>IFERROR(VLOOKUP($A103,observations_series_id_EXJPUS_api_key_ecc133893ea92a842ee685c734246086_file_type[],3,FALSE),"")</f>
        <v/>
      </c>
      <c r="M103" t="str">
        <f>IFERROR(AVERAGEIFS(timeseries_access_key_fqeas14oitk235763mntlb1c0brnk9w3fenzqbk313q5kvxyf52kukw1pa[Value.LME-ZNC],timeseries_access_key_fqeas14oitk235763mntlb1c0brnk9w3fenzqbk313q5kvxyf52kukw1pa[Month],MONTH(Data!$A103),timeseries_access_key_fqeas14oitk235763mntlb1c0brnk9w3fenzqbk313q5kvxyf52kukw1pa[Year],YEAR(Data!$A103)),"")</f>
        <v/>
      </c>
      <c r="N103" s="2" t="str">
        <f>IFERROR(AVERAGEIFS(timeseries_access_key_fqeas14oitk235763mntlb1c0brnk9w3fenzqbk313q5kvxyf52kukw1pa[Column1],timeseries_access_key_fqeas14oitk235763mntlb1c0brnk9w3fenzqbk313q5kvxyf52kukw1pa[Month],MONTH(Data!$A103),timeseries_access_key_fqeas14oitk235763mntlb1c0brnk9w3fenzqbk313q5kvxyf52kukw1pa[Year],YEAR(Data!$A103)),"")</f>
        <v/>
      </c>
      <c r="O103" s="8" t="str">
        <f>IFERROR(VLOOKUP($A103,Text_1_2[[Text.1.1.3]:[Text.1.3]],2,FALSE),"")</f>
        <v/>
      </c>
      <c r="P103" s="2"/>
    </row>
    <row r="104" spans="1:16" x14ac:dyDescent="0.25">
      <c r="A104" s="1">
        <v>24289</v>
      </c>
      <c r="B104" t="str">
        <f>HLOOKUP(Dashboard!$I$27,results,ROW(A104),FALSE)</f>
        <v/>
      </c>
      <c r="C104">
        <f>IFERROR(VLOOKUP(A104,observations_series_id_PCU22112222112243_api_key_ecc133893ea92a842ee685c73424608[],2,FALSE),"")</f>
        <v>17.7</v>
      </c>
      <c r="D104" s="2">
        <f>IFERROR(VLOOKUP(A104,observations_series_id_PCU22112222112243_api_key_ecc133893ea92a842ee685c73424608[],3,FALSE),"")</f>
        <v>1.6949152542372947E-2</v>
      </c>
      <c r="E104" t="str">
        <f>IFERROR(VLOOKUP($A104,observations_series_id_WPU0613020T_api_key_ecc133893ea92a842ee685c734246086_file[],2,FALSE),"")</f>
        <v/>
      </c>
      <c r="F104" s="2" t="str">
        <f>IFERROR(VLOOKUP($A104,observations_series_id_WPU0613020T_api_key_ecc133893ea92a842ee685c734246086_file[],3,FALSE),"")</f>
        <v/>
      </c>
      <c r="G104" t="str">
        <f>IFERROR(VLOOKUP($A104,observations_series_id_PCU22122212_api_key_ecc133893ea92a842ee685c734246086_file[],2,FALSE),"")</f>
        <v/>
      </c>
      <c r="H104" s="2" t="str">
        <f>IFERROR(VLOOKUP($A104,observations_series_id_PCU22122212_api_key_ecc133893ea92a842ee685c734246086_file[],3,FALSE),"")</f>
        <v/>
      </c>
      <c r="I104" t="str">
        <f>IFERROR(VLOOKUP($A104,observations_series_id_PCU3241913241910_api_key_ecc133893ea92a842ee685c734246086[],2,FALSE),"")</f>
        <v/>
      </c>
      <c r="J104" s="2" t="str">
        <f>IFERROR(VLOOKUP($A104,observations_series_id_PCU3241913241910_api_key_ecc133893ea92a842ee685c734246086[],3,FALSE),"")</f>
        <v/>
      </c>
      <c r="K104" t="str">
        <f>IFERROR(VLOOKUP($A104,observations_series_id_EXJPUS_api_key_ecc133893ea92a842ee685c734246086_file_type[],2,FALSE),"")</f>
        <v/>
      </c>
      <c r="L104" s="2" t="str">
        <f>IFERROR(VLOOKUP($A104,observations_series_id_EXJPUS_api_key_ecc133893ea92a842ee685c734246086_file_type[],3,FALSE),"")</f>
        <v/>
      </c>
      <c r="M104" t="str">
        <f>IFERROR(AVERAGEIFS(timeseries_access_key_fqeas14oitk235763mntlb1c0brnk9w3fenzqbk313q5kvxyf52kukw1pa[Value.LME-ZNC],timeseries_access_key_fqeas14oitk235763mntlb1c0brnk9w3fenzqbk313q5kvxyf52kukw1pa[Month],MONTH(Data!$A104),timeseries_access_key_fqeas14oitk235763mntlb1c0brnk9w3fenzqbk313q5kvxyf52kukw1pa[Year],YEAR(Data!$A104)),"")</f>
        <v/>
      </c>
      <c r="N104" s="2" t="str">
        <f>IFERROR(AVERAGEIFS(timeseries_access_key_fqeas14oitk235763mntlb1c0brnk9w3fenzqbk313q5kvxyf52kukw1pa[Column1],timeseries_access_key_fqeas14oitk235763mntlb1c0brnk9w3fenzqbk313q5kvxyf52kukw1pa[Month],MONTH(Data!$A104),timeseries_access_key_fqeas14oitk235763mntlb1c0brnk9w3fenzqbk313q5kvxyf52kukw1pa[Year],YEAR(Data!$A104)),"")</f>
        <v/>
      </c>
      <c r="O104" s="8" t="str">
        <f>IFERROR(VLOOKUP($A104,Text_1_2[[Text.1.1.3]:[Text.1.3]],2,FALSE),"")</f>
        <v/>
      </c>
      <c r="P104" s="2"/>
    </row>
    <row r="105" spans="1:16" x14ac:dyDescent="0.25">
      <c r="A105" s="1">
        <v>24320</v>
      </c>
      <c r="B105" t="str">
        <f>HLOOKUP(Dashboard!$I$27,results,ROW(A105),FALSE)</f>
        <v/>
      </c>
      <c r="C105">
        <f>IFERROR(VLOOKUP(A105,observations_series_id_PCU22112222112243_api_key_ecc133893ea92a842ee685c73424608[],2,FALSE),"")</f>
        <v>17.7</v>
      </c>
      <c r="D105" s="2">
        <f>IFERROR(VLOOKUP(A105,observations_series_id_PCU22112222112243_api_key_ecc133893ea92a842ee685c73424608[],3,FALSE),"")</f>
        <v>1.6949152542372947E-2</v>
      </c>
      <c r="E105" t="str">
        <f>IFERROR(VLOOKUP($A105,observations_series_id_WPU0613020T_api_key_ecc133893ea92a842ee685c734246086_file[],2,FALSE),"")</f>
        <v/>
      </c>
      <c r="F105" s="2" t="str">
        <f>IFERROR(VLOOKUP($A105,observations_series_id_WPU0613020T_api_key_ecc133893ea92a842ee685c734246086_file[],3,FALSE),"")</f>
        <v/>
      </c>
      <c r="G105" t="str">
        <f>IFERROR(VLOOKUP($A105,observations_series_id_PCU22122212_api_key_ecc133893ea92a842ee685c734246086_file[],2,FALSE),"")</f>
        <v/>
      </c>
      <c r="H105" s="2" t="str">
        <f>IFERROR(VLOOKUP($A105,observations_series_id_PCU22122212_api_key_ecc133893ea92a842ee685c734246086_file[],3,FALSE),"")</f>
        <v/>
      </c>
      <c r="I105" t="str">
        <f>IFERROR(VLOOKUP($A105,observations_series_id_PCU3241913241910_api_key_ecc133893ea92a842ee685c734246086[],2,FALSE),"")</f>
        <v/>
      </c>
      <c r="J105" s="2" t="str">
        <f>IFERROR(VLOOKUP($A105,observations_series_id_PCU3241913241910_api_key_ecc133893ea92a842ee685c734246086[],3,FALSE),"")</f>
        <v/>
      </c>
      <c r="K105" t="str">
        <f>IFERROR(VLOOKUP($A105,observations_series_id_EXJPUS_api_key_ecc133893ea92a842ee685c734246086_file_type[],2,FALSE),"")</f>
        <v/>
      </c>
      <c r="L105" s="2" t="str">
        <f>IFERROR(VLOOKUP($A105,observations_series_id_EXJPUS_api_key_ecc133893ea92a842ee685c734246086_file_type[],3,FALSE),"")</f>
        <v/>
      </c>
      <c r="M105" t="str">
        <f>IFERROR(AVERAGEIFS(timeseries_access_key_fqeas14oitk235763mntlb1c0brnk9w3fenzqbk313q5kvxyf52kukw1pa[Value.LME-ZNC],timeseries_access_key_fqeas14oitk235763mntlb1c0brnk9w3fenzqbk313q5kvxyf52kukw1pa[Month],MONTH(Data!$A105),timeseries_access_key_fqeas14oitk235763mntlb1c0brnk9w3fenzqbk313q5kvxyf52kukw1pa[Year],YEAR(Data!$A105)),"")</f>
        <v/>
      </c>
      <c r="N105" s="2" t="str">
        <f>IFERROR(AVERAGEIFS(timeseries_access_key_fqeas14oitk235763mntlb1c0brnk9w3fenzqbk313q5kvxyf52kukw1pa[Column1],timeseries_access_key_fqeas14oitk235763mntlb1c0brnk9w3fenzqbk313q5kvxyf52kukw1pa[Month],MONTH(Data!$A105),timeseries_access_key_fqeas14oitk235763mntlb1c0brnk9w3fenzqbk313q5kvxyf52kukw1pa[Year],YEAR(Data!$A105)),"")</f>
        <v/>
      </c>
      <c r="O105" s="8" t="str">
        <f>IFERROR(VLOOKUP($A105,Text_1_2[[Text.1.1.3]:[Text.1.3]],2,FALSE),"")</f>
        <v/>
      </c>
      <c r="P105" s="2"/>
    </row>
    <row r="106" spans="1:16" x14ac:dyDescent="0.25">
      <c r="A106" s="1">
        <v>24351</v>
      </c>
      <c r="B106" t="str">
        <f>HLOOKUP(Dashboard!$I$27,results,ROW(A106),FALSE)</f>
        <v/>
      </c>
      <c r="C106">
        <f>IFERROR(VLOOKUP(A106,observations_series_id_PCU22112222112243_api_key_ecc133893ea92a842ee685c73424608[],2,FALSE),"")</f>
        <v>17.7</v>
      </c>
      <c r="D106" s="2">
        <f>IFERROR(VLOOKUP(A106,observations_series_id_PCU22112222112243_api_key_ecc133893ea92a842ee685c73424608[],3,FALSE),"")</f>
        <v>1.6949152542372947E-2</v>
      </c>
      <c r="E106" t="str">
        <f>IFERROR(VLOOKUP($A106,observations_series_id_WPU0613020T_api_key_ecc133893ea92a842ee685c734246086_file[],2,FALSE),"")</f>
        <v/>
      </c>
      <c r="F106" s="2" t="str">
        <f>IFERROR(VLOOKUP($A106,observations_series_id_WPU0613020T_api_key_ecc133893ea92a842ee685c734246086_file[],3,FALSE),"")</f>
        <v/>
      </c>
      <c r="G106" t="str">
        <f>IFERROR(VLOOKUP($A106,observations_series_id_PCU22122212_api_key_ecc133893ea92a842ee685c734246086_file[],2,FALSE),"")</f>
        <v/>
      </c>
      <c r="H106" s="2" t="str">
        <f>IFERROR(VLOOKUP($A106,observations_series_id_PCU22122212_api_key_ecc133893ea92a842ee685c734246086_file[],3,FALSE),"")</f>
        <v/>
      </c>
      <c r="I106" t="str">
        <f>IFERROR(VLOOKUP($A106,observations_series_id_PCU3241913241910_api_key_ecc133893ea92a842ee685c734246086[],2,FALSE),"")</f>
        <v/>
      </c>
      <c r="J106" s="2" t="str">
        <f>IFERROR(VLOOKUP($A106,observations_series_id_PCU3241913241910_api_key_ecc133893ea92a842ee685c734246086[],3,FALSE),"")</f>
        <v/>
      </c>
      <c r="K106" t="str">
        <f>IFERROR(VLOOKUP($A106,observations_series_id_EXJPUS_api_key_ecc133893ea92a842ee685c734246086_file_type[],2,FALSE),"")</f>
        <v/>
      </c>
      <c r="L106" s="2" t="str">
        <f>IFERROR(VLOOKUP($A106,observations_series_id_EXJPUS_api_key_ecc133893ea92a842ee685c734246086_file_type[],3,FALSE),"")</f>
        <v/>
      </c>
      <c r="M106" t="str">
        <f>IFERROR(AVERAGEIFS(timeseries_access_key_fqeas14oitk235763mntlb1c0brnk9w3fenzqbk313q5kvxyf52kukw1pa[Value.LME-ZNC],timeseries_access_key_fqeas14oitk235763mntlb1c0brnk9w3fenzqbk313q5kvxyf52kukw1pa[Month],MONTH(Data!$A106),timeseries_access_key_fqeas14oitk235763mntlb1c0brnk9w3fenzqbk313q5kvxyf52kukw1pa[Year],YEAR(Data!$A106)),"")</f>
        <v/>
      </c>
      <c r="N106" s="2" t="str">
        <f>IFERROR(AVERAGEIFS(timeseries_access_key_fqeas14oitk235763mntlb1c0brnk9w3fenzqbk313q5kvxyf52kukw1pa[Column1],timeseries_access_key_fqeas14oitk235763mntlb1c0brnk9w3fenzqbk313q5kvxyf52kukw1pa[Month],MONTH(Data!$A106),timeseries_access_key_fqeas14oitk235763mntlb1c0brnk9w3fenzqbk313q5kvxyf52kukw1pa[Year],YEAR(Data!$A106)),"")</f>
        <v/>
      </c>
      <c r="O106" s="8" t="str">
        <f>IFERROR(VLOOKUP($A106,Text_1_2[[Text.1.1.3]:[Text.1.3]],2,FALSE),"")</f>
        <v/>
      </c>
      <c r="P106" s="2"/>
    </row>
    <row r="107" spans="1:16" x14ac:dyDescent="0.25">
      <c r="A107" s="1">
        <v>24381</v>
      </c>
      <c r="B107" t="str">
        <f>HLOOKUP(Dashboard!$I$27,results,ROW(A107),FALSE)</f>
        <v/>
      </c>
      <c r="C107">
        <f>IFERROR(VLOOKUP(A107,observations_series_id_PCU22112222112243_api_key_ecc133893ea92a842ee685c73424608[],2,FALSE),"")</f>
        <v>17.7</v>
      </c>
      <c r="D107" s="2">
        <f>IFERROR(VLOOKUP(A107,observations_series_id_PCU22112222112243_api_key_ecc133893ea92a842ee685c73424608[],3,FALSE),"")</f>
        <v>1.6949152542372947E-2</v>
      </c>
      <c r="E107" t="str">
        <f>IFERROR(VLOOKUP($A107,observations_series_id_WPU0613020T_api_key_ecc133893ea92a842ee685c734246086_file[],2,FALSE),"")</f>
        <v/>
      </c>
      <c r="F107" s="2" t="str">
        <f>IFERROR(VLOOKUP($A107,observations_series_id_WPU0613020T_api_key_ecc133893ea92a842ee685c734246086_file[],3,FALSE),"")</f>
        <v/>
      </c>
      <c r="G107" t="str">
        <f>IFERROR(VLOOKUP($A107,observations_series_id_PCU22122212_api_key_ecc133893ea92a842ee685c734246086_file[],2,FALSE),"")</f>
        <v/>
      </c>
      <c r="H107" s="2" t="str">
        <f>IFERROR(VLOOKUP($A107,observations_series_id_PCU22122212_api_key_ecc133893ea92a842ee685c734246086_file[],3,FALSE),"")</f>
        <v/>
      </c>
      <c r="I107" t="str">
        <f>IFERROR(VLOOKUP($A107,observations_series_id_PCU3241913241910_api_key_ecc133893ea92a842ee685c734246086[],2,FALSE),"")</f>
        <v/>
      </c>
      <c r="J107" s="2" t="str">
        <f>IFERROR(VLOOKUP($A107,observations_series_id_PCU3241913241910_api_key_ecc133893ea92a842ee685c734246086[],3,FALSE),"")</f>
        <v/>
      </c>
      <c r="K107" t="str">
        <f>IFERROR(VLOOKUP($A107,observations_series_id_EXJPUS_api_key_ecc133893ea92a842ee685c734246086_file_type[],2,FALSE),"")</f>
        <v/>
      </c>
      <c r="L107" s="2" t="str">
        <f>IFERROR(VLOOKUP($A107,observations_series_id_EXJPUS_api_key_ecc133893ea92a842ee685c734246086_file_type[],3,FALSE),"")</f>
        <v/>
      </c>
      <c r="M107" t="str">
        <f>IFERROR(AVERAGEIFS(timeseries_access_key_fqeas14oitk235763mntlb1c0brnk9w3fenzqbk313q5kvxyf52kukw1pa[Value.LME-ZNC],timeseries_access_key_fqeas14oitk235763mntlb1c0brnk9w3fenzqbk313q5kvxyf52kukw1pa[Month],MONTH(Data!$A107),timeseries_access_key_fqeas14oitk235763mntlb1c0brnk9w3fenzqbk313q5kvxyf52kukw1pa[Year],YEAR(Data!$A107)),"")</f>
        <v/>
      </c>
      <c r="N107" s="2" t="str">
        <f>IFERROR(AVERAGEIFS(timeseries_access_key_fqeas14oitk235763mntlb1c0brnk9w3fenzqbk313q5kvxyf52kukw1pa[Column1],timeseries_access_key_fqeas14oitk235763mntlb1c0brnk9w3fenzqbk313q5kvxyf52kukw1pa[Month],MONTH(Data!$A107),timeseries_access_key_fqeas14oitk235763mntlb1c0brnk9w3fenzqbk313q5kvxyf52kukw1pa[Year],YEAR(Data!$A107)),"")</f>
        <v/>
      </c>
      <c r="O107" s="8" t="str">
        <f>IFERROR(VLOOKUP($A107,Text_1_2[[Text.1.1.3]:[Text.1.3]],2,FALSE),"")</f>
        <v/>
      </c>
      <c r="P107" s="2"/>
    </row>
    <row r="108" spans="1:16" x14ac:dyDescent="0.25">
      <c r="A108" s="1">
        <v>24412</v>
      </c>
      <c r="B108" t="str">
        <f>HLOOKUP(Dashboard!$I$27,results,ROW(A108),FALSE)</f>
        <v/>
      </c>
      <c r="C108">
        <f>IFERROR(VLOOKUP(A108,observations_series_id_PCU22112222112243_api_key_ecc133893ea92a842ee685c73424608[],2,FALSE),"")</f>
        <v>17.7</v>
      </c>
      <c r="D108" s="2">
        <f>IFERROR(VLOOKUP(A108,observations_series_id_PCU22112222112243_api_key_ecc133893ea92a842ee685c73424608[],3,FALSE),"")</f>
        <v>1.6949152542372947E-2</v>
      </c>
      <c r="E108" t="str">
        <f>IFERROR(VLOOKUP($A108,observations_series_id_WPU0613020T_api_key_ecc133893ea92a842ee685c734246086_file[],2,FALSE),"")</f>
        <v/>
      </c>
      <c r="F108" s="2" t="str">
        <f>IFERROR(VLOOKUP($A108,observations_series_id_WPU0613020T_api_key_ecc133893ea92a842ee685c734246086_file[],3,FALSE),"")</f>
        <v/>
      </c>
      <c r="G108" t="str">
        <f>IFERROR(VLOOKUP($A108,observations_series_id_PCU22122212_api_key_ecc133893ea92a842ee685c734246086_file[],2,FALSE),"")</f>
        <v/>
      </c>
      <c r="H108" s="2" t="str">
        <f>IFERROR(VLOOKUP($A108,observations_series_id_PCU22122212_api_key_ecc133893ea92a842ee685c734246086_file[],3,FALSE),"")</f>
        <v/>
      </c>
      <c r="I108" t="str">
        <f>IFERROR(VLOOKUP($A108,observations_series_id_PCU3241913241910_api_key_ecc133893ea92a842ee685c734246086[],2,FALSE),"")</f>
        <v/>
      </c>
      <c r="J108" s="2" t="str">
        <f>IFERROR(VLOOKUP($A108,observations_series_id_PCU3241913241910_api_key_ecc133893ea92a842ee685c734246086[],3,FALSE),"")</f>
        <v/>
      </c>
      <c r="K108" t="str">
        <f>IFERROR(VLOOKUP($A108,observations_series_id_EXJPUS_api_key_ecc133893ea92a842ee685c734246086_file_type[],2,FALSE),"")</f>
        <v/>
      </c>
      <c r="L108" s="2" t="str">
        <f>IFERROR(VLOOKUP($A108,observations_series_id_EXJPUS_api_key_ecc133893ea92a842ee685c734246086_file_type[],3,FALSE),"")</f>
        <v/>
      </c>
      <c r="M108" t="str">
        <f>IFERROR(AVERAGEIFS(timeseries_access_key_fqeas14oitk235763mntlb1c0brnk9w3fenzqbk313q5kvxyf52kukw1pa[Value.LME-ZNC],timeseries_access_key_fqeas14oitk235763mntlb1c0brnk9w3fenzqbk313q5kvxyf52kukw1pa[Month],MONTH(Data!$A108),timeseries_access_key_fqeas14oitk235763mntlb1c0brnk9w3fenzqbk313q5kvxyf52kukw1pa[Year],YEAR(Data!$A108)),"")</f>
        <v/>
      </c>
      <c r="N108" s="2" t="str">
        <f>IFERROR(AVERAGEIFS(timeseries_access_key_fqeas14oitk235763mntlb1c0brnk9w3fenzqbk313q5kvxyf52kukw1pa[Column1],timeseries_access_key_fqeas14oitk235763mntlb1c0brnk9w3fenzqbk313q5kvxyf52kukw1pa[Month],MONTH(Data!$A108),timeseries_access_key_fqeas14oitk235763mntlb1c0brnk9w3fenzqbk313q5kvxyf52kukw1pa[Year],YEAR(Data!$A108)),"")</f>
        <v/>
      </c>
      <c r="O108" s="8" t="str">
        <f>IFERROR(VLOOKUP($A108,Text_1_2[[Text.1.1.3]:[Text.1.3]],2,FALSE),"")</f>
        <v/>
      </c>
      <c r="P108" s="2"/>
    </row>
    <row r="109" spans="1:16" x14ac:dyDescent="0.25">
      <c r="A109" s="1">
        <v>24442</v>
      </c>
      <c r="B109" t="str">
        <f>HLOOKUP(Dashboard!$I$27,results,ROW(A109),FALSE)</f>
        <v/>
      </c>
      <c r="C109">
        <f>IFERROR(VLOOKUP(A109,observations_series_id_PCU22112222112243_api_key_ecc133893ea92a842ee685c73424608[],2,FALSE),"")</f>
        <v>17.8</v>
      </c>
      <c r="D109" s="2">
        <f>IFERROR(VLOOKUP(A109,observations_series_id_PCU22112222112243_api_key_ecc133893ea92a842ee685c73424608[],3,FALSE),"")</f>
        <v>2.2471910112359716E-2</v>
      </c>
      <c r="E109" t="str">
        <f>IFERROR(VLOOKUP($A109,observations_series_id_WPU0613020T_api_key_ecc133893ea92a842ee685c734246086_file[],2,FALSE),"")</f>
        <v/>
      </c>
      <c r="F109" s="2" t="str">
        <f>IFERROR(VLOOKUP($A109,observations_series_id_WPU0613020T_api_key_ecc133893ea92a842ee685c734246086_file[],3,FALSE),"")</f>
        <v/>
      </c>
      <c r="G109" t="str">
        <f>IFERROR(VLOOKUP($A109,observations_series_id_PCU22122212_api_key_ecc133893ea92a842ee685c734246086_file[],2,FALSE),"")</f>
        <v/>
      </c>
      <c r="H109" s="2" t="str">
        <f>IFERROR(VLOOKUP($A109,observations_series_id_PCU22122212_api_key_ecc133893ea92a842ee685c734246086_file[],3,FALSE),"")</f>
        <v/>
      </c>
      <c r="I109" t="str">
        <f>IFERROR(VLOOKUP($A109,observations_series_id_PCU3241913241910_api_key_ecc133893ea92a842ee685c734246086[],2,FALSE),"")</f>
        <v/>
      </c>
      <c r="J109" s="2" t="str">
        <f>IFERROR(VLOOKUP($A109,observations_series_id_PCU3241913241910_api_key_ecc133893ea92a842ee685c734246086[],3,FALSE),"")</f>
        <v/>
      </c>
      <c r="K109" t="str">
        <f>IFERROR(VLOOKUP($A109,observations_series_id_EXJPUS_api_key_ecc133893ea92a842ee685c734246086_file_type[],2,FALSE),"")</f>
        <v/>
      </c>
      <c r="L109" s="2" t="str">
        <f>IFERROR(VLOOKUP($A109,observations_series_id_EXJPUS_api_key_ecc133893ea92a842ee685c734246086_file_type[],3,FALSE),"")</f>
        <v/>
      </c>
      <c r="M109" t="str">
        <f>IFERROR(AVERAGEIFS(timeseries_access_key_fqeas14oitk235763mntlb1c0brnk9w3fenzqbk313q5kvxyf52kukw1pa[Value.LME-ZNC],timeseries_access_key_fqeas14oitk235763mntlb1c0brnk9w3fenzqbk313q5kvxyf52kukw1pa[Month],MONTH(Data!$A109),timeseries_access_key_fqeas14oitk235763mntlb1c0brnk9w3fenzqbk313q5kvxyf52kukw1pa[Year],YEAR(Data!$A109)),"")</f>
        <v/>
      </c>
      <c r="N109" s="2" t="str">
        <f>IFERROR(AVERAGEIFS(timeseries_access_key_fqeas14oitk235763mntlb1c0brnk9w3fenzqbk313q5kvxyf52kukw1pa[Column1],timeseries_access_key_fqeas14oitk235763mntlb1c0brnk9w3fenzqbk313q5kvxyf52kukw1pa[Month],MONTH(Data!$A109),timeseries_access_key_fqeas14oitk235763mntlb1c0brnk9w3fenzqbk313q5kvxyf52kukw1pa[Year],YEAR(Data!$A109)),"")</f>
        <v/>
      </c>
      <c r="O109" s="8" t="str">
        <f>IFERROR(VLOOKUP($A109,Text_1_2[[Text.1.1.3]:[Text.1.3]],2,FALSE),"")</f>
        <v/>
      </c>
      <c r="P109" s="2"/>
    </row>
    <row r="110" spans="1:16" x14ac:dyDescent="0.25">
      <c r="A110" s="1">
        <v>24473</v>
      </c>
      <c r="B110" t="str">
        <f>HLOOKUP(Dashboard!$I$27,results,ROW(A110),FALSE)</f>
        <v/>
      </c>
      <c r="C110">
        <f>IFERROR(VLOOKUP(A110,observations_series_id_PCU22112222112243_api_key_ecc133893ea92a842ee685c73424608[],2,FALSE),"")</f>
        <v>17.8</v>
      </c>
      <c r="D110" s="2">
        <f>IFERROR(VLOOKUP(A110,observations_series_id_PCU22112222112243_api_key_ecc133893ea92a842ee685c73424608[],3,FALSE),"")</f>
        <v>2.2471910112359716E-2</v>
      </c>
      <c r="E110" t="str">
        <f>IFERROR(VLOOKUP($A110,observations_series_id_WPU0613020T_api_key_ecc133893ea92a842ee685c734246086_file[],2,FALSE),"")</f>
        <v/>
      </c>
      <c r="F110" s="2" t="str">
        <f>IFERROR(VLOOKUP($A110,observations_series_id_WPU0613020T_api_key_ecc133893ea92a842ee685c734246086_file[],3,FALSE),"")</f>
        <v/>
      </c>
      <c r="G110" t="str">
        <f>IFERROR(VLOOKUP($A110,observations_series_id_PCU22122212_api_key_ecc133893ea92a842ee685c734246086_file[],2,FALSE),"")</f>
        <v/>
      </c>
      <c r="H110" s="2" t="str">
        <f>IFERROR(VLOOKUP($A110,observations_series_id_PCU22122212_api_key_ecc133893ea92a842ee685c734246086_file[],3,FALSE),"")</f>
        <v/>
      </c>
      <c r="I110" t="str">
        <f>IFERROR(VLOOKUP($A110,observations_series_id_PCU3241913241910_api_key_ecc133893ea92a842ee685c734246086[],2,FALSE),"")</f>
        <v/>
      </c>
      <c r="J110" s="2" t="str">
        <f>IFERROR(VLOOKUP($A110,observations_series_id_PCU3241913241910_api_key_ecc133893ea92a842ee685c734246086[],3,FALSE),"")</f>
        <v/>
      </c>
      <c r="K110" t="str">
        <f>IFERROR(VLOOKUP($A110,observations_series_id_EXJPUS_api_key_ecc133893ea92a842ee685c734246086_file_type[],2,FALSE),"")</f>
        <v/>
      </c>
      <c r="L110" s="2" t="str">
        <f>IFERROR(VLOOKUP($A110,observations_series_id_EXJPUS_api_key_ecc133893ea92a842ee685c734246086_file_type[],3,FALSE),"")</f>
        <v/>
      </c>
      <c r="M110" t="str">
        <f>IFERROR(AVERAGEIFS(timeseries_access_key_fqeas14oitk235763mntlb1c0brnk9w3fenzqbk313q5kvxyf52kukw1pa[Value.LME-ZNC],timeseries_access_key_fqeas14oitk235763mntlb1c0brnk9w3fenzqbk313q5kvxyf52kukw1pa[Month],MONTH(Data!$A110),timeseries_access_key_fqeas14oitk235763mntlb1c0brnk9w3fenzqbk313q5kvxyf52kukw1pa[Year],YEAR(Data!$A110)),"")</f>
        <v/>
      </c>
      <c r="N110" s="2" t="str">
        <f>IFERROR(AVERAGEIFS(timeseries_access_key_fqeas14oitk235763mntlb1c0brnk9w3fenzqbk313q5kvxyf52kukw1pa[Column1],timeseries_access_key_fqeas14oitk235763mntlb1c0brnk9w3fenzqbk313q5kvxyf52kukw1pa[Month],MONTH(Data!$A110),timeseries_access_key_fqeas14oitk235763mntlb1c0brnk9w3fenzqbk313q5kvxyf52kukw1pa[Year],YEAR(Data!$A110)),"")</f>
        <v/>
      </c>
      <c r="O110" s="8" t="str">
        <f>IFERROR(VLOOKUP($A110,Text_1_2[[Text.1.1.3]:[Text.1.3]],2,FALSE),"")</f>
        <v/>
      </c>
      <c r="P110" s="2"/>
    </row>
    <row r="111" spans="1:16" x14ac:dyDescent="0.25">
      <c r="A111" s="1">
        <v>24504</v>
      </c>
      <c r="B111" t="str">
        <f>HLOOKUP(Dashboard!$I$27,results,ROW(A111),FALSE)</f>
        <v/>
      </c>
      <c r="C111">
        <f>IFERROR(VLOOKUP(A111,observations_series_id_PCU22112222112243_api_key_ecc133893ea92a842ee685c73424608[],2,FALSE),"")</f>
        <v>17.8</v>
      </c>
      <c r="D111" s="2">
        <f>IFERROR(VLOOKUP(A111,observations_series_id_PCU22112222112243_api_key_ecc133893ea92a842ee685c73424608[],3,FALSE),"")</f>
        <v>2.2471910112359716E-2</v>
      </c>
      <c r="E111" t="str">
        <f>IFERROR(VLOOKUP($A111,observations_series_id_WPU0613020T_api_key_ecc133893ea92a842ee685c734246086_file[],2,FALSE),"")</f>
        <v/>
      </c>
      <c r="F111" s="2" t="str">
        <f>IFERROR(VLOOKUP($A111,observations_series_id_WPU0613020T_api_key_ecc133893ea92a842ee685c734246086_file[],3,FALSE),"")</f>
        <v/>
      </c>
      <c r="G111" t="str">
        <f>IFERROR(VLOOKUP($A111,observations_series_id_PCU22122212_api_key_ecc133893ea92a842ee685c734246086_file[],2,FALSE),"")</f>
        <v/>
      </c>
      <c r="H111" s="2" t="str">
        <f>IFERROR(VLOOKUP($A111,observations_series_id_PCU22122212_api_key_ecc133893ea92a842ee685c734246086_file[],3,FALSE),"")</f>
        <v/>
      </c>
      <c r="I111" t="str">
        <f>IFERROR(VLOOKUP($A111,observations_series_id_PCU3241913241910_api_key_ecc133893ea92a842ee685c734246086[],2,FALSE),"")</f>
        <v/>
      </c>
      <c r="J111" s="2" t="str">
        <f>IFERROR(VLOOKUP($A111,observations_series_id_PCU3241913241910_api_key_ecc133893ea92a842ee685c734246086[],3,FALSE),"")</f>
        <v/>
      </c>
      <c r="K111" t="str">
        <f>IFERROR(VLOOKUP($A111,observations_series_id_EXJPUS_api_key_ecc133893ea92a842ee685c734246086_file_type[],2,FALSE),"")</f>
        <v/>
      </c>
      <c r="L111" s="2" t="str">
        <f>IFERROR(VLOOKUP($A111,observations_series_id_EXJPUS_api_key_ecc133893ea92a842ee685c734246086_file_type[],3,FALSE),"")</f>
        <v/>
      </c>
      <c r="M111" t="str">
        <f>IFERROR(AVERAGEIFS(timeseries_access_key_fqeas14oitk235763mntlb1c0brnk9w3fenzqbk313q5kvxyf52kukw1pa[Value.LME-ZNC],timeseries_access_key_fqeas14oitk235763mntlb1c0brnk9w3fenzqbk313q5kvxyf52kukw1pa[Month],MONTH(Data!$A111),timeseries_access_key_fqeas14oitk235763mntlb1c0brnk9w3fenzqbk313q5kvxyf52kukw1pa[Year],YEAR(Data!$A111)),"")</f>
        <v/>
      </c>
      <c r="N111" s="2" t="str">
        <f>IFERROR(AVERAGEIFS(timeseries_access_key_fqeas14oitk235763mntlb1c0brnk9w3fenzqbk313q5kvxyf52kukw1pa[Column1],timeseries_access_key_fqeas14oitk235763mntlb1c0brnk9w3fenzqbk313q5kvxyf52kukw1pa[Month],MONTH(Data!$A111),timeseries_access_key_fqeas14oitk235763mntlb1c0brnk9w3fenzqbk313q5kvxyf52kukw1pa[Year],YEAR(Data!$A111)),"")</f>
        <v/>
      </c>
      <c r="O111" s="8" t="str">
        <f>IFERROR(VLOOKUP($A111,Text_1_2[[Text.1.1.3]:[Text.1.3]],2,FALSE),"")</f>
        <v/>
      </c>
      <c r="P111" s="2"/>
    </row>
    <row r="112" spans="1:16" x14ac:dyDescent="0.25">
      <c r="A112" s="1">
        <v>24532</v>
      </c>
      <c r="B112" t="str">
        <f>HLOOKUP(Dashboard!$I$27,results,ROW(A112),FALSE)</f>
        <v/>
      </c>
      <c r="C112">
        <f>IFERROR(VLOOKUP(A112,observations_series_id_PCU22112222112243_api_key_ecc133893ea92a842ee685c73424608[],2,FALSE),"")</f>
        <v>17.8</v>
      </c>
      <c r="D112" s="2">
        <f>IFERROR(VLOOKUP(A112,observations_series_id_PCU22112222112243_api_key_ecc133893ea92a842ee685c73424608[],3,FALSE),"")</f>
        <v>2.2471910112359716E-2</v>
      </c>
      <c r="E112" t="str">
        <f>IFERROR(VLOOKUP($A112,observations_series_id_WPU0613020T_api_key_ecc133893ea92a842ee685c734246086_file[],2,FALSE),"")</f>
        <v/>
      </c>
      <c r="F112" s="2" t="str">
        <f>IFERROR(VLOOKUP($A112,observations_series_id_WPU0613020T_api_key_ecc133893ea92a842ee685c734246086_file[],3,FALSE),"")</f>
        <v/>
      </c>
      <c r="G112" t="str">
        <f>IFERROR(VLOOKUP($A112,observations_series_id_PCU22122212_api_key_ecc133893ea92a842ee685c734246086_file[],2,FALSE),"")</f>
        <v/>
      </c>
      <c r="H112" s="2" t="str">
        <f>IFERROR(VLOOKUP($A112,observations_series_id_PCU22122212_api_key_ecc133893ea92a842ee685c734246086_file[],3,FALSE),"")</f>
        <v/>
      </c>
      <c r="I112" t="str">
        <f>IFERROR(VLOOKUP($A112,observations_series_id_PCU3241913241910_api_key_ecc133893ea92a842ee685c734246086[],2,FALSE),"")</f>
        <v/>
      </c>
      <c r="J112" s="2" t="str">
        <f>IFERROR(VLOOKUP($A112,observations_series_id_PCU3241913241910_api_key_ecc133893ea92a842ee685c734246086[],3,FALSE),"")</f>
        <v/>
      </c>
      <c r="K112" t="str">
        <f>IFERROR(VLOOKUP($A112,observations_series_id_EXJPUS_api_key_ecc133893ea92a842ee685c734246086_file_type[],2,FALSE),"")</f>
        <v/>
      </c>
      <c r="L112" s="2" t="str">
        <f>IFERROR(VLOOKUP($A112,observations_series_id_EXJPUS_api_key_ecc133893ea92a842ee685c734246086_file_type[],3,FALSE),"")</f>
        <v/>
      </c>
      <c r="M112" t="str">
        <f>IFERROR(AVERAGEIFS(timeseries_access_key_fqeas14oitk235763mntlb1c0brnk9w3fenzqbk313q5kvxyf52kukw1pa[Value.LME-ZNC],timeseries_access_key_fqeas14oitk235763mntlb1c0brnk9w3fenzqbk313q5kvxyf52kukw1pa[Month],MONTH(Data!$A112),timeseries_access_key_fqeas14oitk235763mntlb1c0brnk9w3fenzqbk313q5kvxyf52kukw1pa[Year],YEAR(Data!$A112)),"")</f>
        <v/>
      </c>
      <c r="N112" s="2" t="str">
        <f>IFERROR(AVERAGEIFS(timeseries_access_key_fqeas14oitk235763mntlb1c0brnk9w3fenzqbk313q5kvxyf52kukw1pa[Column1],timeseries_access_key_fqeas14oitk235763mntlb1c0brnk9w3fenzqbk313q5kvxyf52kukw1pa[Month],MONTH(Data!$A112),timeseries_access_key_fqeas14oitk235763mntlb1c0brnk9w3fenzqbk313q5kvxyf52kukw1pa[Year],YEAR(Data!$A112)),"")</f>
        <v/>
      </c>
      <c r="O112" s="8" t="str">
        <f>IFERROR(VLOOKUP($A112,Text_1_2[[Text.1.1.3]:[Text.1.3]],2,FALSE),"")</f>
        <v/>
      </c>
      <c r="P112" s="2"/>
    </row>
    <row r="113" spans="1:16" x14ac:dyDescent="0.25">
      <c r="A113" s="1">
        <v>24563</v>
      </c>
      <c r="B113" t="str">
        <f>HLOOKUP(Dashboard!$I$27,results,ROW(A113),FALSE)</f>
        <v/>
      </c>
      <c r="C113">
        <f>IFERROR(VLOOKUP(A113,observations_series_id_PCU22112222112243_api_key_ecc133893ea92a842ee685c73424608[],2,FALSE),"")</f>
        <v>17.8</v>
      </c>
      <c r="D113" s="2">
        <f>IFERROR(VLOOKUP(A113,observations_series_id_PCU22112222112243_api_key_ecc133893ea92a842ee685c73424608[],3,FALSE),"")</f>
        <v>2.2471910112359716E-2</v>
      </c>
      <c r="E113" t="str">
        <f>IFERROR(VLOOKUP($A113,observations_series_id_WPU0613020T_api_key_ecc133893ea92a842ee685c734246086_file[],2,FALSE),"")</f>
        <v/>
      </c>
      <c r="F113" s="2" t="str">
        <f>IFERROR(VLOOKUP($A113,observations_series_id_WPU0613020T_api_key_ecc133893ea92a842ee685c734246086_file[],3,FALSE),"")</f>
        <v/>
      </c>
      <c r="G113" t="str">
        <f>IFERROR(VLOOKUP($A113,observations_series_id_PCU22122212_api_key_ecc133893ea92a842ee685c734246086_file[],2,FALSE),"")</f>
        <v/>
      </c>
      <c r="H113" s="2" t="str">
        <f>IFERROR(VLOOKUP($A113,observations_series_id_PCU22122212_api_key_ecc133893ea92a842ee685c734246086_file[],3,FALSE),"")</f>
        <v/>
      </c>
      <c r="I113" t="str">
        <f>IFERROR(VLOOKUP($A113,observations_series_id_PCU3241913241910_api_key_ecc133893ea92a842ee685c734246086[],2,FALSE),"")</f>
        <v/>
      </c>
      <c r="J113" s="2" t="str">
        <f>IFERROR(VLOOKUP($A113,observations_series_id_PCU3241913241910_api_key_ecc133893ea92a842ee685c734246086[],3,FALSE),"")</f>
        <v/>
      </c>
      <c r="K113" t="str">
        <f>IFERROR(VLOOKUP($A113,observations_series_id_EXJPUS_api_key_ecc133893ea92a842ee685c734246086_file_type[],2,FALSE),"")</f>
        <v/>
      </c>
      <c r="L113" s="2" t="str">
        <f>IFERROR(VLOOKUP($A113,observations_series_id_EXJPUS_api_key_ecc133893ea92a842ee685c734246086_file_type[],3,FALSE),"")</f>
        <v/>
      </c>
      <c r="M113" t="str">
        <f>IFERROR(AVERAGEIFS(timeseries_access_key_fqeas14oitk235763mntlb1c0brnk9w3fenzqbk313q5kvxyf52kukw1pa[Value.LME-ZNC],timeseries_access_key_fqeas14oitk235763mntlb1c0brnk9w3fenzqbk313q5kvxyf52kukw1pa[Month],MONTH(Data!$A113),timeseries_access_key_fqeas14oitk235763mntlb1c0brnk9w3fenzqbk313q5kvxyf52kukw1pa[Year],YEAR(Data!$A113)),"")</f>
        <v/>
      </c>
      <c r="N113" s="2" t="str">
        <f>IFERROR(AVERAGEIFS(timeseries_access_key_fqeas14oitk235763mntlb1c0brnk9w3fenzqbk313q5kvxyf52kukw1pa[Column1],timeseries_access_key_fqeas14oitk235763mntlb1c0brnk9w3fenzqbk313q5kvxyf52kukw1pa[Month],MONTH(Data!$A113),timeseries_access_key_fqeas14oitk235763mntlb1c0brnk9w3fenzqbk313q5kvxyf52kukw1pa[Year],YEAR(Data!$A113)),"")</f>
        <v/>
      </c>
      <c r="O113" s="8" t="str">
        <f>IFERROR(VLOOKUP($A113,Text_1_2[[Text.1.1.3]:[Text.1.3]],2,FALSE),"")</f>
        <v/>
      </c>
      <c r="P113" s="2"/>
    </row>
    <row r="114" spans="1:16" x14ac:dyDescent="0.25">
      <c r="A114" s="1">
        <v>24593</v>
      </c>
      <c r="B114" t="str">
        <f>HLOOKUP(Dashboard!$I$27,results,ROW(A114),FALSE)</f>
        <v/>
      </c>
      <c r="C114">
        <f>IFERROR(VLOOKUP(A114,observations_series_id_PCU22112222112243_api_key_ecc133893ea92a842ee685c73424608[],2,FALSE),"")</f>
        <v>17.8</v>
      </c>
      <c r="D114" s="2">
        <f>IFERROR(VLOOKUP(A114,observations_series_id_PCU22112222112243_api_key_ecc133893ea92a842ee685c73424608[],3,FALSE),"")</f>
        <v>2.2471910112359716E-2</v>
      </c>
      <c r="E114" t="str">
        <f>IFERROR(VLOOKUP($A114,observations_series_id_WPU0613020T_api_key_ecc133893ea92a842ee685c734246086_file[],2,FALSE),"")</f>
        <v/>
      </c>
      <c r="F114" s="2" t="str">
        <f>IFERROR(VLOOKUP($A114,observations_series_id_WPU0613020T_api_key_ecc133893ea92a842ee685c734246086_file[],3,FALSE),"")</f>
        <v/>
      </c>
      <c r="G114" t="str">
        <f>IFERROR(VLOOKUP($A114,observations_series_id_PCU22122212_api_key_ecc133893ea92a842ee685c734246086_file[],2,FALSE),"")</f>
        <v/>
      </c>
      <c r="H114" s="2" t="str">
        <f>IFERROR(VLOOKUP($A114,observations_series_id_PCU22122212_api_key_ecc133893ea92a842ee685c734246086_file[],3,FALSE),"")</f>
        <v/>
      </c>
      <c r="I114" t="str">
        <f>IFERROR(VLOOKUP($A114,observations_series_id_PCU3241913241910_api_key_ecc133893ea92a842ee685c734246086[],2,FALSE),"")</f>
        <v/>
      </c>
      <c r="J114" s="2" t="str">
        <f>IFERROR(VLOOKUP($A114,observations_series_id_PCU3241913241910_api_key_ecc133893ea92a842ee685c734246086[],3,FALSE),"")</f>
        <v/>
      </c>
      <c r="K114" t="str">
        <f>IFERROR(VLOOKUP($A114,observations_series_id_EXJPUS_api_key_ecc133893ea92a842ee685c734246086_file_type[],2,FALSE),"")</f>
        <v/>
      </c>
      <c r="L114" s="2" t="str">
        <f>IFERROR(VLOOKUP($A114,observations_series_id_EXJPUS_api_key_ecc133893ea92a842ee685c734246086_file_type[],3,FALSE),"")</f>
        <v/>
      </c>
      <c r="M114" t="str">
        <f>IFERROR(AVERAGEIFS(timeseries_access_key_fqeas14oitk235763mntlb1c0brnk9w3fenzqbk313q5kvxyf52kukw1pa[Value.LME-ZNC],timeseries_access_key_fqeas14oitk235763mntlb1c0brnk9w3fenzqbk313q5kvxyf52kukw1pa[Month],MONTH(Data!$A114),timeseries_access_key_fqeas14oitk235763mntlb1c0brnk9w3fenzqbk313q5kvxyf52kukw1pa[Year],YEAR(Data!$A114)),"")</f>
        <v/>
      </c>
      <c r="N114" s="2" t="str">
        <f>IFERROR(AVERAGEIFS(timeseries_access_key_fqeas14oitk235763mntlb1c0brnk9w3fenzqbk313q5kvxyf52kukw1pa[Column1],timeseries_access_key_fqeas14oitk235763mntlb1c0brnk9w3fenzqbk313q5kvxyf52kukw1pa[Month],MONTH(Data!$A114),timeseries_access_key_fqeas14oitk235763mntlb1c0brnk9w3fenzqbk313q5kvxyf52kukw1pa[Year],YEAR(Data!$A114)),"")</f>
        <v/>
      </c>
      <c r="O114" s="8" t="str">
        <f>IFERROR(VLOOKUP($A114,Text_1_2[[Text.1.1.3]:[Text.1.3]],2,FALSE),"")</f>
        <v/>
      </c>
      <c r="P114" s="2"/>
    </row>
    <row r="115" spans="1:16" x14ac:dyDescent="0.25">
      <c r="A115" s="1">
        <v>24624</v>
      </c>
      <c r="B115" t="str">
        <f>HLOOKUP(Dashboard!$I$27,results,ROW(A115),FALSE)</f>
        <v/>
      </c>
      <c r="C115">
        <f>IFERROR(VLOOKUP(A115,observations_series_id_PCU22112222112243_api_key_ecc133893ea92a842ee685c73424608[],2,FALSE),"")</f>
        <v>17.8</v>
      </c>
      <c r="D115" s="2">
        <f>IFERROR(VLOOKUP(A115,observations_series_id_PCU22112222112243_api_key_ecc133893ea92a842ee685c73424608[],3,FALSE),"")</f>
        <v>2.2471910112359716E-2</v>
      </c>
      <c r="E115" t="str">
        <f>IFERROR(VLOOKUP($A115,observations_series_id_WPU0613020T_api_key_ecc133893ea92a842ee685c734246086_file[],2,FALSE),"")</f>
        <v/>
      </c>
      <c r="F115" s="2" t="str">
        <f>IFERROR(VLOOKUP($A115,observations_series_id_WPU0613020T_api_key_ecc133893ea92a842ee685c734246086_file[],3,FALSE),"")</f>
        <v/>
      </c>
      <c r="G115" t="str">
        <f>IFERROR(VLOOKUP($A115,observations_series_id_PCU22122212_api_key_ecc133893ea92a842ee685c734246086_file[],2,FALSE),"")</f>
        <v/>
      </c>
      <c r="H115" s="2" t="str">
        <f>IFERROR(VLOOKUP($A115,observations_series_id_PCU22122212_api_key_ecc133893ea92a842ee685c734246086_file[],3,FALSE),"")</f>
        <v/>
      </c>
      <c r="I115" t="str">
        <f>IFERROR(VLOOKUP($A115,observations_series_id_PCU3241913241910_api_key_ecc133893ea92a842ee685c734246086[],2,FALSE),"")</f>
        <v/>
      </c>
      <c r="J115" s="2" t="str">
        <f>IFERROR(VLOOKUP($A115,observations_series_id_PCU3241913241910_api_key_ecc133893ea92a842ee685c734246086[],3,FALSE),"")</f>
        <v/>
      </c>
      <c r="K115" t="str">
        <f>IFERROR(VLOOKUP($A115,observations_series_id_EXJPUS_api_key_ecc133893ea92a842ee685c734246086_file_type[],2,FALSE),"")</f>
        <v/>
      </c>
      <c r="L115" s="2" t="str">
        <f>IFERROR(VLOOKUP($A115,observations_series_id_EXJPUS_api_key_ecc133893ea92a842ee685c734246086_file_type[],3,FALSE),"")</f>
        <v/>
      </c>
      <c r="M115" t="str">
        <f>IFERROR(AVERAGEIFS(timeseries_access_key_fqeas14oitk235763mntlb1c0brnk9w3fenzqbk313q5kvxyf52kukw1pa[Value.LME-ZNC],timeseries_access_key_fqeas14oitk235763mntlb1c0brnk9w3fenzqbk313q5kvxyf52kukw1pa[Month],MONTH(Data!$A115),timeseries_access_key_fqeas14oitk235763mntlb1c0brnk9w3fenzqbk313q5kvxyf52kukw1pa[Year],YEAR(Data!$A115)),"")</f>
        <v/>
      </c>
      <c r="N115" s="2" t="str">
        <f>IFERROR(AVERAGEIFS(timeseries_access_key_fqeas14oitk235763mntlb1c0brnk9w3fenzqbk313q5kvxyf52kukw1pa[Column1],timeseries_access_key_fqeas14oitk235763mntlb1c0brnk9w3fenzqbk313q5kvxyf52kukw1pa[Month],MONTH(Data!$A115),timeseries_access_key_fqeas14oitk235763mntlb1c0brnk9w3fenzqbk313q5kvxyf52kukw1pa[Year],YEAR(Data!$A115)),"")</f>
        <v/>
      </c>
      <c r="O115" s="8" t="str">
        <f>IFERROR(VLOOKUP($A115,Text_1_2[[Text.1.1.3]:[Text.1.3]],2,FALSE),"")</f>
        <v/>
      </c>
      <c r="P115" s="2"/>
    </row>
    <row r="116" spans="1:16" x14ac:dyDescent="0.25">
      <c r="A116" s="1">
        <v>24654</v>
      </c>
      <c r="B116" t="str">
        <f>HLOOKUP(Dashboard!$I$27,results,ROW(A116),FALSE)</f>
        <v/>
      </c>
      <c r="C116">
        <f>IFERROR(VLOOKUP(A116,observations_series_id_PCU22112222112243_api_key_ecc133893ea92a842ee685c73424608[],2,FALSE),"")</f>
        <v>17.8</v>
      </c>
      <c r="D116" s="2">
        <f>IFERROR(VLOOKUP(A116,observations_series_id_PCU22112222112243_api_key_ecc133893ea92a842ee685c73424608[],3,FALSE),"")</f>
        <v>2.2471910112359716E-2</v>
      </c>
      <c r="E116" t="str">
        <f>IFERROR(VLOOKUP($A116,observations_series_id_WPU0613020T_api_key_ecc133893ea92a842ee685c734246086_file[],2,FALSE),"")</f>
        <v/>
      </c>
      <c r="F116" s="2" t="str">
        <f>IFERROR(VLOOKUP($A116,observations_series_id_WPU0613020T_api_key_ecc133893ea92a842ee685c734246086_file[],3,FALSE),"")</f>
        <v/>
      </c>
      <c r="G116" t="str">
        <f>IFERROR(VLOOKUP($A116,observations_series_id_PCU22122212_api_key_ecc133893ea92a842ee685c734246086_file[],2,FALSE),"")</f>
        <v/>
      </c>
      <c r="H116" s="2" t="str">
        <f>IFERROR(VLOOKUP($A116,observations_series_id_PCU22122212_api_key_ecc133893ea92a842ee685c734246086_file[],3,FALSE),"")</f>
        <v/>
      </c>
      <c r="I116" t="str">
        <f>IFERROR(VLOOKUP($A116,observations_series_id_PCU3241913241910_api_key_ecc133893ea92a842ee685c734246086[],2,FALSE),"")</f>
        <v/>
      </c>
      <c r="J116" s="2" t="str">
        <f>IFERROR(VLOOKUP($A116,observations_series_id_PCU3241913241910_api_key_ecc133893ea92a842ee685c734246086[],3,FALSE),"")</f>
        <v/>
      </c>
      <c r="K116" t="str">
        <f>IFERROR(VLOOKUP($A116,observations_series_id_EXJPUS_api_key_ecc133893ea92a842ee685c734246086_file_type[],2,FALSE),"")</f>
        <v/>
      </c>
      <c r="L116" s="2" t="str">
        <f>IFERROR(VLOOKUP($A116,observations_series_id_EXJPUS_api_key_ecc133893ea92a842ee685c734246086_file_type[],3,FALSE),"")</f>
        <v/>
      </c>
      <c r="M116" t="str">
        <f>IFERROR(AVERAGEIFS(timeseries_access_key_fqeas14oitk235763mntlb1c0brnk9w3fenzqbk313q5kvxyf52kukw1pa[Value.LME-ZNC],timeseries_access_key_fqeas14oitk235763mntlb1c0brnk9w3fenzqbk313q5kvxyf52kukw1pa[Month],MONTH(Data!$A116),timeseries_access_key_fqeas14oitk235763mntlb1c0brnk9w3fenzqbk313q5kvxyf52kukw1pa[Year],YEAR(Data!$A116)),"")</f>
        <v/>
      </c>
      <c r="N116" s="2" t="str">
        <f>IFERROR(AVERAGEIFS(timeseries_access_key_fqeas14oitk235763mntlb1c0brnk9w3fenzqbk313q5kvxyf52kukw1pa[Column1],timeseries_access_key_fqeas14oitk235763mntlb1c0brnk9w3fenzqbk313q5kvxyf52kukw1pa[Month],MONTH(Data!$A116),timeseries_access_key_fqeas14oitk235763mntlb1c0brnk9w3fenzqbk313q5kvxyf52kukw1pa[Year],YEAR(Data!$A116)),"")</f>
        <v/>
      </c>
      <c r="O116" s="8" t="str">
        <f>IFERROR(VLOOKUP($A116,Text_1_2[[Text.1.1.3]:[Text.1.3]],2,FALSE),"")</f>
        <v/>
      </c>
      <c r="P116" s="2"/>
    </row>
    <row r="117" spans="1:16" x14ac:dyDescent="0.25">
      <c r="A117" s="1">
        <v>24685</v>
      </c>
      <c r="B117" t="str">
        <f>HLOOKUP(Dashboard!$I$27,results,ROW(A117),FALSE)</f>
        <v/>
      </c>
      <c r="C117">
        <f>IFERROR(VLOOKUP(A117,observations_series_id_PCU22112222112243_api_key_ecc133893ea92a842ee685c73424608[],2,FALSE),"")</f>
        <v>17.8</v>
      </c>
      <c r="D117" s="2">
        <f>IFERROR(VLOOKUP(A117,observations_series_id_PCU22112222112243_api_key_ecc133893ea92a842ee685c73424608[],3,FALSE),"")</f>
        <v>2.2471910112359716E-2</v>
      </c>
      <c r="E117" t="str">
        <f>IFERROR(VLOOKUP($A117,observations_series_id_WPU0613020T_api_key_ecc133893ea92a842ee685c734246086_file[],2,FALSE),"")</f>
        <v/>
      </c>
      <c r="F117" s="2" t="str">
        <f>IFERROR(VLOOKUP($A117,observations_series_id_WPU0613020T_api_key_ecc133893ea92a842ee685c734246086_file[],3,FALSE),"")</f>
        <v/>
      </c>
      <c r="G117" t="str">
        <f>IFERROR(VLOOKUP($A117,observations_series_id_PCU22122212_api_key_ecc133893ea92a842ee685c734246086_file[],2,FALSE),"")</f>
        <v/>
      </c>
      <c r="H117" s="2" t="str">
        <f>IFERROR(VLOOKUP($A117,observations_series_id_PCU22122212_api_key_ecc133893ea92a842ee685c734246086_file[],3,FALSE),"")</f>
        <v/>
      </c>
      <c r="I117" t="str">
        <f>IFERROR(VLOOKUP($A117,observations_series_id_PCU3241913241910_api_key_ecc133893ea92a842ee685c734246086[],2,FALSE),"")</f>
        <v/>
      </c>
      <c r="J117" s="2" t="str">
        <f>IFERROR(VLOOKUP($A117,observations_series_id_PCU3241913241910_api_key_ecc133893ea92a842ee685c734246086[],3,FALSE),"")</f>
        <v/>
      </c>
      <c r="K117" t="str">
        <f>IFERROR(VLOOKUP($A117,observations_series_id_EXJPUS_api_key_ecc133893ea92a842ee685c734246086_file_type[],2,FALSE),"")</f>
        <v/>
      </c>
      <c r="L117" s="2" t="str">
        <f>IFERROR(VLOOKUP($A117,observations_series_id_EXJPUS_api_key_ecc133893ea92a842ee685c734246086_file_type[],3,FALSE),"")</f>
        <v/>
      </c>
      <c r="M117" t="str">
        <f>IFERROR(AVERAGEIFS(timeseries_access_key_fqeas14oitk235763mntlb1c0brnk9w3fenzqbk313q5kvxyf52kukw1pa[Value.LME-ZNC],timeseries_access_key_fqeas14oitk235763mntlb1c0brnk9w3fenzqbk313q5kvxyf52kukw1pa[Month],MONTH(Data!$A117),timeseries_access_key_fqeas14oitk235763mntlb1c0brnk9w3fenzqbk313q5kvxyf52kukw1pa[Year],YEAR(Data!$A117)),"")</f>
        <v/>
      </c>
      <c r="N117" s="2" t="str">
        <f>IFERROR(AVERAGEIFS(timeseries_access_key_fqeas14oitk235763mntlb1c0brnk9w3fenzqbk313q5kvxyf52kukw1pa[Column1],timeseries_access_key_fqeas14oitk235763mntlb1c0brnk9w3fenzqbk313q5kvxyf52kukw1pa[Month],MONTH(Data!$A117),timeseries_access_key_fqeas14oitk235763mntlb1c0brnk9w3fenzqbk313q5kvxyf52kukw1pa[Year],YEAR(Data!$A117)),"")</f>
        <v/>
      </c>
      <c r="O117" s="8" t="str">
        <f>IFERROR(VLOOKUP($A117,Text_1_2[[Text.1.1.3]:[Text.1.3]],2,FALSE),"")</f>
        <v/>
      </c>
      <c r="P117" s="2"/>
    </row>
    <row r="118" spans="1:16" x14ac:dyDescent="0.25">
      <c r="A118" s="1">
        <v>24716</v>
      </c>
      <c r="B118" t="str">
        <f>HLOOKUP(Dashboard!$I$27,results,ROW(A118),FALSE)</f>
        <v/>
      </c>
      <c r="C118">
        <f>IFERROR(VLOOKUP(A118,observations_series_id_PCU22112222112243_api_key_ecc133893ea92a842ee685c73424608[],2,FALSE),"")</f>
        <v>17.8</v>
      </c>
      <c r="D118" s="2">
        <f>IFERROR(VLOOKUP(A118,observations_series_id_PCU22112222112243_api_key_ecc133893ea92a842ee685c73424608[],3,FALSE),"")</f>
        <v>2.2471910112359716E-2</v>
      </c>
      <c r="E118" t="str">
        <f>IFERROR(VLOOKUP($A118,observations_series_id_WPU0613020T_api_key_ecc133893ea92a842ee685c734246086_file[],2,FALSE),"")</f>
        <v/>
      </c>
      <c r="F118" s="2" t="str">
        <f>IFERROR(VLOOKUP($A118,observations_series_id_WPU0613020T_api_key_ecc133893ea92a842ee685c734246086_file[],3,FALSE),"")</f>
        <v/>
      </c>
      <c r="G118" t="str">
        <f>IFERROR(VLOOKUP($A118,observations_series_id_PCU22122212_api_key_ecc133893ea92a842ee685c734246086_file[],2,FALSE),"")</f>
        <v/>
      </c>
      <c r="H118" s="2" t="str">
        <f>IFERROR(VLOOKUP($A118,observations_series_id_PCU22122212_api_key_ecc133893ea92a842ee685c734246086_file[],3,FALSE),"")</f>
        <v/>
      </c>
      <c r="I118" t="str">
        <f>IFERROR(VLOOKUP($A118,observations_series_id_PCU3241913241910_api_key_ecc133893ea92a842ee685c734246086[],2,FALSE),"")</f>
        <v/>
      </c>
      <c r="J118" s="2" t="str">
        <f>IFERROR(VLOOKUP($A118,observations_series_id_PCU3241913241910_api_key_ecc133893ea92a842ee685c734246086[],3,FALSE),"")</f>
        <v/>
      </c>
      <c r="K118" t="str">
        <f>IFERROR(VLOOKUP($A118,observations_series_id_EXJPUS_api_key_ecc133893ea92a842ee685c734246086_file_type[],2,FALSE),"")</f>
        <v/>
      </c>
      <c r="L118" s="2" t="str">
        <f>IFERROR(VLOOKUP($A118,observations_series_id_EXJPUS_api_key_ecc133893ea92a842ee685c734246086_file_type[],3,FALSE),"")</f>
        <v/>
      </c>
      <c r="M118" t="str">
        <f>IFERROR(AVERAGEIFS(timeseries_access_key_fqeas14oitk235763mntlb1c0brnk9w3fenzqbk313q5kvxyf52kukw1pa[Value.LME-ZNC],timeseries_access_key_fqeas14oitk235763mntlb1c0brnk9w3fenzqbk313q5kvxyf52kukw1pa[Month],MONTH(Data!$A118),timeseries_access_key_fqeas14oitk235763mntlb1c0brnk9w3fenzqbk313q5kvxyf52kukw1pa[Year],YEAR(Data!$A118)),"")</f>
        <v/>
      </c>
      <c r="N118" s="2" t="str">
        <f>IFERROR(AVERAGEIFS(timeseries_access_key_fqeas14oitk235763mntlb1c0brnk9w3fenzqbk313q5kvxyf52kukw1pa[Column1],timeseries_access_key_fqeas14oitk235763mntlb1c0brnk9w3fenzqbk313q5kvxyf52kukw1pa[Month],MONTH(Data!$A118),timeseries_access_key_fqeas14oitk235763mntlb1c0brnk9w3fenzqbk313q5kvxyf52kukw1pa[Year],YEAR(Data!$A118)),"")</f>
        <v/>
      </c>
      <c r="O118" s="8" t="str">
        <f>IFERROR(VLOOKUP($A118,Text_1_2[[Text.1.1.3]:[Text.1.3]],2,FALSE),"")</f>
        <v/>
      </c>
      <c r="P118" s="2"/>
    </row>
    <row r="119" spans="1:16" x14ac:dyDescent="0.25">
      <c r="A119" s="1">
        <v>24746</v>
      </c>
      <c r="B119" t="str">
        <f>HLOOKUP(Dashboard!$I$27,results,ROW(A119),FALSE)</f>
        <v/>
      </c>
      <c r="C119">
        <f>IFERROR(VLOOKUP(A119,observations_series_id_PCU22112222112243_api_key_ecc133893ea92a842ee685c73424608[],2,FALSE),"")</f>
        <v>17.8</v>
      </c>
      <c r="D119" s="2">
        <f>IFERROR(VLOOKUP(A119,observations_series_id_PCU22112222112243_api_key_ecc133893ea92a842ee685c73424608[],3,FALSE),"")</f>
        <v>2.2471910112359716E-2</v>
      </c>
      <c r="E119" t="str">
        <f>IFERROR(VLOOKUP($A119,observations_series_id_WPU0613020T_api_key_ecc133893ea92a842ee685c734246086_file[],2,FALSE),"")</f>
        <v/>
      </c>
      <c r="F119" s="2" t="str">
        <f>IFERROR(VLOOKUP($A119,observations_series_id_WPU0613020T_api_key_ecc133893ea92a842ee685c734246086_file[],3,FALSE),"")</f>
        <v/>
      </c>
      <c r="G119" t="str">
        <f>IFERROR(VLOOKUP($A119,observations_series_id_PCU22122212_api_key_ecc133893ea92a842ee685c734246086_file[],2,FALSE),"")</f>
        <v/>
      </c>
      <c r="H119" s="2" t="str">
        <f>IFERROR(VLOOKUP($A119,observations_series_id_PCU22122212_api_key_ecc133893ea92a842ee685c734246086_file[],3,FALSE),"")</f>
        <v/>
      </c>
      <c r="I119" t="str">
        <f>IFERROR(VLOOKUP($A119,observations_series_id_PCU3241913241910_api_key_ecc133893ea92a842ee685c734246086[],2,FALSE),"")</f>
        <v/>
      </c>
      <c r="J119" s="2" t="str">
        <f>IFERROR(VLOOKUP($A119,observations_series_id_PCU3241913241910_api_key_ecc133893ea92a842ee685c734246086[],3,FALSE),"")</f>
        <v/>
      </c>
      <c r="K119" t="str">
        <f>IFERROR(VLOOKUP($A119,observations_series_id_EXJPUS_api_key_ecc133893ea92a842ee685c734246086_file_type[],2,FALSE),"")</f>
        <v/>
      </c>
      <c r="L119" s="2" t="str">
        <f>IFERROR(VLOOKUP($A119,observations_series_id_EXJPUS_api_key_ecc133893ea92a842ee685c734246086_file_type[],3,FALSE),"")</f>
        <v/>
      </c>
      <c r="M119" t="str">
        <f>IFERROR(AVERAGEIFS(timeseries_access_key_fqeas14oitk235763mntlb1c0brnk9w3fenzqbk313q5kvxyf52kukw1pa[Value.LME-ZNC],timeseries_access_key_fqeas14oitk235763mntlb1c0brnk9w3fenzqbk313q5kvxyf52kukw1pa[Month],MONTH(Data!$A119),timeseries_access_key_fqeas14oitk235763mntlb1c0brnk9w3fenzqbk313q5kvxyf52kukw1pa[Year],YEAR(Data!$A119)),"")</f>
        <v/>
      </c>
      <c r="N119" s="2" t="str">
        <f>IFERROR(AVERAGEIFS(timeseries_access_key_fqeas14oitk235763mntlb1c0brnk9w3fenzqbk313q5kvxyf52kukw1pa[Column1],timeseries_access_key_fqeas14oitk235763mntlb1c0brnk9w3fenzqbk313q5kvxyf52kukw1pa[Month],MONTH(Data!$A119),timeseries_access_key_fqeas14oitk235763mntlb1c0brnk9w3fenzqbk313q5kvxyf52kukw1pa[Year],YEAR(Data!$A119)),"")</f>
        <v/>
      </c>
      <c r="O119" s="8" t="str">
        <f>IFERROR(VLOOKUP($A119,Text_1_2[[Text.1.1.3]:[Text.1.3]],2,FALSE),"")</f>
        <v/>
      </c>
      <c r="P119" s="2"/>
    </row>
    <row r="120" spans="1:16" x14ac:dyDescent="0.25">
      <c r="A120" s="1">
        <v>24777</v>
      </c>
      <c r="B120" t="str">
        <f>HLOOKUP(Dashboard!$I$27,results,ROW(A120),FALSE)</f>
        <v/>
      </c>
      <c r="C120">
        <f>IFERROR(VLOOKUP(A120,observations_series_id_PCU22112222112243_api_key_ecc133893ea92a842ee685c73424608[],2,FALSE),"")</f>
        <v>17.8</v>
      </c>
      <c r="D120" s="2">
        <f>IFERROR(VLOOKUP(A120,observations_series_id_PCU22112222112243_api_key_ecc133893ea92a842ee685c73424608[],3,FALSE),"")</f>
        <v>2.2471910112359716E-2</v>
      </c>
      <c r="E120" t="str">
        <f>IFERROR(VLOOKUP($A120,observations_series_id_WPU0613020T_api_key_ecc133893ea92a842ee685c734246086_file[],2,FALSE),"")</f>
        <v/>
      </c>
      <c r="F120" s="2" t="str">
        <f>IFERROR(VLOOKUP($A120,observations_series_id_WPU0613020T_api_key_ecc133893ea92a842ee685c734246086_file[],3,FALSE),"")</f>
        <v/>
      </c>
      <c r="G120" t="str">
        <f>IFERROR(VLOOKUP($A120,observations_series_id_PCU22122212_api_key_ecc133893ea92a842ee685c734246086_file[],2,FALSE),"")</f>
        <v/>
      </c>
      <c r="H120" s="2" t="str">
        <f>IFERROR(VLOOKUP($A120,observations_series_id_PCU22122212_api_key_ecc133893ea92a842ee685c734246086_file[],3,FALSE),"")</f>
        <v/>
      </c>
      <c r="I120" t="str">
        <f>IFERROR(VLOOKUP($A120,observations_series_id_PCU3241913241910_api_key_ecc133893ea92a842ee685c734246086[],2,FALSE),"")</f>
        <v/>
      </c>
      <c r="J120" s="2" t="str">
        <f>IFERROR(VLOOKUP($A120,observations_series_id_PCU3241913241910_api_key_ecc133893ea92a842ee685c734246086[],3,FALSE),"")</f>
        <v/>
      </c>
      <c r="K120" t="str">
        <f>IFERROR(VLOOKUP($A120,observations_series_id_EXJPUS_api_key_ecc133893ea92a842ee685c734246086_file_type[],2,FALSE),"")</f>
        <v/>
      </c>
      <c r="L120" s="2" t="str">
        <f>IFERROR(VLOOKUP($A120,observations_series_id_EXJPUS_api_key_ecc133893ea92a842ee685c734246086_file_type[],3,FALSE),"")</f>
        <v/>
      </c>
      <c r="M120" t="str">
        <f>IFERROR(AVERAGEIFS(timeseries_access_key_fqeas14oitk235763mntlb1c0brnk9w3fenzqbk313q5kvxyf52kukw1pa[Value.LME-ZNC],timeseries_access_key_fqeas14oitk235763mntlb1c0brnk9w3fenzqbk313q5kvxyf52kukw1pa[Month],MONTH(Data!$A120),timeseries_access_key_fqeas14oitk235763mntlb1c0brnk9w3fenzqbk313q5kvxyf52kukw1pa[Year],YEAR(Data!$A120)),"")</f>
        <v/>
      </c>
      <c r="N120" s="2" t="str">
        <f>IFERROR(AVERAGEIFS(timeseries_access_key_fqeas14oitk235763mntlb1c0brnk9w3fenzqbk313q5kvxyf52kukw1pa[Column1],timeseries_access_key_fqeas14oitk235763mntlb1c0brnk9w3fenzqbk313q5kvxyf52kukw1pa[Month],MONTH(Data!$A120),timeseries_access_key_fqeas14oitk235763mntlb1c0brnk9w3fenzqbk313q5kvxyf52kukw1pa[Year],YEAR(Data!$A120)),"")</f>
        <v/>
      </c>
      <c r="O120" s="8" t="str">
        <f>IFERROR(VLOOKUP($A120,Text_1_2[[Text.1.1.3]:[Text.1.3]],2,FALSE),"")</f>
        <v/>
      </c>
      <c r="P120" s="2"/>
    </row>
    <row r="121" spans="1:16" x14ac:dyDescent="0.25">
      <c r="A121" s="1">
        <v>24807</v>
      </c>
      <c r="B121" t="str">
        <f>HLOOKUP(Dashboard!$I$27,results,ROW(A121),FALSE)</f>
        <v/>
      </c>
      <c r="C121">
        <f>IFERROR(VLOOKUP(A121,observations_series_id_PCU22112222112243_api_key_ecc133893ea92a842ee685c73424608[],2,FALSE),"")</f>
        <v>17.8</v>
      </c>
      <c r="D121" s="2">
        <f>IFERROR(VLOOKUP(A121,observations_series_id_PCU22112222112243_api_key_ecc133893ea92a842ee685c73424608[],3,FALSE),"")</f>
        <v>2.2471910112359716E-2</v>
      </c>
      <c r="E121" t="str">
        <f>IFERROR(VLOOKUP($A121,observations_series_id_WPU0613020T_api_key_ecc133893ea92a842ee685c734246086_file[],2,FALSE),"")</f>
        <v/>
      </c>
      <c r="F121" s="2" t="str">
        <f>IFERROR(VLOOKUP($A121,observations_series_id_WPU0613020T_api_key_ecc133893ea92a842ee685c734246086_file[],3,FALSE),"")</f>
        <v/>
      </c>
      <c r="G121" t="str">
        <f>IFERROR(VLOOKUP($A121,observations_series_id_PCU22122212_api_key_ecc133893ea92a842ee685c734246086_file[],2,FALSE),"")</f>
        <v/>
      </c>
      <c r="H121" s="2" t="str">
        <f>IFERROR(VLOOKUP($A121,observations_series_id_PCU22122212_api_key_ecc133893ea92a842ee685c734246086_file[],3,FALSE),"")</f>
        <v/>
      </c>
      <c r="I121" t="str">
        <f>IFERROR(VLOOKUP($A121,observations_series_id_PCU3241913241910_api_key_ecc133893ea92a842ee685c734246086[],2,FALSE),"")</f>
        <v/>
      </c>
      <c r="J121" s="2" t="str">
        <f>IFERROR(VLOOKUP($A121,observations_series_id_PCU3241913241910_api_key_ecc133893ea92a842ee685c734246086[],3,FALSE),"")</f>
        <v/>
      </c>
      <c r="K121" t="str">
        <f>IFERROR(VLOOKUP($A121,observations_series_id_EXJPUS_api_key_ecc133893ea92a842ee685c734246086_file_type[],2,FALSE),"")</f>
        <v/>
      </c>
      <c r="L121" s="2" t="str">
        <f>IFERROR(VLOOKUP($A121,observations_series_id_EXJPUS_api_key_ecc133893ea92a842ee685c734246086_file_type[],3,FALSE),"")</f>
        <v/>
      </c>
      <c r="M121" t="str">
        <f>IFERROR(AVERAGEIFS(timeseries_access_key_fqeas14oitk235763mntlb1c0brnk9w3fenzqbk313q5kvxyf52kukw1pa[Value.LME-ZNC],timeseries_access_key_fqeas14oitk235763mntlb1c0brnk9w3fenzqbk313q5kvxyf52kukw1pa[Month],MONTH(Data!$A121),timeseries_access_key_fqeas14oitk235763mntlb1c0brnk9w3fenzqbk313q5kvxyf52kukw1pa[Year],YEAR(Data!$A121)),"")</f>
        <v/>
      </c>
      <c r="N121" s="2" t="str">
        <f>IFERROR(AVERAGEIFS(timeseries_access_key_fqeas14oitk235763mntlb1c0brnk9w3fenzqbk313q5kvxyf52kukw1pa[Column1],timeseries_access_key_fqeas14oitk235763mntlb1c0brnk9w3fenzqbk313q5kvxyf52kukw1pa[Month],MONTH(Data!$A121),timeseries_access_key_fqeas14oitk235763mntlb1c0brnk9w3fenzqbk313q5kvxyf52kukw1pa[Year],YEAR(Data!$A121)),"")</f>
        <v/>
      </c>
      <c r="O121" s="8" t="str">
        <f>IFERROR(VLOOKUP($A121,Text_1_2[[Text.1.1.3]:[Text.1.3]],2,FALSE),"")</f>
        <v/>
      </c>
      <c r="P121" s="2"/>
    </row>
    <row r="122" spans="1:16" x14ac:dyDescent="0.25">
      <c r="A122" s="1">
        <v>24838</v>
      </c>
      <c r="B122" t="str">
        <f>HLOOKUP(Dashboard!$I$27,results,ROW(A122),FALSE)</f>
        <v/>
      </c>
      <c r="C122">
        <f>IFERROR(VLOOKUP(A122,observations_series_id_PCU22112222112243_api_key_ecc133893ea92a842ee685c73424608[],2,FALSE),"")</f>
        <v>17.899999999999999</v>
      </c>
      <c r="D122" s="2">
        <f>IFERROR(VLOOKUP(A122,observations_series_id_PCU22112222112243_api_key_ecc133893ea92a842ee685c73424608[],3,FALSE),"")</f>
        <v>2.7932960893854775E-2</v>
      </c>
      <c r="E122" t="str">
        <f>IFERROR(VLOOKUP($A122,observations_series_id_WPU0613020T_api_key_ecc133893ea92a842ee685c734246086_file[],2,FALSE),"")</f>
        <v/>
      </c>
      <c r="F122" s="2" t="str">
        <f>IFERROR(VLOOKUP($A122,observations_series_id_WPU0613020T_api_key_ecc133893ea92a842ee685c734246086_file[],3,FALSE),"")</f>
        <v/>
      </c>
      <c r="G122" t="str">
        <f>IFERROR(VLOOKUP($A122,observations_series_id_PCU22122212_api_key_ecc133893ea92a842ee685c734246086_file[],2,FALSE),"")</f>
        <v/>
      </c>
      <c r="H122" s="2" t="str">
        <f>IFERROR(VLOOKUP($A122,observations_series_id_PCU22122212_api_key_ecc133893ea92a842ee685c734246086_file[],3,FALSE),"")</f>
        <v/>
      </c>
      <c r="I122" t="str">
        <f>IFERROR(VLOOKUP($A122,observations_series_id_PCU3241913241910_api_key_ecc133893ea92a842ee685c734246086[],2,FALSE),"")</f>
        <v/>
      </c>
      <c r="J122" s="2" t="str">
        <f>IFERROR(VLOOKUP($A122,observations_series_id_PCU3241913241910_api_key_ecc133893ea92a842ee685c734246086[],3,FALSE),"")</f>
        <v/>
      </c>
      <c r="K122" t="str">
        <f>IFERROR(VLOOKUP($A122,observations_series_id_EXJPUS_api_key_ecc133893ea92a842ee685c734246086_file_type[],2,FALSE),"")</f>
        <v/>
      </c>
      <c r="L122" s="2" t="str">
        <f>IFERROR(VLOOKUP($A122,observations_series_id_EXJPUS_api_key_ecc133893ea92a842ee685c734246086_file_type[],3,FALSE),"")</f>
        <v/>
      </c>
      <c r="M122" t="str">
        <f>IFERROR(AVERAGEIFS(timeseries_access_key_fqeas14oitk235763mntlb1c0brnk9w3fenzqbk313q5kvxyf52kukw1pa[Value.LME-ZNC],timeseries_access_key_fqeas14oitk235763mntlb1c0brnk9w3fenzqbk313q5kvxyf52kukw1pa[Month],MONTH(Data!$A122),timeseries_access_key_fqeas14oitk235763mntlb1c0brnk9w3fenzqbk313q5kvxyf52kukw1pa[Year],YEAR(Data!$A122)),"")</f>
        <v/>
      </c>
      <c r="N122" s="2" t="str">
        <f>IFERROR(AVERAGEIFS(timeseries_access_key_fqeas14oitk235763mntlb1c0brnk9w3fenzqbk313q5kvxyf52kukw1pa[Column1],timeseries_access_key_fqeas14oitk235763mntlb1c0brnk9w3fenzqbk313q5kvxyf52kukw1pa[Month],MONTH(Data!$A122),timeseries_access_key_fqeas14oitk235763mntlb1c0brnk9w3fenzqbk313q5kvxyf52kukw1pa[Year],YEAR(Data!$A122)),"")</f>
        <v/>
      </c>
      <c r="O122" s="8" t="str">
        <f>IFERROR(VLOOKUP($A122,Text_1_2[[Text.1.1.3]:[Text.1.3]],2,FALSE),"")</f>
        <v/>
      </c>
      <c r="P122" s="2"/>
    </row>
    <row r="123" spans="1:16" x14ac:dyDescent="0.25">
      <c r="A123" s="1">
        <v>24869</v>
      </c>
      <c r="B123" t="str">
        <f>HLOOKUP(Dashboard!$I$27,results,ROW(A123),FALSE)</f>
        <v/>
      </c>
      <c r="C123">
        <f>IFERROR(VLOOKUP(A123,observations_series_id_PCU22112222112243_api_key_ecc133893ea92a842ee685c73424608[],2,FALSE),"")</f>
        <v>17.899999999999999</v>
      </c>
      <c r="D123" s="2">
        <f>IFERROR(VLOOKUP(A123,observations_series_id_PCU22112222112243_api_key_ecc133893ea92a842ee685c73424608[],3,FALSE),"")</f>
        <v>2.7932960893854775E-2</v>
      </c>
      <c r="E123" t="str">
        <f>IFERROR(VLOOKUP($A123,observations_series_id_WPU0613020T_api_key_ecc133893ea92a842ee685c734246086_file[],2,FALSE),"")</f>
        <v/>
      </c>
      <c r="F123" s="2" t="str">
        <f>IFERROR(VLOOKUP($A123,observations_series_id_WPU0613020T_api_key_ecc133893ea92a842ee685c734246086_file[],3,FALSE),"")</f>
        <v/>
      </c>
      <c r="G123" t="str">
        <f>IFERROR(VLOOKUP($A123,observations_series_id_PCU22122212_api_key_ecc133893ea92a842ee685c734246086_file[],2,FALSE),"")</f>
        <v/>
      </c>
      <c r="H123" s="2" t="str">
        <f>IFERROR(VLOOKUP($A123,observations_series_id_PCU22122212_api_key_ecc133893ea92a842ee685c734246086_file[],3,FALSE),"")</f>
        <v/>
      </c>
      <c r="I123" t="str">
        <f>IFERROR(VLOOKUP($A123,observations_series_id_PCU3241913241910_api_key_ecc133893ea92a842ee685c734246086[],2,FALSE),"")</f>
        <v/>
      </c>
      <c r="J123" s="2" t="str">
        <f>IFERROR(VLOOKUP($A123,observations_series_id_PCU3241913241910_api_key_ecc133893ea92a842ee685c734246086[],3,FALSE),"")</f>
        <v/>
      </c>
      <c r="K123" t="str">
        <f>IFERROR(VLOOKUP($A123,observations_series_id_EXJPUS_api_key_ecc133893ea92a842ee685c734246086_file_type[],2,FALSE),"")</f>
        <v/>
      </c>
      <c r="L123" s="2" t="str">
        <f>IFERROR(VLOOKUP($A123,observations_series_id_EXJPUS_api_key_ecc133893ea92a842ee685c734246086_file_type[],3,FALSE),"")</f>
        <v/>
      </c>
      <c r="M123" t="str">
        <f>IFERROR(AVERAGEIFS(timeseries_access_key_fqeas14oitk235763mntlb1c0brnk9w3fenzqbk313q5kvxyf52kukw1pa[Value.LME-ZNC],timeseries_access_key_fqeas14oitk235763mntlb1c0brnk9w3fenzqbk313q5kvxyf52kukw1pa[Month],MONTH(Data!$A123),timeseries_access_key_fqeas14oitk235763mntlb1c0brnk9w3fenzqbk313q5kvxyf52kukw1pa[Year],YEAR(Data!$A123)),"")</f>
        <v/>
      </c>
      <c r="N123" s="2" t="str">
        <f>IFERROR(AVERAGEIFS(timeseries_access_key_fqeas14oitk235763mntlb1c0brnk9w3fenzqbk313q5kvxyf52kukw1pa[Column1],timeseries_access_key_fqeas14oitk235763mntlb1c0brnk9w3fenzqbk313q5kvxyf52kukw1pa[Month],MONTH(Data!$A123),timeseries_access_key_fqeas14oitk235763mntlb1c0brnk9w3fenzqbk313q5kvxyf52kukw1pa[Year],YEAR(Data!$A123)),"")</f>
        <v/>
      </c>
      <c r="O123" s="8" t="str">
        <f>IFERROR(VLOOKUP($A123,Text_1_2[[Text.1.1.3]:[Text.1.3]],2,FALSE),"")</f>
        <v/>
      </c>
      <c r="P123" s="2"/>
    </row>
    <row r="124" spans="1:16" x14ac:dyDescent="0.25">
      <c r="A124" s="1">
        <v>24898</v>
      </c>
      <c r="B124" t="str">
        <f>HLOOKUP(Dashboard!$I$27,results,ROW(A124),FALSE)</f>
        <v/>
      </c>
      <c r="C124">
        <f>IFERROR(VLOOKUP(A124,observations_series_id_PCU22112222112243_api_key_ecc133893ea92a842ee685c73424608[],2,FALSE),"")</f>
        <v>17.899999999999999</v>
      </c>
      <c r="D124" s="2">
        <f>IFERROR(VLOOKUP(A124,observations_series_id_PCU22112222112243_api_key_ecc133893ea92a842ee685c73424608[],3,FALSE),"")</f>
        <v>2.7932960893854775E-2</v>
      </c>
      <c r="E124" t="str">
        <f>IFERROR(VLOOKUP($A124,observations_series_id_WPU0613020T_api_key_ecc133893ea92a842ee685c734246086_file[],2,FALSE),"")</f>
        <v/>
      </c>
      <c r="F124" s="2" t="str">
        <f>IFERROR(VLOOKUP($A124,observations_series_id_WPU0613020T_api_key_ecc133893ea92a842ee685c734246086_file[],3,FALSE),"")</f>
        <v/>
      </c>
      <c r="G124" t="str">
        <f>IFERROR(VLOOKUP($A124,observations_series_id_PCU22122212_api_key_ecc133893ea92a842ee685c734246086_file[],2,FALSE),"")</f>
        <v/>
      </c>
      <c r="H124" s="2" t="str">
        <f>IFERROR(VLOOKUP($A124,observations_series_id_PCU22122212_api_key_ecc133893ea92a842ee685c734246086_file[],3,FALSE),"")</f>
        <v/>
      </c>
      <c r="I124" t="str">
        <f>IFERROR(VLOOKUP($A124,observations_series_id_PCU3241913241910_api_key_ecc133893ea92a842ee685c734246086[],2,FALSE),"")</f>
        <v/>
      </c>
      <c r="J124" s="2" t="str">
        <f>IFERROR(VLOOKUP($A124,observations_series_id_PCU3241913241910_api_key_ecc133893ea92a842ee685c734246086[],3,FALSE),"")</f>
        <v/>
      </c>
      <c r="K124" t="str">
        <f>IFERROR(VLOOKUP($A124,observations_series_id_EXJPUS_api_key_ecc133893ea92a842ee685c734246086_file_type[],2,FALSE),"")</f>
        <v/>
      </c>
      <c r="L124" s="2" t="str">
        <f>IFERROR(VLOOKUP($A124,observations_series_id_EXJPUS_api_key_ecc133893ea92a842ee685c734246086_file_type[],3,FALSE),"")</f>
        <v/>
      </c>
      <c r="M124" t="str">
        <f>IFERROR(AVERAGEIFS(timeseries_access_key_fqeas14oitk235763mntlb1c0brnk9w3fenzqbk313q5kvxyf52kukw1pa[Value.LME-ZNC],timeseries_access_key_fqeas14oitk235763mntlb1c0brnk9w3fenzqbk313q5kvxyf52kukw1pa[Month],MONTH(Data!$A124),timeseries_access_key_fqeas14oitk235763mntlb1c0brnk9w3fenzqbk313q5kvxyf52kukw1pa[Year],YEAR(Data!$A124)),"")</f>
        <v/>
      </c>
      <c r="N124" s="2" t="str">
        <f>IFERROR(AVERAGEIFS(timeseries_access_key_fqeas14oitk235763mntlb1c0brnk9w3fenzqbk313q5kvxyf52kukw1pa[Column1],timeseries_access_key_fqeas14oitk235763mntlb1c0brnk9w3fenzqbk313q5kvxyf52kukw1pa[Month],MONTH(Data!$A124),timeseries_access_key_fqeas14oitk235763mntlb1c0brnk9w3fenzqbk313q5kvxyf52kukw1pa[Year],YEAR(Data!$A124)),"")</f>
        <v/>
      </c>
      <c r="O124" s="8" t="str">
        <f>IFERROR(VLOOKUP($A124,Text_1_2[[Text.1.1.3]:[Text.1.3]],2,FALSE),"")</f>
        <v/>
      </c>
      <c r="P124" s="2"/>
    </row>
    <row r="125" spans="1:16" x14ac:dyDescent="0.25">
      <c r="A125" s="1">
        <v>24929</v>
      </c>
      <c r="B125" t="str">
        <f>HLOOKUP(Dashboard!$I$27,results,ROW(A125),FALSE)</f>
        <v/>
      </c>
      <c r="C125">
        <f>IFERROR(VLOOKUP(A125,observations_series_id_PCU22112222112243_api_key_ecc133893ea92a842ee685c73424608[],2,FALSE),"")</f>
        <v>17.899999999999999</v>
      </c>
      <c r="D125" s="2">
        <f>IFERROR(VLOOKUP(A125,observations_series_id_PCU22112222112243_api_key_ecc133893ea92a842ee685c73424608[],3,FALSE),"")</f>
        <v>2.7932960893854775E-2</v>
      </c>
      <c r="E125" t="str">
        <f>IFERROR(VLOOKUP($A125,observations_series_id_WPU0613020T_api_key_ecc133893ea92a842ee685c734246086_file[],2,FALSE),"")</f>
        <v/>
      </c>
      <c r="F125" s="2" t="str">
        <f>IFERROR(VLOOKUP($A125,observations_series_id_WPU0613020T_api_key_ecc133893ea92a842ee685c734246086_file[],3,FALSE),"")</f>
        <v/>
      </c>
      <c r="G125" t="str">
        <f>IFERROR(VLOOKUP($A125,observations_series_id_PCU22122212_api_key_ecc133893ea92a842ee685c734246086_file[],2,FALSE),"")</f>
        <v/>
      </c>
      <c r="H125" s="2" t="str">
        <f>IFERROR(VLOOKUP($A125,observations_series_id_PCU22122212_api_key_ecc133893ea92a842ee685c734246086_file[],3,FALSE),"")</f>
        <v/>
      </c>
      <c r="I125" t="str">
        <f>IFERROR(VLOOKUP($A125,observations_series_id_PCU3241913241910_api_key_ecc133893ea92a842ee685c734246086[],2,FALSE),"")</f>
        <v/>
      </c>
      <c r="J125" s="2" t="str">
        <f>IFERROR(VLOOKUP($A125,observations_series_id_PCU3241913241910_api_key_ecc133893ea92a842ee685c734246086[],3,FALSE),"")</f>
        <v/>
      </c>
      <c r="K125" t="str">
        <f>IFERROR(VLOOKUP($A125,observations_series_id_EXJPUS_api_key_ecc133893ea92a842ee685c734246086_file_type[],2,FALSE),"")</f>
        <v/>
      </c>
      <c r="L125" s="2" t="str">
        <f>IFERROR(VLOOKUP($A125,observations_series_id_EXJPUS_api_key_ecc133893ea92a842ee685c734246086_file_type[],3,FALSE),"")</f>
        <v/>
      </c>
      <c r="M125" t="str">
        <f>IFERROR(AVERAGEIFS(timeseries_access_key_fqeas14oitk235763mntlb1c0brnk9w3fenzqbk313q5kvxyf52kukw1pa[Value.LME-ZNC],timeseries_access_key_fqeas14oitk235763mntlb1c0brnk9w3fenzqbk313q5kvxyf52kukw1pa[Month],MONTH(Data!$A125),timeseries_access_key_fqeas14oitk235763mntlb1c0brnk9w3fenzqbk313q5kvxyf52kukw1pa[Year],YEAR(Data!$A125)),"")</f>
        <v/>
      </c>
      <c r="N125" s="2" t="str">
        <f>IFERROR(AVERAGEIFS(timeseries_access_key_fqeas14oitk235763mntlb1c0brnk9w3fenzqbk313q5kvxyf52kukw1pa[Column1],timeseries_access_key_fqeas14oitk235763mntlb1c0brnk9w3fenzqbk313q5kvxyf52kukw1pa[Month],MONTH(Data!$A125),timeseries_access_key_fqeas14oitk235763mntlb1c0brnk9w3fenzqbk313q5kvxyf52kukw1pa[Year],YEAR(Data!$A125)),"")</f>
        <v/>
      </c>
      <c r="O125" s="8" t="str">
        <f>IFERROR(VLOOKUP($A125,Text_1_2[[Text.1.1.3]:[Text.1.3]],2,FALSE),"")</f>
        <v/>
      </c>
      <c r="P125" s="2"/>
    </row>
    <row r="126" spans="1:16" x14ac:dyDescent="0.25">
      <c r="A126" s="1">
        <v>24959</v>
      </c>
      <c r="B126" t="str">
        <f>HLOOKUP(Dashboard!$I$27,results,ROW(A126),FALSE)</f>
        <v/>
      </c>
      <c r="C126">
        <f>IFERROR(VLOOKUP(A126,observations_series_id_PCU22112222112243_api_key_ecc133893ea92a842ee685c73424608[],2,FALSE),"")</f>
        <v>17.899999999999999</v>
      </c>
      <c r="D126" s="2">
        <f>IFERROR(VLOOKUP(A126,observations_series_id_PCU22112222112243_api_key_ecc133893ea92a842ee685c73424608[],3,FALSE),"")</f>
        <v>2.7932960893854775E-2</v>
      </c>
      <c r="E126" t="str">
        <f>IFERROR(VLOOKUP($A126,observations_series_id_WPU0613020T_api_key_ecc133893ea92a842ee685c734246086_file[],2,FALSE),"")</f>
        <v/>
      </c>
      <c r="F126" s="2" t="str">
        <f>IFERROR(VLOOKUP($A126,observations_series_id_WPU0613020T_api_key_ecc133893ea92a842ee685c734246086_file[],3,FALSE),"")</f>
        <v/>
      </c>
      <c r="G126" t="str">
        <f>IFERROR(VLOOKUP($A126,observations_series_id_PCU22122212_api_key_ecc133893ea92a842ee685c734246086_file[],2,FALSE),"")</f>
        <v/>
      </c>
      <c r="H126" s="2" t="str">
        <f>IFERROR(VLOOKUP($A126,observations_series_id_PCU22122212_api_key_ecc133893ea92a842ee685c734246086_file[],3,FALSE),"")</f>
        <v/>
      </c>
      <c r="I126" t="str">
        <f>IFERROR(VLOOKUP($A126,observations_series_id_PCU3241913241910_api_key_ecc133893ea92a842ee685c734246086[],2,FALSE),"")</f>
        <v/>
      </c>
      <c r="J126" s="2" t="str">
        <f>IFERROR(VLOOKUP($A126,observations_series_id_PCU3241913241910_api_key_ecc133893ea92a842ee685c734246086[],3,FALSE),"")</f>
        <v/>
      </c>
      <c r="K126" t="str">
        <f>IFERROR(VLOOKUP($A126,observations_series_id_EXJPUS_api_key_ecc133893ea92a842ee685c734246086_file_type[],2,FALSE),"")</f>
        <v/>
      </c>
      <c r="L126" s="2" t="str">
        <f>IFERROR(VLOOKUP($A126,observations_series_id_EXJPUS_api_key_ecc133893ea92a842ee685c734246086_file_type[],3,FALSE),"")</f>
        <v/>
      </c>
      <c r="M126" t="str">
        <f>IFERROR(AVERAGEIFS(timeseries_access_key_fqeas14oitk235763mntlb1c0brnk9w3fenzqbk313q5kvxyf52kukw1pa[Value.LME-ZNC],timeseries_access_key_fqeas14oitk235763mntlb1c0brnk9w3fenzqbk313q5kvxyf52kukw1pa[Month],MONTH(Data!$A126),timeseries_access_key_fqeas14oitk235763mntlb1c0brnk9w3fenzqbk313q5kvxyf52kukw1pa[Year],YEAR(Data!$A126)),"")</f>
        <v/>
      </c>
      <c r="N126" s="2" t="str">
        <f>IFERROR(AVERAGEIFS(timeseries_access_key_fqeas14oitk235763mntlb1c0brnk9w3fenzqbk313q5kvxyf52kukw1pa[Column1],timeseries_access_key_fqeas14oitk235763mntlb1c0brnk9w3fenzqbk313q5kvxyf52kukw1pa[Month],MONTH(Data!$A126),timeseries_access_key_fqeas14oitk235763mntlb1c0brnk9w3fenzqbk313q5kvxyf52kukw1pa[Year],YEAR(Data!$A126)),"")</f>
        <v/>
      </c>
      <c r="O126" s="8" t="str">
        <f>IFERROR(VLOOKUP($A126,Text_1_2[[Text.1.1.3]:[Text.1.3]],2,FALSE),"")</f>
        <v/>
      </c>
      <c r="P126" s="2"/>
    </row>
    <row r="127" spans="1:16" x14ac:dyDescent="0.25">
      <c r="A127" s="1">
        <v>24990</v>
      </c>
      <c r="B127" t="str">
        <f>HLOOKUP(Dashboard!$I$27,results,ROW(A127),FALSE)</f>
        <v/>
      </c>
      <c r="C127">
        <f>IFERROR(VLOOKUP(A127,observations_series_id_PCU22112222112243_api_key_ecc133893ea92a842ee685c73424608[],2,FALSE),"")</f>
        <v>17.899999999999999</v>
      </c>
      <c r="D127" s="2">
        <f>IFERROR(VLOOKUP(A127,observations_series_id_PCU22112222112243_api_key_ecc133893ea92a842ee685c73424608[],3,FALSE),"")</f>
        <v>2.7932960893854775E-2</v>
      </c>
      <c r="E127" t="str">
        <f>IFERROR(VLOOKUP($A127,observations_series_id_WPU0613020T_api_key_ecc133893ea92a842ee685c734246086_file[],2,FALSE),"")</f>
        <v/>
      </c>
      <c r="F127" s="2" t="str">
        <f>IFERROR(VLOOKUP($A127,observations_series_id_WPU0613020T_api_key_ecc133893ea92a842ee685c734246086_file[],3,FALSE),"")</f>
        <v/>
      </c>
      <c r="G127" t="str">
        <f>IFERROR(VLOOKUP($A127,observations_series_id_PCU22122212_api_key_ecc133893ea92a842ee685c734246086_file[],2,FALSE),"")</f>
        <v/>
      </c>
      <c r="H127" s="2" t="str">
        <f>IFERROR(VLOOKUP($A127,observations_series_id_PCU22122212_api_key_ecc133893ea92a842ee685c734246086_file[],3,FALSE),"")</f>
        <v/>
      </c>
      <c r="I127" t="str">
        <f>IFERROR(VLOOKUP($A127,observations_series_id_PCU3241913241910_api_key_ecc133893ea92a842ee685c734246086[],2,FALSE),"")</f>
        <v/>
      </c>
      <c r="J127" s="2" t="str">
        <f>IFERROR(VLOOKUP($A127,observations_series_id_PCU3241913241910_api_key_ecc133893ea92a842ee685c734246086[],3,FALSE),"")</f>
        <v/>
      </c>
      <c r="K127" t="str">
        <f>IFERROR(VLOOKUP($A127,observations_series_id_EXJPUS_api_key_ecc133893ea92a842ee685c734246086_file_type[],2,FALSE),"")</f>
        <v/>
      </c>
      <c r="L127" s="2" t="str">
        <f>IFERROR(VLOOKUP($A127,observations_series_id_EXJPUS_api_key_ecc133893ea92a842ee685c734246086_file_type[],3,FALSE),"")</f>
        <v/>
      </c>
      <c r="M127" t="str">
        <f>IFERROR(AVERAGEIFS(timeseries_access_key_fqeas14oitk235763mntlb1c0brnk9w3fenzqbk313q5kvxyf52kukw1pa[Value.LME-ZNC],timeseries_access_key_fqeas14oitk235763mntlb1c0brnk9w3fenzqbk313q5kvxyf52kukw1pa[Month],MONTH(Data!$A127),timeseries_access_key_fqeas14oitk235763mntlb1c0brnk9w3fenzqbk313q5kvxyf52kukw1pa[Year],YEAR(Data!$A127)),"")</f>
        <v/>
      </c>
      <c r="N127" s="2" t="str">
        <f>IFERROR(AVERAGEIFS(timeseries_access_key_fqeas14oitk235763mntlb1c0brnk9w3fenzqbk313q5kvxyf52kukw1pa[Column1],timeseries_access_key_fqeas14oitk235763mntlb1c0brnk9w3fenzqbk313q5kvxyf52kukw1pa[Month],MONTH(Data!$A127),timeseries_access_key_fqeas14oitk235763mntlb1c0brnk9w3fenzqbk313q5kvxyf52kukw1pa[Year],YEAR(Data!$A127)),"")</f>
        <v/>
      </c>
      <c r="O127" s="8" t="str">
        <f>IFERROR(VLOOKUP($A127,Text_1_2[[Text.1.1.3]:[Text.1.3]],2,FALSE),"")</f>
        <v/>
      </c>
      <c r="P127" s="2"/>
    </row>
    <row r="128" spans="1:16" x14ac:dyDescent="0.25">
      <c r="A128" s="1">
        <v>25020</v>
      </c>
      <c r="B128" t="str">
        <f>HLOOKUP(Dashboard!$I$27,results,ROW(A128),FALSE)</f>
        <v/>
      </c>
      <c r="C128">
        <f>IFERROR(VLOOKUP(A128,observations_series_id_PCU22112222112243_api_key_ecc133893ea92a842ee685c73424608[],2,FALSE),"")</f>
        <v>18</v>
      </c>
      <c r="D128" s="2">
        <f>IFERROR(VLOOKUP(A128,observations_series_id_PCU22112222112243_api_key_ecc133893ea92a842ee685c73424608[],3,FALSE),"")</f>
        <v>3.3333333333333437E-2</v>
      </c>
      <c r="E128" t="str">
        <f>IFERROR(VLOOKUP($A128,observations_series_id_WPU0613020T_api_key_ecc133893ea92a842ee685c734246086_file[],2,FALSE),"")</f>
        <v/>
      </c>
      <c r="F128" s="2" t="str">
        <f>IFERROR(VLOOKUP($A128,observations_series_id_WPU0613020T_api_key_ecc133893ea92a842ee685c734246086_file[],3,FALSE),"")</f>
        <v/>
      </c>
      <c r="G128" t="str">
        <f>IFERROR(VLOOKUP($A128,observations_series_id_PCU22122212_api_key_ecc133893ea92a842ee685c734246086_file[],2,FALSE),"")</f>
        <v/>
      </c>
      <c r="H128" s="2" t="str">
        <f>IFERROR(VLOOKUP($A128,observations_series_id_PCU22122212_api_key_ecc133893ea92a842ee685c734246086_file[],3,FALSE),"")</f>
        <v/>
      </c>
      <c r="I128" t="str">
        <f>IFERROR(VLOOKUP($A128,observations_series_id_PCU3241913241910_api_key_ecc133893ea92a842ee685c734246086[],2,FALSE),"")</f>
        <v/>
      </c>
      <c r="J128" s="2" t="str">
        <f>IFERROR(VLOOKUP($A128,observations_series_id_PCU3241913241910_api_key_ecc133893ea92a842ee685c734246086[],3,FALSE),"")</f>
        <v/>
      </c>
      <c r="K128" t="str">
        <f>IFERROR(VLOOKUP($A128,observations_series_id_EXJPUS_api_key_ecc133893ea92a842ee685c734246086_file_type[],2,FALSE),"")</f>
        <v/>
      </c>
      <c r="L128" s="2" t="str">
        <f>IFERROR(VLOOKUP($A128,observations_series_id_EXJPUS_api_key_ecc133893ea92a842ee685c734246086_file_type[],3,FALSE),"")</f>
        <v/>
      </c>
      <c r="M128" t="str">
        <f>IFERROR(AVERAGEIFS(timeseries_access_key_fqeas14oitk235763mntlb1c0brnk9w3fenzqbk313q5kvxyf52kukw1pa[Value.LME-ZNC],timeseries_access_key_fqeas14oitk235763mntlb1c0brnk9w3fenzqbk313q5kvxyf52kukw1pa[Month],MONTH(Data!$A128),timeseries_access_key_fqeas14oitk235763mntlb1c0brnk9w3fenzqbk313q5kvxyf52kukw1pa[Year],YEAR(Data!$A128)),"")</f>
        <v/>
      </c>
      <c r="N128" s="2" t="str">
        <f>IFERROR(AVERAGEIFS(timeseries_access_key_fqeas14oitk235763mntlb1c0brnk9w3fenzqbk313q5kvxyf52kukw1pa[Column1],timeseries_access_key_fqeas14oitk235763mntlb1c0brnk9w3fenzqbk313q5kvxyf52kukw1pa[Month],MONTH(Data!$A128),timeseries_access_key_fqeas14oitk235763mntlb1c0brnk9w3fenzqbk313q5kvxyf52kukw1pa[Year],YEAR(Data!$A128)),"")</f>
        <v/>
      </c>
      <c r="O128" s="8" t="str">
        <f>IFERROR(VLOOKUP($A128,Text_1_2[[Text.1.1.3]:[Text.1.3]],2,FALSE),"")</f>
        <v/>
      </c>
      <c r="P128" s="2"/>
    </row>
    <row r="129" spans="1:16" x14ac:dyDescent="0.25">
      <c r="A129" s="1">
        <v>25051</v>
      </c>
      <c r="B129" t="str">
        <f>HLOOKUP(Dashboard!$I$27,results,ROW(A129),FALSE)</f>
        <v/>
      </c>
      <c r="C129">
        <f>IFERROR(VLOOKUP(A129,observations_series_id_PCU22112222112243_api_key_ecc133893ea92a842ee685c73424608[],2,FALSE),"")</f>
        <v>18</v>
      </c>
      <c r="D129" s="2">
        <f>IFERROR(VLOOKUP(A129,observations_series_id_PCU22112222112243_api_key_ecc133893ea92a842ee685c73424608[],3,FALSE),"")</f>
        <v>3.3333333333333437E-2</v>
      </c>
      <c r="E129" t="str">
        <f>IFERROR(VLOOKUP($A129,observations_series_id_WPU0613020T_api_key_ecc133893ea92a842ee685c734246086_file[],2,FALSE),"")</f>
        <v/>
      </c>
      <c r="F129" s="2" t="str">
        <f>IFERROR(VLOOKUP($A129,observations_series_id_WPU0613020T_api_key_ecc133893ea92a842ee685c734246086_file[],3,FALSE),"")</f>
        <v/>
      </c>
      <c r="G129" t="str">
        <f>IFERROR(VLOOKUP($A129,observations_series_id_PCU22122212_api_key_ecc133893ea92a842ee685c734246086_file[],2,FALSE),"")</f>
        <v/>
      </c>
      <c r="H129" s="2" t="str">
        <f>IFERROR(VLOOKUP($A129,observations_series_id_PCU22122212_api_key_ecc133893ea92a842ee685c734246086_file[],3,FALSE),"")</f>
        <v/>
      </c>
      <c r="I129" t="str">
        <f>IFERROR(VLOOKUP($A129,observations_series_id_PCU3241913241910_api_key_ecc133893ea92a842ee685c734246086[],2,FALSE),"")</f>
        <v/>
      </c>
      <c r="J129" s="2" t="str">
        <f>IFERROR(VLOOKUP($A129,observations_series_id_PCU3241913241910_api_key_ecc133893ea92a842ee685c734246086[],3,FALSE),"")</f>
        <v/>
      </c>
      <c r="K129" t="str">
        <f>IFERROR(VLOOKUP($A129,observations_series_id_EXJPUS_api_key_ecc133893ea92a842ee685c734246086_file_type[],2,FALSE),"")</f>
        <v/>
      </c>
      <c r="L129" s="2" t="str">
        <f>IFERROR(VLOOKUP($A129,observations_series_id_EXJPUS_api_key_ecc133893ea92a842ee685c734246086_file_type[],3,FALSE),"")</f>
        <v/>
      </c>
      <c r="M129" t="str">
        <f>IFERROR(AVERAGEIFS(timeseries_access_key_fqeas14oitk235763mntlb1c0brnk9w3fenzqbk313q5kvxyf52kukw1pa[Value.LME-ZNC],timeseries_access_key_fqeas14oitk235763mntlb1c0brnk9w3fenzqbk313q5kvxyf52kukw1pa[Month],MONTH(Data!$A129),timeseries_access_key_fqeas14oitk235763mntlb1c0brnk9w3fenzqbk313q5kvxyf52kukw1pa[Year],YEAR(Data!$A129)),"")</f>
        <v/>
      </c>
      <c r="N129" s="2" t="str">
        <f>IFERROR(AVERAGEIFS(timeseries_access_key_fqeas14oitk235763mntlb1c0brnk9w3fenzqbk313q5kvxyf52kukw1pa[Column1],timeseries_access_key_fqeas14oitk235763mntlb1c0brnk9w3fenzqbk313q5kvxyf52kukw1pa[Month],MONTH(Data!$A129),timeseries_access_key_fqeas14oitk235763mntlb1c0brnk9w3fenzqbk313q5kvxyf52kukw1pa[Year],YEAR(Data!$A129)),"")</f>
        <v/>
      </c>
      <c r="O129" s="8" t="str">
        <f>IFERROR(VLOOKUP($A129,Text_1_2[[Text.1.1.3]:[Text.1.3]],2,FALSE),"")</f>
        <v/>
      </c>
      <c r="P129" s="2"/>
    </row>
    <row r="130" spans="1:16" x14ac:dyDescent="0.25">
      <c r="A130" s="1">
        <v>25082</v>
      </c>
      <c r="B130" t="str">
        <f>HLOOKUP(Dashboard!$I$27,results,ROW(A130),FALSE)</f>
        <v/>
      </c>
      <c r="C130">
        <f>IFERROR(VLOOKUP(A130,observations_series_id_PCU22112222112243_api_key_ecc133893ea92a842ee685c73424608[],2,FALSE),"")</f>
        <v>18</v>
      </c>
      <c r="D130" s="2">
        <f>IFERROR(VLOOKUP(A130,observations_series_id_PCU22112222112243_api_key_ecc133893ea92a842ee685c73424608[],3,FALSE),"")</f>
        <v>3.3333333333333437E-2</v>
      </c>
      <c r="E130" t="str">
        <f>IFERROR(VLOOKUP($A130,observations_series_id_WPU0613020T_api_key_ecc133893ea92a842ee685c734246086_file[],2,FALSE),"")</f>
        <v/>
      </c>
      <c r="F130" s="2" t="str">
        <f>IFERROR(VLOOKUP($A130,observations_series_id_WPU0613020T_api_key_ecc133893ea92a842ee685c734246086_file[],3,FALSE),"")</f>
        <v/>
      </c>
      <c r="G130" t="str">
        <f>IFERROR(VLOOKUP($A130,observations_series_id_PCU22122212_api_key_ecc133893ea92a842ee685c734246086_file[],2,FALSE),"")</f>
        <v/>
      </c>
      <c r="H130" s="2" t="str">
        <f>IFERROR(VLOOKUP($A130,observations_series_id_PCU22122212_api_key_ecc133893ea92a842ee685c734246086_file[],3,FALSE),"")</f>
        <v/>
      </c>
      <c r="I130" t="str">
        <f>IFERROR(VLOOKUP($A130,observations_series_id_PCU3241913241910_api_key_ecc133893ea92a842ee685c734246086[],2,FALSE),"")</f>
        <v/>
      </c>
      <c r="J130" s="2" t="str">
        <f>IFERROR(VLOOKUP($A130,observations_series_id_PCU3241913241910_api_key_ecc133893ea92a842ee685c734246086[],3,FALSE),"")</f>
        <v/>
      </c>
      <c r="K130" t="str">
        <f>IFERROR(VLOOKUP($A130,observations_series_id_EXJPUS_api_key_ecc133893ea92a842ee685c734246086_file_type[],2,FALSE),"")</f>
        <v/>
      </c>
      <c r="L130" s="2" t="str">
        <f>IFERROR(VLOOKUP($A130,observations_series_id_EXJPUS_api_key_ecc133893ea92a842ee685c734246086_file_type[],3,FALSE),"")</f>
        <v/>
      </c>
      <c r="M130" t="str">
        <f>IFERROR(AVERAGEIFS(timeseries_access_key_fqeas14oitk235763mntlb1c0brnk9w3fenzqbk313q5kvxyf52kukw1pa[Value.LME-ZNC],timeseries_access_key_fqeas14oitk235763mntlb1c0brnk9w3fenzqbk313q5kvxyf52kukw1pa[Month],MONTH(Data!$A130),timeseries_access_key_fqeas14oitk235763mntlb1c0brnk9w3fenzqbk313q5kvxyf52kukw1pa[Year],YEAR(Data!$A130)),"")</f>
        <v/>
      </c>
      <c r="N130" s="2" t="str">
        <f>IFERROR(AVERAGEIFS(timeseries_access_key_fqeas14oitk235763mntlb1c0brnk9w3fenzqbk313q5kvxyf52kukw1pa[Column1],timeseries_access_key_fqeas14oitk235763mntlb1c0brnk9w3fenzqbk313q5kvxyf52kukw1pa[Month],MONTH(Data!$A130),timeseries_access_key_fqeas14oitk235763mntlb1c0brnk9w3fenzqbk313q5kvxyf52kukw1pa[Year],YEAR(Data!$A130)),"")</f>
        <v/>
      </c>
      <c r="O130" s="8" t="str">
        <f>IFERROR(VLOOKUP($A130,Text_1_2[[Text.1.1.3]:[Text.1.3]],2,FALSE),"")</f>
        <v/>
      </c>
      <c r="P130" s="2"/>
    </row>
    <row r="131" spans="1:16" x14ac:dyDescent="0.25">
      <c r="A131" s="1">
        <v>25112</v>
      </c>
      <c r="B131" t="str">
        <f>HLOOKUP(Dashboard!$I$27,results,ROW(A131),FALSE)</f>
        <v/>
      </c>
      <c r="C131">
        <f>IFERROR(VLOOKUP(A131,observations_series_id_PCU22112222112243_api_key_ecc133893ea92a842ee685c73424608[],2,FALSE),"")</f>
        <v>18</v>
      </c>
      <c r="D131" s="2">
        <f>IFERROR(VLOOKUP(A131,observations_series_id_PCU22112222112243_api_key_ecc133893ea92a842ee685c73424608[],3,FALSE),"")</f>
        <v>3.3333333333333437E-2</v>
      </c>
      <c r="E131" t="str">
        <f>IFERROR(VLOOKUP($A131,observations_series_id_WPU0613020T_api_key_ecc133893ea92a842ee685c734246086_file[],2,FALSE),"")</f>
        <v/>
      </c>
      <c r="F131" s="2" t="str">
        <f>IFERROR(VLOOKUP($A131,observations_series_id_WPU0613020T_api_key_ecc133893ea92a842ee685c734246086_file[],3,FALSE),"")</f>
        <v/>
      </c>
      <c r="G131" t="str">
        <f>IFERROR(VLOOKUP($A131,observations_series_id_PCU22122212_api_key_ecc133893ea92a842ee685c734246086_file[],2,FALSE),"")</f>
        <v/>
      </c>
      <c r="H131" s="2" t="str">
        <f>IFERROR(VLOOKUP($A131,observations_series_id_PCU22122212_api_key_ecc133893ea92a842ee685c734246086_file[],3,FALSE),"")</f>
        <v/>
      </c>
      <c r="I131" t="str">
        <f>IFERROR(VLOOKUP($A131,observations_series_id_PCU3241913241910_api_key_ecc133893ea92a842ee685c734246086[],2,FALSE),"")</f>
        <v/>
      </c>
      <c r="J131" s="2" t="str">
        <f>IFERROR(VLOOKUP($A131,observations_series_id_PCU3241913241910_api_key_ecc133893ea92a842ee685c734246086[],3,FALSE),"")</f>
        <v/>
      </c>
      <c r="K131" t="str">
        <f>IFERROR(VLOOKUP($A131,observations_series_id_EXJPUS_api_key_ecc133893ea92a842ee685c734246086_file_type[],2,FALSE),"")</f>
        <v/>
      </c>
      <c r="L131" s="2" t="str">
        <f>IFERROR(VLOOKUP($A131,observations_series_id_EXJPUS_api_key_ecc133893ea92a842ee685c734246086_file_type[],3,FALSE),"")</f>
        <v/>
      </c>
      <c r="M131" t="str">
        <f>IFERROR(AVERAGEIFS(timeseries_access_key_fqeas14oitk235763mntlb1c0brnk9w3fenzqbk313q5kvxyf52kukw1pa[Value.LME-ZNC],timeseries_access_key_fqeas14oitk235763mntlb1c0brnk9w3fenzqbk313q5kvxyf52kukw1pa[Month],MONTH(Data!$A131),timeseries_access_key_fqeas14oitk235763mntlb1c0brnk9w3fenzqbk313q5kvxyf52kukw1pa[Year],YEAR(Data!$A131)),"")</f>
        <v/>
      </c>
      <c r="N131" s="2" t="str">
        <f>IFERROR(AVERAGEIFS(timeseries_access_key_fqeas14oitk235763mntlb1c0brnk9w3fenzqbk313q5kvxyf52kukw1pa[Column1],timeseries_access_key_fqeas14oitk235763mntlb1c0brnk9w3fenzqbk313q5kvxyf52kukw1pa[Month],MONTH(Data!$A131),timeseries_access_key_fqeas14oitk235763mntlb1c0brnk9w3fenzqbk313q5kvxyf52kukw1pa[Year],YEAR(Data!$A131)),"")</f>
        <v/>
      </c>
      <c r="O131" s="8" t="str">
        <f>IFERROR(VLOOKUP($A131,Text_1_2[[Text.1.1.3]:[Text.1.3]],2,FALSE),"")</f>
        <v/>
      </c>
      <c r="P131" s="2"/>
    </row>
    <row r="132" spans="1:16" x14ac:dyDescent="0.25">
      <c r="A132" s="1">
        <v>25143</v>
      </c>
      <c r="B132" t="str">
        <f>HLOOKUP(Dashboard!$I$27,results,ROW(A132),FALSE)</f>
        <v/>
      </c>
      <c r="C132">
        <f>IFERROR(VLOOKUP(A132,observations_series_id_PCU22112222112243_api_key_ecc133893ea92a842ee685c73424608[],2,FALSE),"")</f>
        <v>18</v>
      </c>
      <c r="D132" s="2">
        <f>IFERROR(VLOOKUP(A132,observations_series_id_PCU22112222112243_api_key_ecc133893ea92a842ee685c73424608[],3,FALSE),"")</f>
        <v>3.3333333333333437E-2</v>
      </c>
      <c r="E132" t="str">
        <f>IFERROR(VLOOKUP($A132,observations_series_id_WPU0613020T_api_key_ecc133893ea92a842ee685c734246086_file[],2,FALSE),"")</f>
        <v/>
      </c>
      <c r="F132" s="2" t="str">
        <f>IFERROR(VLOOKUP($A132,observations_series_id_WPU0613020T_api_key_ecc133893ea92a842ee685c734246086_file[],3,FALSE),"")</f>
        <v/>
      </c>
      <c r="G132" t="str">
        <f>IFERROR(VLOOKUP($A132,observations_series_id_PCU22122212_api_key_ecc133893ea92a842ee685c734246086_file[],2,FALSE),"")</f>
        <v/>
      </c>
      <c r="H132" s="2" t="str">
        <f>IFERROR(VLOOKUP($A132,observations_series_id_PCU22122212_api_key_ecc133893ea92a842ee685c734246086_file[],3,FALSE),"")</f>
        <v/>
      </c>
      <c r="I132" t="str">
        <f>IFERROR(VLOOKUP($A132,observations_series_id_PCU3241913241910_api_key_ecc133893ea92a842ee685c734246086[],2,FALSE),"")</f>
        <v/>
      </c>
      <c r="J132" s="2" t="str">
        <f>IFERROR(VLOOKUP($A132,observations_series_id_PCU3241913241910_api_key_ecc133893ea92a842ee685c734246086[],3,FALSE),"")</f>
        <v/>
      </c>
      <c r="K132" t="str">
        <f>IFERROR(VLOOKUP($A132,observations_series_id_EXJPUS_api_key_ecc133893ea92a842ee685c734246086_file_type[],2,FALSE),"")</f>
        <v/>
      </c>
      <c r="L132" s="2" t="str">
        <f>IFERROR(VLOOKUP($A132,observations_series_id_EXJPUS_api_key_ecc133893ea92a842ee685c734246086_file_type[],3,FALSE),"")</f>
        <v/>
      </c>
      <c r="M132" t="str">
        <f>IFERROR(AVERAGEIFS(timeseries_access_key_fqeas14oitk235763mntlb1c0brnk9w3fenzqbk313q5kvxyf52kukw1pa[Value.LME-ZNC],timeseries_access_key_fqeas14oitk235763mntlb1c0brnk9w3fenzqbk313q5kvxyf52kukw1pa[Month],MONTH(Data!$A132),timeseries_access_key_fqeas14oitk235763mntlb1c0brnk9w3fenzqbk313q5kvxyf52kukw1pa[Year],YEAR(Data!$A132)),"")</f>
        <v/>
      </c>
      <c r="N132" s="2" t="str">
        <f>IFERROR(AVERAGEIFS(timeseries_access_key_fqeas14oitk235763mntlb1c0brnk9w3fenzqbk313q5kvxyf52kukw1pa[Column1],timeseries_access_key_fqeas14oitk235763mntlb1c0brnk9w3fenzqbk313q5kvxyf52kukw1pa[Month],MONTH(Data!$A132),timeseries_access_key_fqeas14oitk235763mntlb1c0brnk9w3fenzqbk313q5kvxyf52kukw1pa[Year],YEAR(Data!$A132)),"")</f>
        <v/>
      </c>
      <c r="O132" s="8" t="str">
        <f>IFERROR(VLOOKUP($A132,Text_1_2[[Text.1.1.3]:[Text.1.3]],2,FALSE),"")</f>
        <v/>
      </c>
      <c r="P132" s="2"/>
    </row>
    <row r="133" spans="1:16" x14ac:dyDescent="0.25">
      <c r="A133" s="1">
        <v>25173</v>
      </c>
      <c r="B133" t="str">
        <f>HLOOKUP(Dashboard!$I$27,results,ROW(A133),FALSE)</f>
        <v/>
      </c>
      <c r="C133">
        <f>IFERROR(VLOOKUP(A133,observations_series_id_PCU22112222112243_api_key_ecc133893ea92a842ee685c73424608[],2,FALSE),"")</f>
        <v>18</v>
      </c>
      <c r="D133" s="2">
        <f>IFERROR(VLOOKUP(A133,observations_series_id_PCU22112222112243_api_key_ecc133893ea92a842ee685c73424608[],3,FALSE),"")</f>
        <v>3.3333333333333437E-2</v>
      </c>
      <c r="E133" t="str">
        <f>IFERROR(VLOOKUP($A133,observations_series_id_WPU0613020T_api_key_ecc133893ea92a842ee685c734246086_file[],2,FALSE),"")</f>
        <v/>
      </c>
      <c r="F133" s="2" t="str">
        <f>IFERROR(VLOOKUP($A133,observations_series_id_WPU0613020T_api_key_ecc133893ea92a842ee685c734246086_file[],3,FALSE),"")</f>
        <v/>
      </c>
      <c r="G133" t="str">
        <f>IFERROR(VLOOKUP($A133,observations_series_id_PCU22122212_api_key_ecc133893ea92a842ee685c734246086_file[],2,FALSE),"")</f>
        <v/>
      </c>
      <c r="H133" s="2" t="str">
        <f>IFERROR(VLOOKUP($A133,observations_series_id_PCU22122212_api_key_ecc133893ea92a842ee685c734246086_file[],3,FALSE),"")</f>
        <v/>
      </c>
      <c r="I133" t="str">
        <f>IFERROR(VLOOKUP($A133,observations_series_id_PCU3241913241910_api_key_ecc133893ea92a842ee685c734246086[],2,FALSE),"")</f>
        <v/>
      </c>
      <c r="J133" s="2" t="str">
        <f>IFERROR(VLOOKUP($A133,observations_series_id_PCU3241913241910_api_key_ecc133893ea92a842ee685c734246086[],3,FALSE),"")</f>
        <v/>
      </c>
      <c r="K133" t="str">
        <f>IFERROR(VLOOKUP($A133,observations_series_id_EXJPUS_api_key_ecc133893ea92a842ee685c734246086_file_type[],2,FALSE),"")</f>
        <v/>
      </c>
      <c r="L133" s="2" t="str">
        <f>IFERROR(VLOOKUP($A133,observations_series_id_EXJPUS_api_key_ecc133893ea92a842ee685c734246086_file_type[],3,FALSE),"")</f>
        <v/>
      </c>
      <c r="M133" t="str">
        <f>IFERROR(AVERAGEIFS(timeseries_access_key_fqeas14oitk235763mntlb1c0brnk9w3fenzqbk313q5kvxyf52kukw1pa[Value.LME-ZNC],timeseries_access_key_fqeas14oitk235763mntlb1c0brnk9w3fenzqbk313q5kvxyf52kukw1pa[Month],MONTH(Data!$A133),timeseries_access_key_fqeas14oitk235763mntlb1c0brnk9w3fenzqbk313q5kvxyf52kukw1pa[Year],YEAR(Data!$A133)),"")</f>
        <v/>
      </c>
      <c r="N133" s="2" t="str">
        <f>IFERROR(AVERAGEIFS(timeseries_access_key_fqeas14oitk235763mntlb1c0brnk9w3fenzqbk313q5kvxyf52kukw1pa[Column1],timeseries_access_key_fqeas14oitk235763mntlb1c0brnk9w3fenzqbk313q5kvxyf52kukw1pa[Month],MONTH(Data!$A133),timeseries_access_key_fqeas14oitk235763mntlb1c0brnk9w3fenzqbk313q5kvxyf52kukw1pa[Year],YEAR(Data!$A133)),"")</f>
        <v/>
      </c>
      <c r="O133" s="8" t="str">
        <f>IFERROR(VLOOKUP($A133,Text_1_2[[Text.1.1.3]:[Text.1.3]],2,FALSE),"")</f>
        <v/>
      </c>
      <c r="P133" s="2"/>
    </row>
    <row r="134" spans="1:16" x14ac:dyDescent="0.25">
      <c r="A134" s="1">
        <v>25204</v>
      </c>
      <c r="B134" t="str">
        <f>HLOOKUP(Dashboard!$I$27,results,ROW(A134),FALSE)</f>
        <v/>
      </c>
      <c r="C134">
        <f>IFERROR(VLOOKUP(A134,observations_series_id_PCU22112222112243_api_key_ecc133893ea92a842ee685c73424608[],2,FALSE),"")</f>
        <v>18</v>
      </c>
      <c r="D134" s="2">
        <f>IFERROR(VLOOKUP(A134,observations_series_id_PCU22112222112243_api_key_ecc133893ea92a842ee685c73424608[],3,FALSE),"")</f>
        <v>3.3333333333333437E-2</v>
      </c>
      <c r="E134" t="str">
        <f>IFERROR(VLOOKUP($A134,observations_series_id_WPU0613020T_api_key_ecc133893ea92a842ee685c734246086_file[],2,FALSE),"")</f>
        <v/>
      </c>
      <c r="F134" s="2" t="str">
        <f>IFERROR(VLOOKUP($A134,observations_series_id_WPU0613020T_api_key_ecc133893ea92a842ee685c734246086_file[],3,FALSE),"")</f>
        <v/>
      </c>
      <c r="G134" t="str">
        <f>IFERROR(VLOOKUP($A134,observations_series_id_PCU22122212_api_key_ecc133893ea92a842ee685c734246086_file[],2,FALSE),"")</f>
        <v/>
      </c>
      <c r="H134" s="2" t="str">
        <f>IFERROR(VLOOKUP($A134,observations_series_id_PCU22122212_api_key_ecc133893ea92a842ee685c734246086_file[],3,FALSE),"")</f>
        <v/>
      </c>
      <c r="I134" t="str">
        <f>IFERROR(VLOOKUP($A134,observations_series_id_PCU3241913241910_api_key_ecc133893ea92a842ee685c734246086[],2,FALSE),"")</f>
        <v/>
      </c>
      <c r="J134" s="2" t="str">
        <f>IFERROR(VLOOKUP($A134,observations_series_id_PCU3241913241910_api_key_ecc133893ea92a842ee685c734246086[],3,FALSE),"")</f>
        <v/>
      </c>
      <c r="K134" t="str">
        <f>IFERROR(VLOOKUP($A134,observations_series_id_EXJPUS_api_key_ecc133893ea92a842ee685c734246086_file_type[],2,FALSE),"")</f>
        <v/>
      </c>
      <c r="L134" s="2" t="str">
        <f>IFERROR(VLOOKUP($A134,observations_series_id_EXJPUS_api_key_ecc133893ea92a842ee685c734246086_file_type[],3,FALSE),"")</f>
        <v/>
      </c>
      <c r="M134" t="str">
        <f>IFERROR(AVERAGEIFS(timeseries_access_key_fqeas14oitk235763mntlb1c0brnk9w3fenzqbk313q5kvxyf52kukw1pa[Value.LME-ZNC],timeseries_access_key_fqeas14oitk235763mntlb1c0brnk9w3fenzqbk313q5kvxyf52kukw1pa[Month],MONTH(Data!$A134),timeseries_access_key_fqeas14oitk235763mntlb1c0brnk9w3fenzqbk313q5kvxyf52kukw1pa[Year],YEAR(Data!$A134)),"")</f>
        <v/>
      </c>
      <c r="N134" s="2" t="str">
        <f>IFERROR(AVERAGEIFS(timeseries_access_key_fqeas14oitk235763mntlb1c0brnk9w3fenzqbk313q5kvxyf52kukw1pa[Column1],timeseries_access_key_fqeas14oitk235763mntlb1c0brnk9w3fenzqbk313q5kvxyf52kukw1pa[Month],MONTH(Data!$A134),timeseries_access_key_fqeas14oitk235763mntlb1c0brnk9w3fenzqbk313q5kvxyf52kukw1pa[Year],YEAR(Data!$A134)),"")</f>
        <v/>
      </c>
      <c r="O134" s="8" t="str">
        <f>IFERROR(VLOOKUP($A134,Text_1_2[[Text.1.1.3]:[Text.1.3]],2,FALSE),"")</f>
        <v/>
      </c>
      <c r="P134" s="2"/>
    </row>
    <row r="135" spans="1:16" x14ac:dyDescent="0.25">
      <c r="A135" s="1">
        <v>25235</v>
      </c>
      <c r="B135" t="str">
        <f>HLOOKUP(Dashboard!$I$27,results,ROW(A135),FALSE)</f>
        <v/>
      </c>
      <c r="C135">
        <f>IFERROR(VLOOKUP(A135,observations_series_id_PCU22112222112243_api_key_ecc133893ea92a842ee685c73424608[],2,FALSE),"")</f>
        <v>18</v>
      </c>
      <c r="D135" s="2">
        <f>IFERROR(VLOOKUP(A135,observations_series_id_PCU22112222112243_api_key_ecc133893ea92a842ee685c73424608[],3,FALSE),"")</f>
        <v>3.3333333333333437E-2</v>
      </c>
      <c r="E135" t="str">
        <f>IFERROR(VLOOKUP($A135,observations_series_id_WPU0613020T_api_key_ecc133893ea92a842ee685c734246086_file[],2,FALSE),"")</f>
        <v/>
      </c>
      <c r="F135" s="2" t="str">
        <f>IFERROR(VLOOKUP($A135,observations_series_id_WPU0613020T_api_key_ecc133893ea92a842ee685c734246086_file[],3,FALSE),"")</f>
        <v/>
      </c>
      <c r="G135" t="str">
        <f>IFERROR(VLOOKUP($A135,observations_series_id_PCU22122212_api_key_ecc133893ea92a842ee685c734246086_file[],2,FALSE),"")</f>
        <v/>
      </c>
      <c r="H135" s="2" t="str">
        <f>IFERROR(VLOOKUP($A135,observations_series_id_PCU22122212_api_key_ecc133893ea92a842ee685c734246086_file[],3,FALSE),"")</f>
        <v/>
      </c>
      <c r="I135" t="str">
        <f>IFERROR(VLOOKUP($A135,observations_series_id_PCU3241913241910_api_key_ecc133893ea92a842ee685c734246086[],2,FALSE),"")</f>
        <v/>
      </c>
      <c r="J135" s="2" t="str">
        <f>IFERROR(VLOOKUP($A135,observations_series_id_PCU3241913241910_api_key_ecc133893ea92a842ee685c734246086[],3,FALSE),"")</f>
        <v/>
      </c>
      <c r="K135" t="str">
        <f>IFERROR(VLOOKUP($A135,observations_series_id_EXJPUS_api_key_ecc133893ea92a842ee685c734246086_file_type[],2,FALSE),"")</f>
        <v/>
      </c>
      <c r="L135" s="2" t="str">
        <f>IFERROR(VLOOKUP($A135,observations_series_id_EXJPUS_api_key_ecc133893ea92a842ee685c734246086_file_type[],3,FALSE),"")</f>
        <v/>
      </c>
      <c r="M135" t="str">
        <f>IFERROR(AVERAGEIFS(timeseries_access_key_fqeas14oitk235763mntlb1c0brnk9w3fenzqbk313q5kvxyf52kukw1pa[Value.LME-ZNC],timeseries_access_key_fqeas14oitk235763mntlb1c0brnk9w3fenzqbk313q5kvxyf52kukw1pa[Month],MONTH(Data!$A135),timeseries_access_key_fqeas14oitk235763mntlb1c0brnk9w3fenzqbk313q5kvxyf52kukw1pa[Year],YEAR(Data!$A135)),"")</f>
        <v/>
      </c>
      <c r="N135" s="2" t="str">
        <f>IFERROR(AVERAGEIFS(timeseries_access_key_fqeas14oitk235763mntlb1c0brnk9w3fenzqbk313q5kvxyf52kukw1pa[Column1],timeseries_access_key_fqeas14oitk235763mntlb1c0brnk9w3fenzqbk313q5kvxyf52kukw1pa[Month],MONTH(Data!$A135),timeseries_access_key_fqeas14oitk235763mntlb1c0brnk9w3fenzqbk313q5kvxyf52kukw1pa[Year],YEAR(Data!$A135)),"")</f>
        <v/>
      </c>
      <c r="O135" s="8" t="str">
        <f>IFERROR(VLOOKUP($A135,Text_1_2[[Text.1.1.3]:[Text.1.3]],2,FALSE),"")</f>
        <v/>
      </c>
      <c r="P135" s="2"/>
    </row>
    <row r="136" spans="1:16" x14ac:dyDescent="0.25">
      <c r="A136" s="1">
        <v>25263</v>
      </c>
      <c r="B136" t="str">
        <f>HLOOKUP(Dashboard!$I$27,results,ROW(A136),FALSE)</f>
        <v/>
      </c>
      <c r="C136">
        <f>IFERROR(VLOOKUP(A136,observations_series_id_PCU22112222112243_api_key_ecc133893ea92a842ee685c73424608[],2,FALSE),"")</f>
        <v>18</v>
      </c>
      <c r="D136" s="2">
        <f>IFERROR(VLOOKUP(A136,observations_series_id_PCU22112222112243_api_key_ecc133893ea92a842ee685c73424608[],3,FALSE),"")</f>
        <v>3.3333333333333437E-2</v>
      </c>
      <c r="E136" t="str">
        <f>IFERROR(VLOOKUP($A136,observations_series_id_WPU0613020T_api_key_ecc133893ea92a842ee685c734246086_file[],2,FALSE),"")</f>
        <v/>
      </c>
      <c r="F136" s="2" t="str">
        <f>IFERROR(VLOOKUP($A136,observations_series_id_WPU0613020T_api_key_ecc133893ea92a842ee685c734246086_file[],3,FALSE),"")</f>
        <v/>
      </c>
      <c r="G136" t="str">
        <f>IFERROR(VLOOKUP($A136,observations_series_id_PCU22122212_api_key_ecc133893ea92a842ee685c734246086_file[],2,FALSE),"")</f>
        <v/>
      </c>
      <c r="H136" s="2" t="str">
        <f>IFERROR(VLOOKUP($A136,observations_series_id_PCU22122212_api_key_ecc133893ea92a842ee685c734246086_file[],3,FALSE),"")</f>
        <v/>
      </c>
      <c r="I136" t="str">
        <f>IFERROR(VLOOKUP($A136,observations_series_id_PCU3241913241910_api_key_ecc133893ea92a842ee685c734246086[],2,FALSE),"")</f>
        <v/>
      </c>
      <c r="J136" s="2" t="str">
        <f>IFERROR(VLOOKUP($A136,observations_series_id_PCU3241913241910_api_key_ecc133893ea92a842ee685c734246086[],3,FALSE),"")</f>
        <v/>
      </c>
      <c r="K136" t="str">
        <f>IFERROR(VLOOKUP($A136,observations_series_id_EXJPUS_api_key_ecc133893ea92a842ee685c734246086_file_type[],2,FALSE),"")</f>
        <v/>
      </c>
      <c r="L136" s="2" t="str">
        <f>IFERROR(VLOOKUP($A136,observations_series_id_EXJPUS_api_key_ecc133893ea92a842ee685c734246086_file_type[],3,FALSE),"")</f>
        <v/>
      </c>
      <c r="M136" t="str">
        <f>IFERROR(AVERAGEIFS(timeseries_access_key_fqeas14oitk235763mntlb1c0brnk9w3fenzqbk313q5kvxyf52kukw1pa[Value.LME-ZNC],timeseries_access_key_fqeas14oitk235763mntlb1c0brnk9w3fenzqbk313q5kvxyf52kukw1pa[Month],MONTH(Data!$A136),timeseries_access_key_fqeas14oitk235763mntlb1c0brnk9w3fenzqbk313q5kvxyf52kukw1pa[Year],YEAR(Data!$A136)),"")</f>
        <v/>
      </c>
      <c r="N136" s="2" t="str">
        <f>IFERROR(AVERAGEIFS(timeseries_access_key_fqeas14oitk235763mntlb1c0brnk9w3fenzqbk313q5kvxyf52kukw1pa[Column1],timeseries_access_key_fqeas14oitk235763mntlb1c0brnk9w3fenzqbk313q5kvxyf52kukw1pa[Month],MONTH(Data!$A136),timeseries_access_key_fqeas14oitk235763mntlb1c0brnk9w3fenzqbk313q5kvxyf52kukw1pa[Year],YEAR(Data!$A136)),"")</f>
        <v/>
      </c>
      <c r="O136" s="8" t="str">
        <f>IFERROR(VLOOKUP($A136,Text_1_2[[Text.1.1.3]:[Text.1.3]],2,FALSE),"")</f>
        <v/>
      </c>
      <c r="P136" s="2"/>
    </row>
    <row r="137" spans="1:16" x14ac:dyDescent="0.25">
      <c r="A137" s="1">
        <v>25294</v>
      </c>
      <c r="B137" t="str">
        <f>HLOOKUP(Dashboard!$I$27,results,ROW(A137),FALSE)</f>
        <v/>
      </c>
      <c r="C137">
        <f>IFERROR(VLOOKUP(A137,observations_series_id_PCU22112222112243_api_key_ecc133893ea92a842ee685c73424608[],2,FALSE),"")</f>
        <v>18</v>
      </c>
      <c r="D137" s="2">
        <f>IFERROR(VLOOKUP(A137,observations_series_id_PCU22112222112243_api_key_ecc133893ea92a842ee685c73424608[],3,FALSE),"")</f>
        <v>3.3333333333333437E-2</v>
      </c>
      <c r="E137" t="str">
        <f>IFERROR(VLOOKUP($A137,observations_series_id_WPU0613020T_api_key_ecc133893ea92a842ee685c734246086_file[],2,FALSE),"")</f>
        <v/>
      </c>
      <c r="F137" s="2" t="str">
        <f>IFERROR(VLOOKUP($A137,observations_series_id_WPU0613020T_api_key_ecc133893ea92a842ee685c734246086_file[],3,FALSE),"")</f>
        <v/>
      </c>
      <c r="G137" t="str">
        <f>IFERROR(VLOOKUP($A137,observations_series_id_PCU22122212_api_key_ecc133893ea92a842ee685c734246086_file[],2,FALSE),"")</f>
        <v/>
      </c>
      <c r="H137" s="2" t="str">
        <f>IFERROR(VLOOKUP($A137,observations_series_id_PCU22122212_api_key_ecc133893ea92a842ee685c734246086_file[],3,FALSE),"")</f>
        <v/>
      </c>
      <c r="I137" t="str">
        <f>IFERROR(VLOOKUP($A137,observations_series_id_PCU3241913241910_api_key_ecc133893ea92a842ee685c734246086[],2,FALSE),"")</f>
        <v/>
      </c>
      <c r="J137" s="2" t="str">
        <f>IFERROR(VLOOKUP($A137,observations_series_id_PCU3241913241910_api_key_ecc133893ea92a842ee685c734246086[],3,FALSE),"")</f>
        <v/>
      </c>
      <c r="K137" t="str">
        <f>IFERROR(VLOOKUP($A137,observations_series_id_EXJPUS_api_key_ecc133893ea92a842ee685c734246086_file_type[],2,FALSE),"")</f>
        <v/>
      </c>
      <c r="L137" s="2" t="str">
        <f>IFERROR(VLOOKUP($A137,observations_series_id_EXJPUS_api_key_ecc133893ea92a842ee685c734246086_file_type[],3,FALSE),"")</f>
        <v/>
      </c>
      <c r="M137" t="str">
        <f>IFERROR(AVERAGEIFS(timeseries_access_key_fqeas14oitk235763mntlb1c0brnk9w3fenzqbk313q5kvxyf52kukw1pa[Value.LME-ZNC],timeseries_access_key_fqeas14oitk235763mntlb1c0brnk9w3fenzqbk313q5kvxyf52kukw1pa[Month],MONTH(Data!$A137),timeseries_access_key_fqeas14oitk235763mntlb1c0brnk9w3fenzqbk313q5kvxyf52kukw1pa[Year],YEAR(Data!$A137)),"")</f>
        <v/>
      </c>
      <c r="N137" s="2" t="str">
        <f>IFERROR(AVERAGEIFS(timeseries_access_key_fqeas14oitk235763mntlb1c0brnk9w3fenzqbk313q5kvxyf52kukw1pa[Column1],timeseries_access_key_fqeas14oitk235763mntlb1c0brnk9w3fenzqbk313q5kvxyf52kukw1pa[Month],MONTH(Data!$A137),timeseries_access_key_fqeas14oitk235763mntlb1c0brnk9w3fenzqbk313q5kvxyf52kukw1pa[Year],YEAR(Data!$A137)),"")</f>
        <v/>
      </c>
      <c r="O137" s="8" t="str">
        <f>IFERROR(VLOOKUP($A137,Text_1_2[[Text.1.1.3]:[Text.1.3]],2,FALSE),"")</f>
        <v/>
      </c>
      <c r="P137" s="2"/>
    </row>
    <row r="138" spans="1:16" x14ac:dyDescent="0.25">
      <c r="A138" s="1">
        <v>25324</v>
      </c>
      <c r="B138" t="str">
        <f>HLOOKUP(Dashboard!$I$27,results,ROW(A138),FALSE)</f>
        <v/>
      </c>
      <c r="C138">
        <f>IFERROR(VLOOKUP(A138,observations_series_id_PCU22112222112243_api_key_ecc133893ea92a842ee685c73424608[],2,FALSE),"")</f>
        <v>18.100000000000001</v>
      </c>
      <c r="D138" s="2">
        <f>IFERROR(VLOOKUP(A138,observations_series_id_PCU22112222112243_api_key_ecc133893ea92a842ee685c73424608[],3,FALSE),"")</f>
        <v>3.8674033149171394E-2</v>
      </c>
      <c r="E138" t="str">
        <f>IFERROR(VLOOKUP($A138,observations_series_id_WPU0613020T_api_key_ecc133893ea92a842ee685c734246086_file[],2,FALSE),"")</f>
        <v/>
      </c>
      <c r="F138" s="2" t="str">
        <f>IFERROR(VLOOKUP($A138,observations_series_id_WPU0613020T_api_key_ecc133893ea92a842ee685c734246086_file[],3,FALSE),"")</f>
        <v/>
      </c>
      <c r="G138" t="str">
        <f>IFERROR(VLOOKUP($A138,observations_series_id_PCU22122212_api_key_ecc133893ea92a842ee685c734246086_file[],2,FALSE),"")</f>
        <v/>
      </c>
      <c r="H138" s="2" t="str">
        <f>IFERROR(VLOOKUP($A138,observations_series_id_PCU22122212_api_key_ecc133893ea92a842ee685c734246086_file[],3,FALSE),"")</f>
        <v/>
      </c>
      <c r="I138" t="str">
        <f>IFERROR(VLOOKUP($A138,observations_series_id_PCU3241913241910_api_key_ecc133893ea92a842ee685c734246086[],2,FALSE),"")</f>
        <v/>
      </c>
      <c r="J138" s="2" t="str">
        <f>IFERROR(VLOOKUP($A138,observations_series_id_PCU3241913241910_api_key_ecc133893ea92a842ee685c734246086[],3,FALSE),"")</f>
        <v/>
      </c>
      <c r="K138" t="str">
        <f>IFERROR(VLOOKUP($A138,observations_series_id_EXJPUS_api_key_ecc133893ea92a842ee685c734246086_file_type[],2,FALSE),"")</f>
        <v/>
      </c>
      <c r="L138" s="2" t="str">
        <f>IFERROR(VLOOKUP($A138,observations_series_id_EXJPUS_api_key_ecc133893ea92a842ee685c734246086_file_type[],3,FALSE),"")</f>
        <v/>
      </c>
      <c r="M138" t="str">
        <f>IFERROR(AVERAGEIFS(timeseries_access_key_fqeas14oitk235763mntlb1c0brnk9w3fenzqbk313q5kvxyf52kukw1pa[Value.LME-ZNC],timeseries_access_key_fqeas14oitk235763mntlb1c0brnk9w3fenzqbk313q5kvxyf52kukw1pa[Month],MONTH(Data!$A138),timeseries_access_key_fqeas14oitk235763mntlb1c0brnk9w3fenzqbk313q5kvxyf52kukw1pa[Year],YEAR(Data!$A138)),"")</f>
        <v/>
      </c>
      <c r="N138" s="2" t="str">
        <f>IFERROR(AVERAGEIFS(timeseries_access_key_fqeas14oitk235763mntlb1c0brnk9w3fenzqbk313q5kvxyf52kukw1pa[Column1],timeseries_access_key_fqeas14oitk235763mntlb1c0brnk9w3fenzqbk313q5kvxyf52kukw1pa[Month],MONTH(Data!$A138),timeseries_access_key_fqeas14oitk235763mntlb1c0brnk9w3fenzqbk313q5kvxyf52kukw1pa[Year],YEAR(Data!$A138)),"")</f>
        <v/>
      </c>
      <c r="O138" s="8" t="str">
        <f>IFERROR(VLOOKUP($A138,Text_1_2[[Text.1.1.3]:[Text.1.3]],2,FALSE),"")</f>
        <v/>
      </c>
      <c r="P138" s="2"/>
    </row>
    <row r="139" spans="1:16" x14ac:dyDescent="0.25">
      <c r="A139" s="1">
        <v>25355</v>
      </c>
      <c r="B139" t="str">
        <f>HLOOKUP(Dashboard!$I$27,results,ROW(A139),FALSE)</f>
        <v/>
      </c>
      <c r="C139">
        <f>IFERROR(VLOOKUP(A139,observations_series_id_PCU22112222112243_api_key_ecc133893ea92a842ee685c73424608[],2,FALSE),"")</f>
        <v>18</v>
      </c>
      <c r="D139" s="2">
        <f>IFERROR(VLOOKUP(A139,observations_series_id_PCU22112222112243_api_key_ecc133893ea92a842ee685c73424608[],3,FALSE),"")</f>
        <v>3.3333333333333437E-2</v>
      </c>
      <c r="E139" t="str">
        <f>IFERROR(VLOOKUP($A139,observations_series_id_WPU0613020T_api_key_ecc133893ea92a842ee685c734246086_file[],2,FALSE),"")</f>
        <v/>
      </c>
      <c r="F139" s="2" t="str">
        <f>IFERROR(VLOOKUP($A139,observations_series_id_WPU0613020T_api_key_ecc133893ea92a842ee685c734246086_file[],3,FALSE),"")</f>
        <v/>
      </c>
      <c r="G139" t="str">
        <f>IFERROR(VLOOKUP($A139,observations_series_id_PCU22122212_api_key_ecc133893ea92a842ee685c734246086_file[],2,FALSE),"")</f>
        <v/>
      </c>
      <c r="H139" s="2" t="str">
        <f>IFERROR(VLOOKUP($A139,observations_series_id_PCU22122212_api_key_ecc133893ea92a842ee685c734246086_file[],3,FALSE),"")</f>
        <v/>
      </c>
      <c r="I139" t="str">
        <f>IFERROR(VLOOKUP($A139,observations_series_id_PCU3241913241910_api_key_ecc133893ea92a842ee685c734246086[],2,FALSE),"")</f>
        <v/>
      </c>
      <c r="J139" s="2" t="str">
        <f>IFERROR(VLOOKUP($A139,observations_series_id_PCU3241913241910_api_key_ecc133893ea92a842ee685c734246086[],3,FALSE),"")</f>
        <v/>
      </c>
      <c r="K139" t="str">
        <f>IFERROR(VLOOKUP($A139,observations_series_id_EXJPUS_api_key_ecc133893ea92a842ee685c734246086_file_type[],2,FALSE),"")</f>
        <v/>
      </c>
      <c r="L139" s="2" t="str">
        <f>IFERROR(VLOOKUP($A139,observations_series_id_EXJPUS_api_key_ecc133893ea92a842ee685c734246086_file_type[],3,FALSE),"")</f>
        <v/>
      </c>
      <c r="M139" t="str">
        <f>IFERROR(AVERAGEIFS(timeseries_access_key_fqeas14oitk235763mntlb1c0brnk9w3fenzqbk313q5kvxyf52kukw1pa[Value.LME-ZNC],timeseries_access_key_fqeas14oitk235763mntlb1c0brnk9w3fenzqbk313q5kvxyf52kukw1pa[Month],MONTH(Data!$A139),timeseries_access_key_fqeas14oitk235763mntlb1c0brnk9w3fenzqbk313q5kvxyf52kukw1pa[Year],YEAR(Data!$A139)),"")</f>
        <v/>
      </c>
      <c r="N139" s="2" t="str">
        <f>IFERROR(AVERAGEIFS(timeseries_access_key_fqeas14oitk235763mntlb1c0brnk9w3fenzqbk313q5kvxyf52kukw1pa[Column1],timeseries_access_key_fqeas14oitk235763mntlb1c0brnk9w3fenzqbk313q5kvxyf52kukw1pa[Month],MONTH(Data!$A139),timeseries_access_key_fqeas14oitk235763mntlb1c0brnk9w3fenzqbk313q5kvxyf52kukw1pa[Year],YEAR(Data!$A139)),"")</f>
        <v/>
      </c>
      <c r="O139" s="8" t="str">
        <f>IFERROR(VLOOKUP($A139,Text_1_2[[Text.1.1.3]:[Text.1.3]],2,FALSE),"")</f>
        <v/>
      </c>
      <c r="P139" s="2"/>
    </row>
    <row r="140" spans="1:16" x14ac:dyDescent="0.25">
      <c r="A140" s="1">
        <v>25385</v>
      </c>
      <c r="B140" t="str">
        <f>HLOOKUP(Dashboard!$I$27,results,ROW(A140),FALSE)</f>
        <v/>
      </c>
      <c r="C140">
        <f>IFERROR(VLOOKUP(A140,observations_series_id_PCU22112222112243_api_key_ecc133893ea92a842ee685c73424608[],2,FALSE),"")</f>
        <v>18</v>
      </c>
      <c r="D140" s="2">
        <f>IFERROR(VLOOKUP(A140,observations_series_id_PCU22112222112243_api_key_ecc133893ea92a842ee685c73424608[],3,FALSE),"")</f>
        <v>3.3333333333333437E-2</v>
      </c>
      <c r="E140" t="str">
        <f>IFERROR(VLOOKUP($A140,observations_series_id_WPU0613020T_api_key_ecc133893ea92a842ee685c734246086_file[],2,FALSE),"")</f>
        <v/>
      </c>
      <c r="F140" s="2" t="str">
        <f>IFERROR(VLOOKUP($A140,observations_series_id_WPU0613020T_api_key_ecc133893ea92a842ee685c734246086_file[],3,FALSE),"")</f>
        <v/>
      </c>
      <c r="G140" t="str">
        <f>IFERROR(VLOOKUP($A140,observations_series_id_PCU22122212_api_key_ecc133893ea92a842ee685c734246086_file[],2,FALSE),"")</f>
        <v/>
      </c>
      <c r="H140" s="2" t="str">
        <f>IFERROR(VLOOKUP($A140,observations_series_id_PCU22122212_api_key_ecc133893ea92a842ee685c734246086_file[],3,FALSE),"")</f>
        <v/>
      </c>
      <c r="I140" t="str">
        <f>IFERROR(VLOOKUP($A140,observations_series_id_PCU3241913241910_api_key_ecc133893ea92a842ee685c734246086[],2,FALSE),"")</f>
        <v/>
      </c>
      <c r="J140" s="2" t="str">
        <f>IFERROR(VLOOKUP($A140,observations_series_id_PCU3241913241910_api_key_ecc133893ea92a842ee685c734246086[],3,FALSE),"")</f>
        <v/>
      </c>
      <c r="K140" t="str">
        <f>IFERROR(VLOOKUP($A140,observations_series_id_EXJPUS_api_key_ecc133893ea92a842ee685c734246086_file_type[],2,FALSE),"")</f>
        <v/>
      </c>
      <c r="L140" s="2" t="str">
        <f>IFERROR(VLOOKUP($A140,observations_series_id_EXJPUS_api_key_ecc133893ea92a842ee685c734246086_file_type[],3,FALSE),"")</f>
        <v/>
      </c>
      <c r="M140" t="str">
        <f>IFERROR(AVERAGEIFS(timeseries_access_key_fqeas14oitk235763mntlb1c0brnk9w3fenzqbk313q5kvxyf52kukw1pa[Value.LME-ZNC],timeseries_access_key_fqeas14oitk235763mntlb1c0brnk9w3fenzqbk313q5kvxyf52kukw1pa[Month],MONTH(Data!$A140),timeseries_access_key_fqeas14oitk235763mntlb1c0brnk9w3fenzqbk313q5kvxyf52kukw1pa[Year],YEAR(Data!$A140)),"")</f>
        <v/>
      </c>
      <c r="N140" s="2" t="str">
        <f>IFERROR(AVERAGEIFS(timeseries_access_key_fqeas14oitk235763mntlb1c0brnk9w3fenzqbk313q5kvxyf52kukw1pa[Column1],timeseries_access_key_fqeas14oitk235763mntlb1c0brnk9w3fenzqbk313q5kvxyf52kukw1pa[Month],MONTH(Data!$A140),timeseries_access_key_fqeas14oitk235763mntlb1c0brnk9w3fenzqbk313q5kvxyf52kukw1pa[Year],YEAR(Data!$A140)),"")</f>
        <v/>
      </c>
      <c r="O140" s="8" t="str">
        <f>IFERROR(VLOOKUP($A140,Text_1_2[[Text.1.1.3]:[Text.1.3]],2,FALSE),"")</f>
        <v/>
      </c>
      <c r="P140" s="2"/>
    </row>
    <row r="141" spans="1:16" x14ac:dyDescent="0.25">
      <c r="A141" s="1">
        <v>25416</v>
      </c>
      <c r="B141" t="str">
        <f>HLOOKUP(Dashboard!$I$27,results,ROW(A141),FALSE)</f>
        <v/>
      </c>
      <c r="C141">
        <f>IFERROR(VLOOKUP(A141,observations_series_id_PCU22112222112243_api_key_ecc133893ea92a842ee685c73424608[],2,FALSE),"")</f>
        <v>18.2</v>
      </c>
      <c r="D141" s="2">
        <f>IFERROR(VLOOKUP(A141,observations_series_id_PCU22112222112243_api_key_ecc133893ea92a842ee685c73424608[],3,FALSE),"")</f>
        <v>4.3956043956044022E-2</v>
      </c>
      <c r="E141" t="str">
        <f>IFERROR(VLOOKUP($A141,observations_series_id_WPU0613020T_api_key_ecc133893ea92a842ee685c734246086_file[],2,FALSE),"")</f>
        <v/>
      </c>
      <c r="F141" s="2" t="str">
        <f>IFERROR(VLOOKUP($A141,observations_series_id_WPU0613020T_api_key_ecc133893ea92a842ee685c734246086_file[],3,FALSE),"")</f>
        <v/>
      </c>
      <c r="G141" t="str">
        <f>IFERROR(VLOOKUP($A141,observations_series_id_PCU22122212_api_key_ecc133893ea92a842ee685c734246086_file[],2,FALSE),"")</f>
        <v/>
      </c>
      <c r="H141" s="2" t="str">
        <f>IFERROR(VLOOKUP($A141,observations_series_id_PCU22122212_api_key_ecc133893ea92a842ee685c734246086_file[],3,FALSE),"")</f>
        <v/>
      </c>
      <c r="I141" t="str">
        <f>IFERROR(VLOOKUP($A141,observations_series_id_PCU3241913241910_api_key_ecc133893ea92a842ee685c734246086[],2,FALSE),"")</f>
        <v/>
      </c>
      <c r="J141" s="2" t="str">
        <f>IFERROR(VLOOKUP($A141,observations_series_id_PCU3241913241910_api_key_ecc133893ea92a842ee685c734246086[],3,FALSE),"")</f>
        <v/>
      </c>
      <c r="K141" t="str">
        <f>IFERROR(VLOOKUP($A141,observations_series_id_EXJPUS_api_key_ecc133893ea92a842ee685c734246086_file_type[],2,FALSE),"")</f>
        <v/>
      </c>
      <c r="L141" s="2" t="str">
        <f>IFERROR(VLOOKUP($A141,observations_series_id_EXJPUS_api_key_ecc133893ea92a842ee685c734246086_file_type[],3,FALSE),"")</f>
        <v/>
      </c>
      <c r="M141" t="str">
        <f>IFERROR(AVERAGEIFS(timeseries_access_key_fqeas14oitk235763mntlb1c0brnk9w3fenzqbk313q5kvxyf52kukw1pa[Value.LME-ZNC],timeseries_access_key_fqeas14oitk235763mntlb1c0brnk9w3fenzqbk313q5kvxyf52kukw1pa[Month],MONTH(Data!$A141),timeseries_access_key_fqeas14oitk235763mntlb1c0brnk9w3fenzqbk313q5kvxyf52kukw1pa[Year],YEAR(Data!$A141)),"")</f>
        <v/>
      </c>
      <c r="N141" s="2" t="str">
        <f>IFERROR(AVERAGEIFS(timeseries_access_key_fqeas14oitk235763mntlb1c0brnk9w3fenzqbk313q5kvxyf52kukw1pa[Column1],timeseries_access_key_fqeas14oitk235763mntlb1c0brnk9w3fenzqbk313q5kvxyf52kukw1pa[Month],MONTH(Data!$A141),timeseries_access_key_fqeas14oitk235763mntlb1c0brnk9w3fenzqbk313q5kvxyf52kukw1pa[Year],YEAR(Data!$A141)),"")</f>
        <v/>
      </c>
      <c r="O141" s="8" t="str">
        <f>IFERROR(VLOOKUP($A141,Text_1_2[[Text.1.1.3]:[Text.1.3]],2,FALSE),"")</f>
        <v/>
      </c>
      <c r="P141" s="2"/>
    </row>
    <row r="142" spans="1:16" x14ac:dyDescent="0.25">
      <c r="A142" s="1">
        <v>25447</v>
      </c>
      <c r="B142" t="str">
        <f>HLOOKUP(Dashboard!$I$27,results,ROW(A142),FALSE)</f>
        <v/>
      </c>
      <c r="C142">
        <f>IFERROR(VLOOKUP(A142,observations_series_id_PCU22112222112243_api_key_ecc133893ea92a842ee685c73424608[],2,FALSE),"")</f>
        <v>18.399999999999999</v>
      </c>
      <c r="D142" s="2">
        <f>IFERROR(VLOOKUP(A142,observations_series_id_PCU22112222112243_api_key_ecc133893ea92a842ee685c73424608[],3,FALSE),"")</f>
        <v>5.4347826086956541E-2</v>
      </c>
      <c r="E142" t="str">
        <f>IFERROR(VLOOKUP($A142,observations_series_id_WPU0613020T_api_key_ecc133893ea92a842ee685c734246086_file[],2,FALSE),"")</f>
        <v/>
      </c>
      <c r="F142" s="2" t="str">
        <f>IFERROR(VLOOKUP($A142,observations_series_id_WPU0613020T_api_key_ecc133893ea92a842ee685c734246086_file[],3,FALSE),"")</f>
        <v/>
      </c>
      <c r="G142" t="str">
        <f>IFERROR(VLOOKUP($A142,observations_series_id_PCU22122212_api_key_ecc133893ea92a842ee685c734246086_file[],2,FALSE),"")</f>
        <v/>
      </c>
      <c r="H142" s="2" t="str">
        <f>IFERROR(VLOOKUP($A142,observations_series_id_PCU22122212_api_key_ecc133893ea92a842ee685c734246086_file[],3,FALSE),"")</f>
        <v/>
      </c>
      <c r="I142" t="str">
        <f>IFERROR(VLOOKUP($A142,observations_series_id_PCU3241913241910_api_key_ecc133893ea92a842ee685c734246086[],2,FALSE),"")</f>
        <v/>
      </c>
      <c r="J142" s="2" t="str">
        <f>IFERROR(VLOOKUP($A142,observations_series_id_PCU3241913241910_api_key_ecc133893ea92a842ee685c734246086[],3,FALSE),"")</f>
        <v/>
      </c>
      <c r="K142" t="str">
        <f>IFERROR(VLOOKUP($A142,observations_series_id_EXJPUS_api_key_ecc133893ea92a842ee685c734246086_file_type[],2,FALSE),"")</f>
        <v/>
      </c>
      <c r="L142" s="2" t="str">
        <f>IFERROR(VLOOKUP($A142,observations_series_id_EXJPUS_api_key_ecc133893ea92a842ee685c734246086_file_type[],3,FALSE),"")</f>
        <v/>
      </c>
      <c r="M142" t="str">
        <f>IFERROR(AVERAGEIFS(timeseries_access_key_fqeas14oitk235763mntlb1c0brnk9w3fenzqbk313q5kvxyf52kukw1pa[Value.LME-ZNC],timeseries_access_key_fqeas14oitk235763mntlb1c0brnk9w3fenzqbk313q5kvxyf52kukw1pa[Month],MONTH(Data!$A142),timeseries_access_key_fqeas14oitk235763mntlb1c0brnk9w3fenzqbk313q5kvxyf52kukw1pa[Year],YEAR(Data!$A142)),"")</f>
        <v/>
      </c>
      <c r="N142" s="2" t="str">
        <f>IFERROR(AVERAGEIFS(timeseries_access_key_fqeas14oitk235763mntlb1c0brnk9w3fenzqbk313q5kvxyf52kukw1pa[Column1],timeseries_access_key_fqeas14oitk235763mntlb1c0brnk9w3fenzqbk313q5kvxyf52kukw1pa[Month],MONTH(Data!$A142),timeseries_access_key_fqeas14oitk235763mntlb1c0brnk9w3fenzqbk313q5kvxyf52kukw1pa[Year],YEAR(Data!$A142)),"")</f>
        <v/>
      </c>
      <c r="O142" s="8" t="str">
        <f>IFERROR(VLOOKUP($A142,Text_1_2[[Text.1.1.3]:[Text.1.3]],2,FALSE),"")</f>
        <v/>
      </c>
      <c r="P142" s="2"/>
    </row>
    <row r="143" spans="1:16" x14ac:dyDescent="0.25">
      <c r="A143" s="1">
        <v>25477</v>
      </c>
      <c r="B143" t="str">
        <f>HLOOKUP(Dashboard!$I$27,results,ROW(A143),FALSE)</f>
        <v/>
      </c>
      <c r="C143">
        <f>IFERROR(VLOOKUP(A143,observations_series_id_PCU22112222112243_api_key_ecc133893ea92a842ee685c73424608[],2,FALSE),"")</f>
        <v>18.399999999999999</v>
      </c>
      <c r="D143" s="2">
        <f>IFERROR(VLOOKUP(A143,observations_series_id_PCU22112222112243_api_key_ecc133893ea92a842ee685c73424608[],3,FALSE),"")</f>
        <v>5.4347826086956541E-2</v>
      </c>
      <c r="E143" t="str">
        <f>IFERROR(VLOOKUP($A143,observations_series_id_WPU0613020T_api_key_ecc133893ea92a842ee685c734246086_file[],2,FALSE),"")</f>
        <v/>
      </c>
      <c r="F143" s="2" t="str">
        <f>IFERROR(VLOOKUP($A143,observations_series_id_WPU0613020T_api_key_ecc133893ea92a842ee685c734246086_file[],3,FALSE),"")</f>
        <v/>
      </c>
      <c r="G143" t="str">
        <f>IFERROR(VLOOKUP($A143,observations_series_id_PCU22122212_api_key_ecc133893ea92a842ee685c734246086_file[],2,FALSE),"")</f>
        <v/>
      </c>
      <c r="H143" s="2" t="str">
        <f>IFERROR(VLOOKUP($A143,observations_series_id_PCU22122212_api_key_ecc133893ea92a842ee685c734246086_file[],3,FALSE),"")</f>
        <v/>
      </c>
      <c r="I143" t="str">
        <f>IFERROR(VLOOKUP($A143,observations_series_id_PCU3241913241910_api_key_ecc133893ea92a842ee685c734246086[],2,FALSE),"")</f>
        <v/>
      </c>
      <c r="J143" s="2" t="str">
        <f>IFERROR(VLOOKUP($A143,observations_series_id_PCU3241913241910_api_key_ecc133893ea92a842ee685c734246086[],3,FALSE),"")</f>
        <v/>
      </c>
      <c r="K143" t="str">
        <f>IFERROR(VLOOKUP($A143,observations_series_id_EXJPUS_api_key_ecc133893ea92a842ee685c734246086_file_type[],2,FALSE),"")</f>
        <v/>
      </c>
      <c r="L143" s="2" t="str">
        <f>IFERROR(VLOOKUP($A143,observations_series_id_EXJPUS_api_key_ecc133893ea92a842ee685c734246086_file_type[],3,FALSE),"")</f>
        <v/>
      </c>
      <c r="M143" t="str">
        <f>IFERROR(AVERAGEIFS(timeseries_access_key_fqeas14oitk235763mntlb1c0brnk9w3fenzqbk313q5kvxyf52kukw1pa[Value.LME-ZNC],timeseries_access_key_fqeas14oitk235763mntlb1c0brnk9w3fenzqbk313q5kvxyf52kukw1pa[Month],MONTH(Data!$A143),timeseries_access_key_fqeas14oitk235763mntlb1c0brnk9w3fenzqbk313q5kvxyf52kukw1pa[Year],YEAR(Data!$A143)),"")</f>
        <v/>
      </c>
      <c r="N143" s="2" t="str">
        <f>IFERROR(AVERAGEIFS(timeseries_access_key_fqeas14oitk235763mntlb1c0brnk9w3fenzqbk313q5kvxyf52kukw1pa[Column1],timeseries_access_key_fqeas14oitk235763mntlb1c0brnk9w3fenzqbk313q5kvxyf52kukw1pa[Month],MONTH(Data!$A143),timeseries_access_key_fqeas14oitk235763mntlb1c0brnk9w3fenzqbk313q5kvxyf52kukw1pa[Year],YEAR(Data!$A143)),"")</f>
        <v/>
      </c>
      <c r="O143" s="8" t="str">
        <f>IFERROR(VLOOKUP($A143,Text_1_2[[Text.1.1.3]:[Text.1.3]],2,FALSE),"")</f>
        <v/>
      </c>
      <c r="P143" s="2"/>
    </row>
    <row r="144" spans="1:16" x14ac:dyDescent="0.25">
      <c r="A144" s="1">
        <v>25508</v>
      </c>
      <c r="B144" t="str">
        <f>HLOOKUP(Dashboard!$I$27,results,ROW(A144),FALSE)</f>
        <v/>
      </c>
      <c r="C144">
        <f>IFERROR(VLOOKUP(A144,observations_series_id_PCU22112222112243_api_key_ecc133893ea92a842ee685c73424608[],2,FALSE),"")</f>
        <v>18.399999999999999</v>
      </c>
      <c r="D144" s="2">
        <f>IFERROR(VLOOKUP(A144,observations_series_id_PCU22112222112243_api_key_ecc133893ea92a842ee685c73424608[],3,FALSE),"")</f>
        <v>5.4347826086956541E-2</v>
      </c>
      <c r="E144" t="str">
        <f>IFERROR(VLOOKUP($A144,observations_series_id_WPU0613020T_api_key_ecc133893ea92a842ee685c734246086_file[],2,FALSE),"")</f>
        <v/>
      </c>
      <c r="F144" s="2" t="str">
        <f>IFERROR(VLOOKUP($A144,observations_series_id_WPU0613020T_api_key_ecc133893ea92a842ee685c734246086_file[],3,FALSE),"")</f>
        <v/>
      </c>
      <c r="G144" t="str">
        <f>IFERROR(VLOOKUP($A144,observations_series_id_PCU22122212_api_key_ecc133893ea92a842ee685c734246086_file[],2,FALSE),"")</f>
        <v/>
      </c>
      <c r="H144" s="2" t="str">
        <f>IFERROR(VLOOKUP($A144,observations_series_id_PCU22122212_api_key_ecc133893ea92a842ee685c734246086_file[],3,FALSE),"")</f>
        <v/>
      </c>
      <c r="I144" t="str">
        <f>IFERROR(VLOOKUP($A144,observations_series_id_PCU3241913241910_api_key_ecc133893ea92a842ee685c734246086[],2,FALSE),"")</f>
        <v/>
      </c>
      <c r="J144" s="2" t="str">
        <f>IFERROR(VLOOKUP($A144,observations_series_id_PCU3241913241910_api_key_ecc133893ea92a842ee685c734246086[],3,FALSE),"")</f>
        <v/>
      </c>
      <c r="K144" t="str">
        <f>IFERROR(VLOOKUP($A144,observations_series_id_EXJPUS_api_key_ecc133893ea92a842ee685c734246086_file_type[],2,FALSE),"")</f>
        <v/>
      </c>
      <c r="L144" s="2" t="str">
        <f>IFERROR(VLOOKUP($A144,observations_series_id_EXJPUS_api_key_ecc133893ea92a842ee685c734246086_file_type[],3,FALSE),"")</f>
        <v/>
      </c>
      <c r="M144" t="str">
        <f>IFERROR(AVERAGEIFS(timeseries_access_key_fqeas14oitk235763mntlb1c0brnk9w3fenzqbk313q5kvxyf52kukw1pa[Value.LME-ZNC],timeseries_access_key_fqeas14oitk235763mntlb1c0brnk9w3fenzqbk313q5kvxyf52kukw1pa[Month],MONTH(Data!$A144),timeseries_access_key_fqeas14oitk235763mntlb1c0brnk9w3fenzqbk313q5kvxyf52kukw1pa[Year],YEAR(Data!$A144)),"")</f>
        <v/>
      </c>
      <c r="N144" s="2" t="str">
        <f>IFERROR(AVERAGEIFS(timeseries_access_key_fqeas14oitk235763mntlb1c0brnk9w3fenzqbk313q5kvxyf52kukw1pa[Column1],timeseries_access_key_fqeas14oitk235763mntlb1c0brnk9w3fenzqbk313q5kvxyf52kukw1pa[Month],MONTH(Data!$A144),timeseries_access_key_fqeas14oitk235763mntlb1c0brnk9w3fenzqbk313q5kvxyf52kukw1pa[Year],YEAR(Data!$A144)),"")</f>
        <v/>
      </c>
      <c r="O144" s="8" t="str">
        <f>IFERROR(VLOOKUP($A144,Text_1_2[[Text.1.1.3]:[Text.1.3]],2,FALSE),"")</f>
        <v/>
      </c>
      <c r="P144" s="2"/>
    </row>
    <row r="145" spans="1:16" x14ac:dyDescent="0.25">
      <c r="A145" s="1">
        <v>25538</v>
      </c>
      <c r="B145" t="str">
        <f>HLOOKUP(Dashboard!$I$27,results,ROW(A145),FALSE)</f>
        <v/>
      </c>
      <c r="C145">
        <f>IFERROR(VLOOKUP(A145,observations_series_id_PCU22112222112243_api_key_ecc133893ea92a842ee685c73424608[],2,FALSE),"")</f>
        <v>18.399999999999999</v>
      </c>
      <c r="D145" s="2">
        <f>IFERROR(VLOOKUP(A145,observations_series_id_PCU22112222112243_api_key_ecc133893ea92a842ee685c73424608[],3,FALSE),"")</f>
        <v>5.4347826086956541E-2</v>
      </c>
      <c r="E145" t="str">
        <f>IFERROR(VLOOKUP($A145,observations_series_id_WPU0613020T_api_key_ecc133893ea92a842ee685c734246086_file[],2,FALSE),"")</f>
        <v/>
      </c>
      <c r="F145" s="2" t="str">
        <f>IFERROR(VLOOKUP($A145,observations_series_id_WPU0613020T_api_key_ecc133893ea92a842ee685c734246086_file[],3,FALSE),"")</f>
        <v/>
      </c>
      <c r="G145" t="str">
        <f>IFERROR(VLOOKUP($A145,observations_series_id_PCU22122212_api_key_ecc133893ea92a842ee685c734246086_file[],2,FALSE),"")</f>
        <v/>
      </c>
      <c r="H145" s="2" t="str">
        <f>IFERROR(VLOOKUP($A145,observations_series_id_PCU22122212_api_key_ecc133893ea92a842ee685c734246086_file[],3,FALSE),"")</f>
        <v/>
      </c>
      <c r="I145" t="str">
        <f>IFERROR(VLOOKUP($A145,observations_series_id_PCU3241913241910_api_key_ecc133893ea92a842ee685c734246086[],2,FALSE),"")</f>
        <v/>
      </c>
      <c r="J145" s="2" t="str">
        <f>IFERROR(VLOOKUP($A145,observations_series_id_PCU3241913241910_api_key_ecc133893ea92a842ee685c734246086[],3,FALSE),"")</f>
        <v/>
      </c>
      <c r="K145" t="str">
        <f>IFERROR(VLOOKUP($A145,observations_series_id_EXJPUS_api_key_ecc133893ea92a842ee685c734246086_file_type[],2,FALSE),"")</f>
        <v/>
      </c>
      <c r="L145" s="2" t="str">
        <f>IFERROR(VLOOKUP($A145,observations_series_id_EXJPUS_api_key_ecc133893ea92a842ee685c734246086_file_type[],3,FALSE),"")</f>
        <v/>
      </c>
      <c r="M145" t="str">
        <f>IFERROR(AVERAGEIFS(timeseries_access_key_fqeas14oitk235763mntlb1c0brnk9w3fenzqbk313q5kvxyf52kukw1pa[Value.LME-ZNC],timeseries_access_key_fqeas14oitk235763mntlb1c0brnk9w3fenzqbk313q5kvxyf52kukw1pa[Month],MONTH(Data!$A145),timeseries_access_key_fqeas14oitk235763mntlb1c0brnk9w3fenzqbk313q5kvxyf52kukw1pa[Year],YEAR(Data!$A145)),"")</f>
        <v/>
      </c>
      <c r="N145" s="2" t="str">
        <f>IFERROR(AVERAGEIFS(timeseries_access_key_fqeas14oitk235763mntlb1c0brnk9w3fenzqbk313q5kvxyf52kukw1pa[Column1],timeseries_access_key_fqeas14oitk235763mntlb1c0brnk9w3fenzqbk313q5kvxyf52kukw1pa[Month],MONTH(Data!$A145),timeseries_access_key_fqeas14oitk235763mntlb1c0brnk9w3fenzqbk313q5kvxyf52kukw1pa[Year],YEAR(Data!$A145)),"")</f>
        <v/>
      </c>
      <c r="O145" s="8" t="str">
        <f>IFERROR(VLOOKUP($A145,Text_1_2[[Text.1.1.3]:[Text.1.3]],2,FALSE),"")</f>
        <v/>
      </c>
      <c r="P145" s="2"/>
    </row>
    <row r="146" spans="1:16" x14ac:dyDescent="0.25">
      <c r="A146" s="1">
        <v>25569</v>
      </c>
      <c r="B146" t="str">
        <f>HLOOKUP(Dashboard!$I$27,results,ROW(A146),FALSE)</f>
        <v/>
      </c>
      <c r="C146">
        <f>IFERROR(VLOOKUP(A146,observations_series_id_PCU22112222112243_api_key_ecc133893ea92a842ee685c73424608[],2,FALSE),"")</f>
        <v>18.399999999999999</v>
      </c>
      <c r="D146" s="2">
        <f>IFERROR(VLOOKUP(A146,observations_series_id_PCU22112222112243_api_key_ecc133893ea92a842ee685c73424608[],3,FALSE),"")</f>
        <v>5.4347826086956541E-2</v>
      </c>
      <c r="E146" t="str">
        <f>IFERROR(VLOOKUP($A146,observations_series_id_WPU0613020T_api_key_ecc133893ea92a842ee685c734246086_file[],2,FALSE),"")</f>
        <v/>
      </c>
      <c r="F146" s="2" t="str">
        <f>IFERROR(VLOOKUP($A146,observations_series_id_WPU0613020T_api_key_ecc133893ea92a842ee685c734246086_file[],3,FALSE),"")</f>
        <v/>
      </c>
      <c r="G146" t="str">
        <f>IFERROR(VLOOKUP($A146,observations_series_id_PCU22122212_api_key_ecc133893ea92a842ee685c734246086_file[],2,FALSE),"")</f>
        <v/>
      </c>
      <c r="H146" s="2" t="str">
        <f>IFERROR(VLOOKUP($A146,observations_series_id_PCU22122212_api_key_ecc133893ea92a842ee685c734246086_file[],3,FALSE),"")</f>
        <v/>
      </c>
      <c r="I146" t="str">
        <f>IFERROR(VLOOKUP($A146,observations_series_id_PCU3241913241910_api_key_ecc133893ea92a842ee685c734246086[],2,FALSE),"")</f>
        <v/>
      </c>
      <c r="J146" s="2" t="str">
        <f>IFERROR(VLOOKUP($A146,observations_series_id_PCU3241913241910_api_key_ecc133893ea92a842ee685c734246086[],3,FALSE),"")</f>
        <v/>
      </c>
      <c r="K146" t="str">
        <f>IFERROR(VLOOKUP($A146,observations_series_id_EXJPUS_api_key_ecc133893ea92a842ee685c734246086_file_type[],2,FALSE),"")</f>
        <v/>
      </c>
      <c r="L146" s="2" t="str">
        <f>IFERROR(VLOOKUP($A146,observations_series_id_EXJPUS_api_key_ecc133893ea92a842ee685c734246086_file_type[],3,FALSE),"")</f>
        <v/>
      </c>
      <c r="M146" t="str">
        <f>IFERROR(AVERAGEIFS(timeseries_access_key_fqeas14oitk235763mntlb1c0brnk9w3fenzqbk313q5kvxyf52kukw1pa[Value.LME-ZNC],timeseries_access_key_fqeas14oitk235763mntlb1c0brnk9w3fenzqbk313q5kvxyf52kukw1pa[Month],MONTH(Data!$A146),timeseries_access_key_fqeas14oitk235763mntlb1c0brnk9w3fenzqbk313q5kvxyf52kukw1pa[Year],YEAR(Data!$A146)),"")</f>
        <v/>
      </c>
      <c r="N146" s="2" t="str">
        <f>IFERROR(AVERAGEIFS(timeseries_access_key_fqeas14oitk235763mntlb1c0brnk9w3fenzqbk313q5kvxyf52kukw1pa[Column1],timeseries_access_key_fqeas14oitk235763mntlb1c0brnk9w3fenzqbk313q5kvxyf52kukw1pa[Month],MONTH(Data!$A146),timeseries_access_key_fqeas14oitk235763mntlb1c0brnk9w3fenzqbk313q5kvxyf52kukw1pa[Year],YEAR(Data!$A146)),"")</f>
        <v/>
      </c>
      <c r="O146" s="8" t="str">
        <f>IFERROR(VLOOKUP($A146,Text_1_2[[Text.1.1.3]:[Text.1.3]],2,FALSE),"")</f>
        <v/>
      </c>
      <c r="P146" s="2"/>
    </row>
    <row r="147" spans="1:16" x14ac:dyDescent="0.25">
      <c r="A147" s="1">
        <v>25600</v>
      </c>
      <c r="B147" t="str">
        <f>HLOOKUP(Dashboard!$I$27,results,ROW(A147),FALSE)</f>
        <v/>
      </c>
      <c r="C147">
        <f>IFERROR(VLOOKUP(A147,observations_series_id_PCU22112222112243_api_key_ecc133893ea92a842ee685c73424608[],2,FALSE),"")</f>
        <v>18.399999999999999</v>
      </c>
      <c r="D147" s="2">
        <f>IFERROR(VLOOKUP(A147,observations_series_id_PCU22112222112243_api_key_ecc133893ea92a842ee685c73424608[],3,FALSE),"")</f>
        <v>5.4347826086956541E-2</v>
      </c>
      <c r="E147" t="str">
        <f>IFERROR(VLOOKUP($A147,observations_series_id_WPU0613020T_api_key_ecc133893ea92a842ee685c734246086_file[],2,FALSE),"")</f>
        <v/>
      </c>
      <c r="F147" s="2" t="str">
        <f>IFERROR(VLOOKUP($A147,observations_series_id_WPU0613020T_api_key_ecc133893ea92a842ee685c734246086_file[],3,FALSE),"")</f>
        <v/>
      </c>
      <c r="G147" t="str">
        <f>IFERROR(VLOOKUP($A147,observations_series_id_PCU22122212_api_key_ecc133893ea92a842ee685c734246086_file[],2,FALSE),"")</f>
        <v/>
      </c>
      <c r="H147" s="2" t="str">
        <f>IFERROR(VLOOKUP($A147,observations_series_id_PCU22122212_api_key_ecc133893ea92a842ee685c734246086_file[],3,FALSE),"")</f>
        <v/>
      </c>
      <c r="I147" t="str">
        <f>IFERROR(VLOOKUP($A147,observations_series_id_PCU3241913241910_api_key_ecc133893ea92a842ee685c734246086[],2,FALSE),"")</f>
        <v/>
      </c>
      <c r="J147" s="2" t="str">
        <f>IFERROR(VLOOKUP($A147,observations_series_id_PCU3241913241910_api_key_ecc133893ea92a842ee685c734246086[],3,FALSE),"")</f>
        <v/>
      </c>
      <c r="K147" t="str">
        <f>IFERROR(VLOOKUP($A147,observations_series_id_EXJPUS_api_key_ecc133893ea92a842ee685c734246086_file_type[],2,FALSE),"")</f>
        <v/>
      </c>
      <c r="L147" s="2" t="str">
        <f>IFERROR(VLOOKUP($A147,observations_series_id_EXJPUS_api_key_ecc133893ea92a842ee685c734246086_file_type[],3,FALSE),"")</f>
        <v/>
      </c>
      <c r="M147" t="str">
        <f>IFERROR(AVERAGEIFS(timeseries_access_key_fqeas14oitk235763mntlb1c0brnk9w3fenzqbk313q5kvxyf52kukw1pa[Value.LME-ZNC],timeseries_access_key_fqeas14oitk235763mntlb1c0brnk9w3fenzqbk313q5kvxyf52kukw1pa[Month],MONTH(Data!$A147),timeseries_access_key_fqeas14oitk235763mntlb1c0brnk9w3fenzqbk313q5kvxyf52kukw1pa[Year],YEAR(Data!$A147)),"")</f>
        <v/>
      </c>
      <c r="N147" s="2" t="str">
        <f>IFERROR(AVERAGEIFS(timeseries_access_key_fqeas14oitk235763mntlb1c0brnk9w3fenzqbk313q5kvxyf52kukw1pa[Column1],timeseries_access_key_fqeas14oitk235763mntlb1c0brnk9w3fenzqbk313q5kvxyf52kukw1pa[Month],MONTH(Data!$A147),timeseries_access_key_fqeas14oitk235763mntlb1c0brnk9w3fenzqbk313q5kvxyf52kukw1pa[Year],YEAR(Data!$A147)),"")</f>
        <v/>
      </c>
      <c r="O147" s="8" t="str">
        <f>IFERROR(VLOOKUP($A147,Text_1_2[[Text.1.1.3]:[Text.1.3]],2,FALSE),"")</f>
        <v/>
      </c>
      <c r="P147" s="2"/>
    </row>
    <row r="148" spans="1:16" x14ac:dyDescent="0.25">
      <c r="A148" s="1">
        <v>25628</v>
      </c>
      <c r="B148" t="str">
        <f>HLOOKUP(Dashboard!$I$27,results,ROW(A148),FALSE)</f>
        <v/>
      </c>
      <c r="C148">
        <f>IFERROR(VLOOKUP(A148,observations_series_id_PCU22112222112243_api_key_ecc133893ea92a842ee685c73424608[],2,FALSE),"")</f>
        <v>18.399999999999999</v>
      </c>
      <c r="D148" s="2">
        <f>IFERROR(VLOOKUP(A148,observations_series_id_PCU22112222112243_api_key_ecc133893ea92a842ee685c73424608[],3,FALSE),"")</f>
        <v>5.4347826086956541E-2</v>
      </c>
      <c r="E148" t="str">
        <f>IFERROR(VLOOKUP($A148,observations_series_id_WPU0613020T_api_key_ecc133893ea92a842ee685c734246086_file[],2,FALSE),"")</f>
        <v/>
      </c>
      <c r="F148" s="2" t="str">
        <f>IFERROR(VLOOKUP($A148,observations_series_id_WPU0613020T_api_key_ecc133893ea92a842ee685c734246086_file[],3,FALSE),"")</f>
        <v/>
      </c>
      <c r="G148" t="str">
        <f>IFERROR(VLOOKUP($A148,observations_series_id_PCU22122212_api_key_ecc133893ea92a842ee685c734246086_file[],2,FALSE),"")</f>
        <v/>
      </c>
      <c r="H148" s="2" t="str">
        <f>IFERROR(VLOOKUP($A148,observations_series_id_PCU22122212_api_key_ecc133893ea92a842ee685c734246086_file[],3,FALSE),"")</f>
        <v/>
      </c>
      <c r="I148" t="str">
        <f>IFERROR(VLOOKUP($A148,observations_series_id_PCU3241913241910_api_key_ecc133893ea92a842ee685c734246086[],2,FALSE),"")</f>
        <v/>
      </c>
      <c r="J148" s="2" t="str">
        <f>IFERROR(VLOOKUP($A148,observations_series_id_PCU3241913241910_api_key_ecc133893ea92a842ee685c734246086[],3,FALSE),"")</f>
        <v/>
      </c>
      <c r="K148" t="str">
        <f>IFERROR(VLOOKUP($A148,observations_series_id_EXJPUS_api_key_ecc133893ea92a842ee685c734246086_file_type[],2,FALSE),"")</f>
        <v/>
      </c>
      <c r="L148" s="2" t="str">
        <f>IFERROR(VLOOKUP($A148,observations_series_id_EXJPUS_api_key_ecc133893ea92a842ee685c734246086_file_type[],3,FALSE),"")</f>
        <v/>
      </c>
      <c r="M148" t="str">
        <f>IFERROR(AVERAGEIFS(timeseries_access_key_fqeas14oitk235763mntlb1c0brnk9w3fenzqbk313q5kvxyf52kukw1pa[Value.LME-ZNC],timeseries_access_key_fqeas14oitk235763mntlb1c0brnk9w3fenzqbk313q5kvxyf52kukw1pa[Month],MONTH(Data!$A148),timeseries_access_key_fqeas14oitk235763mntlb1c0brnk9w3fenzqbk313q5kvxyf52kukw1pa[Year],YEAR(Data!$A148)),"")</f>
        <v/>
      </c>
      <c r="N148" s="2" t="str">
        <f>IFERROR(AVERAGEIFS(timeseries_access_key_fqeas14oitk235763mntlb1c0brnk9w3fenzqbk313q5kvxyf52kukw1pa[Column1],timeseries_access_key_fqeas14oitk235763mntlb1c0brnk9w3fenzqbk313q5kvxyf52kukw1pa[Month],MONTH(Data!$A148),timeseries_access_key_fqeas14oitk235763mntlb1c0brnk9w3fenzqbk313q5kvxyf52kukw1pa[Year],YEAR(Data!$A148)),"")</f>
        <v/>
      </c>
      <c r="O148" s="8" t="str">
        <f>IFERROR(VLOOKUP($A148,Text_1_2[[Text.1.1.3]:[Text.1.3]],2,FALSE),"")</f>
        <v/>
      </c>
      <c r="P148" s="2"/>
    </row>
    <row r="149" spans="1:16" x14ac:dyDescent="0.25">
      <c r="A149" s="1">
        <v>25659</v>
      </c>
      <c r="B149" t="str">
        <f>HLOOKUP(Dashboard!$I$27,results,ROW(A149),FALSE)</f>
        <v/>
      </c>
      <c r="C149">
        <f>IFERROR(VLOOKUP(A149,observations_series_id_PCU22112222112243_api_key_ecc133893ea92a842ee685c73424608[],2,FALSE),"")</f>
        <v>18.399999999999999</v>
      </c>
      <c r="D149" s="2">
        <f>IFERROR(VLOOKUP(A149,observations_series_id_PCU22112222112243_api_key_ecc133893ea92a842ee685c73424608[],3,FALSE),"")</f>
        <v>5.4347826086956541E-2</v>
      </c>
      <c r="E149" t="str">
        <f>IFERROR(VLOOKUP($A149,observations_series_id_WPU0613020T_api_key_ecc133893ea92a842ee685c734246086_file[],2,FALSE),"")</f>
        <v/>
      </c>
      <c r="F149" s="2" t="str">
        <f>IFERROR(VLOOKUP($A149,observations_series_id_WPU0613020T_api_key_ecc133893ea92a842ee685c734246086_file[],3,FALSE),"")</f>
        <v/>
      </c>
      <c r="G149" t="str">
        <f>IFERROR(VLOOKUP($A149,observations_series_id_PCU22122212_api_key_ecc133893ea92a842ee685c734246086_file[],2,FALSE),"")</f>
        <v/>
      </c>
      <c r="H149" s="2" t="str">
        <f>IFERROR(VLOOKUP($A149,observations_series_id_PCU22122212_api_key_ecc133893ea92a842ee685c734246086_file[],3,FALSE),"")</f>
        <v/>
      </c>
      <c r="I149" t="str">
        <f>IFERROR(VLOOKUP($A149,observations_series_id_PCU3241913241910_api_key_ecc133893ea92a842ee685c734246086[],2,FALSE),"")</f>
        <v/>
      </c>
      <c r="J149" s="2" t="str">
        <f>IFERROR(VLOOKUP($A149,observations_series_id_PCU3241913241910_api_key_ecc133893ea92a842ee685c734246086[],3,FALSE),"")</f>
        <v/>
      </c>
      <c r="K149" t="str">
        <f>IFERROR(VLOOKUP($A149,observations_series_id_EXJPUS_api_key_ecc133893ea92a842ee685c734246086_file_type[],2,FALSE),"")</f>
        <v/>
      </c>
      <c r="L149" s="2" t="str">
        <f>IFERROR(VLOOKUP($A149,observations_series_id_EXJPUS_api_key_ecc133893ea92a842ee685c734246086_file_type[],3,FALSE),"")</f>
        <v/>
      </c>
      <c r="M149" t="str">
        <f>IFERROR(AVERAGEIFS(timeseries_access_key_fqeas14oitk235763mntlb1c0brnk9w3fenzqbk313q5kvxyf52kukw1pa[Value.LME-ZNC],timeseries_access_key_fqeas14oitk235763mntlb1c0brnk9w3fenzqbk313q5kvxyf52kukw1pa[Month],MONTH(Data!$A149),timeseries_access_key_fqeas14oitk235763mntlb1c0brnk9w3fenzqbk313q5kvxyf52kukw1pa[Year],YEAR(Data!$A149)),"")</f>
        <v/>
      </c>
      <c r="N149" s="2" t="str">
        <f>IFERROR(AVERAGEIFS(timeseries_access_key_fqeas14oitk235763mntlb1c0brnk9w3fenzqbk313q5kvxyf52kukw1pa[Column1],timeseries_access_key_fqeas14oitk235763mntlb1c0brnk9w3fenzqbk313q5kvxyf52kukw1pa[Month],MONTH(Data!$A149),timeseries_access_key_fqeas14oitk235763mntlb1c0brnk9w3fenzqbk313q5kvxyf52kukw1pa[Year],YEAR(Data!$A149)),"")</f>
        <v/>
      </c>
      <c r="O149" s="8" t="str">
        <f>IFERROR(VLOOKUP($A149,Text_1_2[[Text.1.1.3]:[Text.1.3]],2,FALSE),"")</f>
        <v/>
      </c>
      <c r="P149" s="2"/>
    </row>
    <row r="150" spans="1:16" x14ac:dyDescent="0.25">
      <c r="A150" s="1">
        <v>25689</v>
      </c>
      <c r="B150" t="str">
        <f>HLOOKUP(Dashboard!$I$27,results,ROW(A150),FALSE)</f>
        <v/>
      </c>
      <c r="C150">
        <f>IFERROR(VLOOKUP(A150,observations_series_id_PCU22112222112243_api_key_ecc133893ea92a842ee685c73424608[],2,FALSE),"")</f>
        <v>18.600000000000001</v>
      </c>
      <c r="D150" s="2">
        <f>IFERROR(VLOOKUP(A150,observations_series_id_PCU22112222112243_api_key_ecc133893ea92a842ee685c73424608[],3,FALSE),"")</f>
        <v>6.4516129032258229E-2</v>
      </c>
      <c r="E150" t="str">
        <f>IFERROR(VLOOKUP($A150,observations_series_id_WPU0613020T_api_key_ecc133893ea92a842ee685c734246086_file[],2,FALSE),"")</f>
        <v/>
      </c>
      <c r="F150" s="2" t="str">
        <f>IFERROR(VLOOKUP($A150,observations_series_id_WPU0613020T_api_key_ecc133893ea92a842ee685c734246086_file[],3,FALSE),"")</f>
        <v/>
      </c>
      <c r="G150" t="str">
        <f>IFERROR(VLOOKUP($A150,observations_series_id_PCU22122212_api_key_ecc133893ea92a842ee685c734246086_file[],2,FALSE),"")</f>
        <v/>
      </c>
      <c r="H150" s="2" t="str">
        <f>IFERROR(VLOOKUP($A150,observations_series_id_PCU22122212_api_key_ecc133893ea92a842ee685c734246086_file[],3,FALSE),"")</f>
        <v/>
      </c>
      <c r="I150" t="str">
        <f>IFERROR(VLOOKUP($A150,observations_series_id_PCU3241913241910_api_key_ecc133893ea92a842ee685c734246086[],2,FALSE),"")</f>
        <v/>
      </c>
      <c r="J150" s="2" t="str">
        <f>IFERROR(VLOOKUP($A150,observations_series_id_PCU3241913241910_api_key_ecc133893ea92a842ee685c734246086[],3,FALSE),"")</f>
        <v/>
      </c>
      <c r="K150" t="str">
        <f>IFERROR(VLOOKUP($A150,observations_series_id_EXJPUS_api_key_ecc133893ea92a842ee685c734246086_file_type[],2,FALSE),"")</f>
        <v/>
      </c>
      <c r="L150" s="2" t="str">
        <f>IFERROR(VLOOKUP($A150,observations_series_id_EXJPUS_api_key_ecc133893ea92a842ee685c734246086_file_type[],3,FALSE),"")</f>
        <v/>
      </c>
      <c r="M150" t="str">
        <f>IFERROR(AVERAGEIFS(timeseries_access_key_fqeas14oitk235763mntlb1c0brnk9w3fenzqbk313q5kvxyf52kukw1pa[Value.LME-ZNC],timeseries_access_key_fqeas14oitk235763mntlb1c0brnk9w3fenzqbk313q5kvxyf52kukw1pa[Month],MONTH(Data!$A150),timeseries_access_key_fqeas14oitk235763mntlb1c0brnk9w3fenzqbk313q5kvxyf52kukw1pa[Year],YEAR(Data!$A150)),"")</f>
        <v/>
      </c>
      <c r="N150" s="2" t="str">
        <f>IFERROR(AVERAGEIFS(timeseries_access_key_fqeas14oitk235763mntlb1c0brnk9w3fenzqbk313q5kvxyf52kukw1pa[Column1],timeseries_access_key_fqeas14oitk235763mntlb1c0brnk9w3fenzqbk313q5kvxyf52kukw1pa[Month],MONTH(Data!$A150),timeseries_access_key_fqeas14oitk235763mntlb1c0brnk9w3fenzqbk313q5kvxyf52kukw1pa[Year],YEAR(Data!$A150)),"")</f>
        <v/>
      </c>
      <c r="O150" s="8" t="str">
        <f>IFERROR(VLOOKUP($A150,Text_1_2[[Text.1.1.3]:[Text.1.3]],2,FALSE),"")</f>
        <v/>
      </c>
      <c r="P150" s="2"/>
    </row>
    <row r="151" spans="1:16" x14ac:dyDescent="0.25">
      <c r="A151" s="1">
        <v>25720</v>
      </c>
      <c r="B151" t="str">
        <f>HLOOKUP(Dashboard!$I$27,results,ROW(A151),FALSE)</f>
        <v/>
      </c>
      <c r="C151">
        <f>IFERROR(VLOOKUP(A151,observations_series_id_PCU22112222112243_api_key_ecc133893ea92a842ee685c73424608[],2,FALSE),"")</f>
        <v>18.7</v>
      </c>
      <c r="D151" s="2">
        <f>IFERROR(VLOOKUP(A151,observations_series_id_PCU22112222112243_api_key_ecc133893ea92a842ee685c73424608[],3,FALSE),"")</f>
        <v>6.9518716577540163E-2</v>
      </c>
      <c r="E151" t="str">
        <f>IFERROR(VLOOKUP($A151,observations_series_id_WPU0613020T_api_key_ecc133893ea92a842ee685c734246086_file[],2,FALSE),"")</f>
        <v/>
      </c>
      <c r="F151" s="2" t="str">
        <f>IFERROR(VLOOKUP($A151,observations_series_id_WPU0613020T_api_key_ecc133893ea92a842ee685c734246086_file[],3,FALSE),"")</f>
        <v/>
      </c>
      <c r="G151" t="str">
        <f>IFERROR(VLOOKUP($A151,observations_series_id_PCU22122212_api_key_ecc133893ea92a842ee685c734246086_file[],2,FALSE),"")</f>
        <v/>
      </c>
      <c r="H151" s="2" t="str">
        <f>IFERROR(VLOOKUP($A151,observations_series_id_PCU22122212_api_key_ecc133893ea92a842ee685c734246086_file[],3,FALSE),"")</f>
        <v/>
      </c>
      <c r="I151" t="str">
        <f>IFERROR(VLOOKUP($A151,observations_series_id_PCU3241913241910_api_key_ecc133893ea92a842ee685c734246086[],2,FALSE),"")</f>
        <v/>
      </c>
      <c r="J151" s="2" t="str">
        <f>IFERROR(VLOOKUP($A151,observations_series_id_PCU3241913241910_api_key_ecc133893ea92a842ee685c734246086[],3,FALSE),"")</f>
        <v/>
      </c>
      <c r="K151" t="str">
        <f>IFERROR(VLOOKUP($A151,observations_series_id_EXJPUS_api_key_ecc133893ea92a842ee685c734246086_file_type[],2,FALSE),"")</f>
        <v/>
      </c>
      <c r="L151" s="2" t="str">
        <f>IFERROR(VLOOKUP($A151,observations_series_id_EXJPUS_api_key_ecc133893ea92a842ee685c734246086_file_type[],3,FALSE),"")</f>
        <v/>
      </c>
      <c r="M151" t="str">
        <f>IFERROR(AVERAGEIFS(timeseries_access_key_fqeas14oitk235763mntlb1c0brnk9w3fenzqbk313q5kvxyf52kukw1pa[Value.LME-ZNC],timeseries_access_key_fqeas14oitk235763mntlb1c0brnk9w3fenzqbk313q5kvxyf52kukw1pa[Month],MONTH(Data!$A151),timeseries_access_key_fqeas14oitk235763mntlb1c0brnk9w3fenzqbk313q5kvxyf52kukw1pa[Year],YEAR(Data!$A151)),"")</f>
        <v/>
      </c>
      <c r="N151" s="2" t="str">
        <f>IFERROR(AVERAGEIFS(timeseries_access_key_fqeas14oitk235763mntlb1c0brnk9w3fenzqbk313q5kvxyf52kukw1pa[Column1],timeseries_access_key_fqeas14oitk235763mntlb1c0brnk9w3fenzqbk313q5kvxyf52kukw1pa[Month],MONTH(Data!$A151),timeseries_access_key_fqeas14oitk235763mntlb1c0brnk9w3fenzqbk313q5kvxyf52kukw1pa[Year],YEAR(Data!$A151)),"")</f>
        <v/>
      </c>
      <c r="O151" s="8" t="str">
        <f>IFERROR(VLOOKUP($A151,Text_1_2[[Text.1.1.3]:[Text.1.3]],2,FALSE),"")</f>
        <v/>
      </c>
      <c r="P151" s="2"/>
    </row>
    <row r="152" spans="1:16" x14ac:dyDescent="0.25">
      <c r="A152" s="1">
        <v>25750</v>
      </c>
      <c r="B152" t="str">
        <f>HLOOKUP(Dashboard!$I$27,results,ROW(A152),FALSE)</f>
        <v/>
      </c>
      <c r="C152">
        <f>IFERROR(VLOOKUP(A152,observations_series_id_PCU22112222112243_api_key_ecc133893ea92a842ee685c73424608[],2,FALSE),"")</f>
        <v>19</v>
      </c>
      <c r="D152" s="2">
        <f>IFERROR(VLOOKUP(A152,observations_series_id_PCU22112222112243_api_key_ecc133893ea92a842ee685c73424608[],3,FALSE),"")</f>
        <v>8.4210526315789513E-2</v>
      </c>
      <c r="E152" t="str">
        <f>IFERROR(VLOOKUP($A152,observations_series_id_WPU0613020T_api_key_ecc133893ea92a842ee685c734246086_file[],2,FALSE),"")</f>
        <v/>
      </c>
      <c r="F152" s="2" t="str">
        <f>IFERROR(VLOOKUP($A152,observations_series_id_WPU0613020T_api_key_ecc133893ea92a842ee685c734246086_file[],3,FALSE),"")</f>
        <v/>
      </c>
      <c r="G152" t="str">
        <f>IFERROR(VLOOKUP($A152,observations_series_id_PCU22122212_api_key_ecc133893ea92a842ee685c734246086_file[],2,FALSE),"")</f>
        <v/>
      </c>
      <c r="H152" s="2" t="str">
        <f>IFERROR(VLOOKUP($A152,observations_series_id_PCU22122212_api_key_ecc133893ea92a842ee685c734246086_file[],3,FALSE),"")</f>
        <v/>
      </c>
      <c r="I152" t="str">
        <f>IFERROR(VLOOKUP($A152,observations_series_id_PCU3241913241910_api_key_ecc133893ea92a842ee685c734246086[],2,FALSE),"")</f>
        <v/>
      </c>
      <c r="J152" s="2" t="str">
        <f>IFERROR(VLOOKUP($A152,observations_series_id_PCU3241913241910_api_key_ecc133893ea92a842ee685c734246086[],3,FALSE),"")</f>
        <v/>
      </c>
      <c r="K152" t="str">
        <f>IFERROR(VLOOKUP($A152,observations_series_id_EXJPUS_api_key_ecc133893ea92a842ee685c734246086_file_type[],2,FALSE),"")</f>
        <v/>
      </c>
      <c r="L152" s="2" t="str">
        <f>IFERROR(VLOOKUP($A152,observations_series_id_EXJPUS_api_key_ecc133893ea92a842ee685c734246086_file_type[],3,FALSE),"")</f>
        <v/>
      </c>
      <c r="M152" t="str">
        <f>IFERROR(AVERAGEIFS(timeseries_access_key_fqeas14oitk235763mntlb1c0brnk9w3fenzqbk313q5kvxyf52kukw1pa[Value.LME-ZNC],timeseries_access_key_fqeas14oitk235763mntlb1c0brnk9w3fenzqbk313q5kvxyf52kukw1pa[Month],MONTH(Data!$A152),timeseries_access_key_fqeas14oitk235763mntlb1c0brnk9w3fenzqbk313q5kvxyf52kukw1pa[Year],YEAR(Data!$A152)),"")</f>
        <v/>
      </c>
      <c r="N152" s="2" t="str">
        <f>IFERROR(AVERAGEIFS(timeseries_access_key_fqeas14oitk235763mntlb1c0brnk9w3fenzqbk313q5kvxyf52kukw1pa[Column1],timeseries_access_key_fqeas14oitk235763mntlb1c0brnk9w3fenzqbk313q5kvxyf52kukw1pa[Month],MONTH(Data!$A152),timeseries_access_key_fqeas14oitk235763mntlb1c0brnk9w3fenzqbk313q5kvxyf52kukw1pa[Year],YEAR(Data!$A152)),"")</f>
        <v/>
      </c>
      <c r="O152" s="8" t="str">
        <f>IFERROR(VLOOKUP($A152,Text_1_2[[Text.1.1.3]:[Text.1.3]],2,FALSE),"")</f>
        <v/>
      </c>
      <c r="P152" s="2"/>
    </row>
    <row r="153" spans="1:16" x14ac:dyDescent="0.25">
      <c r="A153" s="1">
        <v>25781</v>
      </c>
      <c r="B153" t="str">
        <f>HLOOKUP(Dashboard!$I$27,results,ROW(A153),FALSE)</f>
        <v/>
      </c>
      <c r="C153">
        <f>IFERROR(VLOOKUP(A153,observations_series_id_PCU22112222112243_api_key_ecc133893ea92a842ee685c73424608[],2,FALSE),"")</f>
        <v>19</v>
      </c>
      <c r="D153" s="2">
        <f>IFERROR(VLOOKUP(A153,observations_series_id_PCU22112222112243_api_key_ecc133893ea92a842ee685c73424608[],3,FALSE),"")</f>
        <v>8.4210526315789513E-2</v>
      </c>
      <c r="E153" t="str">
        <f>IFERROR(VLOOKUP($A153,observations_series_id_WPU0613020T_api_key_ecc133893ea92a842ee685c734246086_file[],2,FALSE),"")</f>
        <v/>
      </c>
      <c r="F153" s="2" t="str">
        <f>IFERROR(VLOOKUP($A153,observations_series_id_WPU0613020T_api_key_ecc133893ea92a842ee685c734246086_file[],3,FALSE),"")</f>
        <v/>
      </c>
      <c r="G153" t="str">
        <f>IFERROR(VLOOKUP($A153,observations_series_id_PCU22122212_api_key_ecc133893ea92a842ee685c734246086_file[],2,FALSE),"")</f>
        <v/>
      </c>
      <c r="H153" s="2" t="str">
        <f>IFERROR(VLOOKUP($A153,observations_series_id_PCU22122212_api_key_ecc133893ea92a842ee685c734246086_file[],3,FALSE),"")</f>
        <v/>
      </c>
      <c r="I153" t="str">
        <f>IFERROR(VLOOKUP($A153,observations_series_id_PCU3241913241910_api_key_ecc133893ea92a842ee685c734246086[],2,FALSE),"")</f>
        <v/>
      </c>
      <c r="J153" s="2" t="str">
        <f>IFERROR(VLOOKUP($A153,observations_series_id_PCU3241913241910_api_key_ecc133893ea92a842ee685c734246086[],3,FALSE),"")</f>
        <v/>
      </c>
      <c r="K153" t="str">
        <f>IFERROR(VLOOKUP($A153,observations_series_id_EXJPUS_api_key_ecc133893ea92a842ee685c734246086_file_type[],2,FALSE),"")</f>
        <v/>
      </c>
      <c r="L153" s="2" t="str">
        <f>IFERROR(VLOOKUP($A153,observations_series_id_EXJPUS_api_key_ecc133893ea92a842ee685c734246086_file_type[],3,FALSE),"")</f>
        <v/>
      </c>
      <c r="M153" t="str">
        <f>IFERROR(AVERAGEIFS(timeseries_access_key_fqeas14oitk235763mntlb1c0brnk9w3fenzqbk313q5kvxyf52kukw1pa[Value.LME-ZNC],timeseries_access_key_fqeas14oitk235763mntlb1c0brnk9w3fenzqbk313q5kvxyf52kukw1pa[Month],MONTH(Data!$A153),timeseries_access_key_fqeas14oitk235763mntlb1c0brnk9w3fenzqbk313q5kvxyf52kukw1pa[Year],YEAR(Data!$A153)),"")</f>
        <v/>
      </c>
      <c r="N153" s="2" t="str">
        <f>IFERROR(AVERAGEIFS(timeseries_access_key_fqeas14oitk235763mntlb1c0brnk9w3fenzqbk313q5kvxyf52kukw1pa[Column1],timeseries_access_key_fqeas14oitk235763mntlb1c0brnk9w3fenzqbk313q5kvxyf52kukw1pa[Month],MONTH(Data!$A153),timeseries_access_key_fqeas14oitk235763mntlb1c0brnk9w3fenzqbk313q5kvxyf52kukw1pa[Year],YEAR(Data!$A153)),"")</f>
        <v/>
      </c>
      <c r="O153" s="8" t="str">
        <f>IFERROR(VLOOKUP($A153,Text_1_2[[Text.1.1.3]:[Text.1.3]],2,FALSE),"")</f>
        <v/>
      </c>
      <c r="P153" s="2"/>
    </row>
    <row r="154" spans="1:16" x14ac:dyDescent="0.25">
      <c r="A154" s="1">
        <v>25812</v>
      </c>
      <c r="B154" t="str">
        <f>HLOOKUP(Dashboard!$I$27,results,ROW(A154),FALSE)</f>
        <v/>
      </c>
      <c r="C154">
        <f>IFERROR(VLOOKUP(A154,observations_series_id_PCU22112222112243_api_key_ecc133893ea92a842ee685c73424608[],2,FALSE),"")</f>
        <v>19.3</v>
      </c>
      <c r="D154" s="2">
        <f>IFERROR(VLOOKUP(A154,observations_series_id_PCU22112222112243_api_key_ecc133893ea92a842ee685c73424608[],3,FALSE),"")</f>
        <v>9.8445595854922407E-2</v>
      </c>
      <c r="E154" t="str">
        <f>IFERROR(VLOOKUP($A154,observations_series_id_WPU0613020T_api_key_ecc133893ea92a842ee685c734246086_file[],2,FALSE),"")</f>
        <v/>
      </c>
      <c r="F154" s="2" t="str">
        <f>IFERROR(VLOOKUP($A154,observations_series_id_WPU0613020T_api_key_ecc133893ea92a842ee685c734246086_file[],3,FALSE),"")</f>
        <v/>
      </c>
      <c r="G154" t="str">
        <f>IFERROR(VLOOKUP($A154,observations_series_id_PCU22122212_api_key_ecc133893ea92a842ee685c734246086_file[],2,FALSE),"")</f>
        <v/>
      </c>
      <c r="H154" s="2" t="str">
        <f>IFERROR(VLOOKUP($A154,observations_series_id_PCU22122212_api_key_ecc133893ea92a842ee685c734246086_file[],3,FALSE),"")</f>
        <v/>
      </c>
      <c r="I154" t="str">
        <f>IFERROR(VLOOKUP($A154,observations_series_id_PCU3241913241910_api_key_ecc133893ea92a842ee685c734246086[],2,FALSE),"")</f>
        <v/>
      </c>
      <c r="J154" s="2" t="str">
        <f>IFERROR(VLOOKUP($A154,observations_series_id_PCU3241913241910_api_key_ecc133893ea92a842ee685c734246086[],3,FALSE),"")</f>
        <v/>
      </c>
      <c r="K154" t="str">
        <f>IFERROR(VLOOKUP($A154,observations_series_id_EXJPUS_api_key_ecc133893ea92a842ee685c734246086_file_type[],2,FALSE),"")</f>
        <v/>
      </c>
      <c r="L154" s="2" t="str">
        <f>IFERROR(VLOOKUP($A154,observations_series_id_EXJPUS_api_key_ecc133893ea92a842ee685c734246086_file_type[],3,FALSE),"")</f>
        <v/>
      </c>
      <c r="M154" t="str">
        <f>IFERROR(AVERAGEIFS(timeseries_access_key_fqeas14oitk235763mntlb1c0brnk9w3fenzqbk313q5kvxyf52kukw1pa[Value.LME-ZNC],timeseries_access_key_fqeas14oitk235763mntlb1c0brnk9w3fenzqbk313q5kvxyf52kukw1pa[Month],MONTH(Data!$A154),timeseries_access_key_fqeas14oitk235763mntlb1c0brnk9w3fenzqbk313q5kvxyf52kukw1pa[Year],YEAR(Data!$A154)),"")</f>
        <v/>
      </c>
      <c r="N154" s="2" t="str">
        <f>IFERROR(AVERAGEIFS(timeseries_access_key_fqeas14oitk235763mntlb1c0brnk9w3fenzqbk313q5kvxyf52kukw1pa[Column1],timeseries_access_key_fqeas14oitk235763mntlb1c0brnk9w3fenzqbk313q5kvxyf52kukw1pa[Month],MONTH(Data!$A154),timeseries_access_key_fqeas14oitk235763mntlb1c0brnk9w3fenzqbk313q5kvxyf52kukw1pa[Year],YEAR(Data!$A154)),"")</f>
        <v/>
      </c>
      <c r="O154" s="8" t="str">
        <f>IFERROR(VLOOKUP($A154,Text_1_2[[Text.1.1.3]:[Text.1.3]],2,FALSE),"")</f>
        <v/>
      </c>
      <c r="P154" s="2"/>
    </row>
    <row r="155" spans="1:16" x14ac:dyDescent="0.25">
      <c r="A155" s="1">
        <v>25842</v>
      </c>
      <c r="B155" t="str">
        <f>HLOOKUP(Dashboard!$I$27,results,ROW(A155),FALSE)</f>
        <v/>
      </c>
      <c r="C155">
        <f>IFERROR(VLOOKUP(A155,observations_series_id_PCU22112222112243_api_key_ecc133893ea92a842ee685c73424608[],2,FALSE),"")</f>
        <v>19.399999999999999</v>
      </c>
      <c r="D155" s="2">
        <f>IFERROR(VLOOKUP(A155,observations_series_id_PCU22112222112243_api_key_ecc133893ea92a842ee685c73424608[],3,FALSE),"")</f>
        <v>0.10309278350515461</v>
      </c>
      <c r="E155" t="str">
        <f>IFERROR(VLOOKUP($A155,observations_series_id_WPU0613020T_api_key_ecc133893ea92a842ee685c734246086_file[],2,FALSE),"")</f>
        <v/>
      </c>
      <c r="F155" s="2" t="str">
        <f>IFERROR(VLOOKUP($A155,observations_series_id_WPU0613020T_api_key_ecc133893ea92a842ee685c734246086_file[],3,FALSE),"")</f>
        <v/>
      </c>
      <c r="G155" t="str">
        <f>IFERROR(VLOOKUP($A155,observations_series_id_PCU22122212_api_key_ecc133893ea92a842ee685c734246086_file[],2,FALSE),"")</f>
        <v/>
      </c>
      <c r="H155" s="2" t="str">
        <f>IFERROR(VLOOKUP($A155,observations_series_id_PCU22122212_api_key_ecc133893ea92a842ee685c734246086_file[],3,FALSE),"")</f>
        <v/>
      </c>
      <c r="I155" t="str">
        <f>IFERROR(VLOOKUP($A155,observations_series_id_PCU3241913241910_api_key_ecc133893ea92a842ee685c734246086[],2,FALSE),"")</f>
        <v/>
      </c>
      <c r="J155" s="2" t="str">
        <f>IFERROR(VLOOKUP($A155,observations_series_id_PCU3241913241910_api_key_ecc133893ea92a842ee685c734246086[],3,FALSE),"")</f>
        <v/>
      </c>
      <c r="K155" t="str">
        <f>IFERROR(VLOOKUP($A155,observations_series_id_EXJPUS_api_key_ecc133893ea92a842ee685c734246086_file_type[],2,FALSE),"")</f>
        <v/>
      </c>
      <c r="L155" s="2" t="str">
        <f>IFERROR(VLOOKUP($A155,observations_series_id_EXJPUS_api_key_ecc133893ea92a842ee685c734246086_file_type[],3,FALSE),"")</f>
        <v/>
      </c>
      <c r="M155" t="str">
        <f>IFERROR(AVERAGEIFS(timeseries_access_key_fqeas14oitk235763mntlb1c0brnk9w3fenzqbk313q5kvxyf52kukw1pa[Value.LME-ZNC],timeseries_access_key_fqeas14oitk235763mntlb1c0brnk9w3fenzqbk313q5kvxyf52kukw1pa[Month],MONTH(Data!$A155),timeseries_access_key_fqeas14oitk235763mntlb1c0brnk9w3fenzqbk313q5kvxyf52kukw1pa[Year],YEAR(Data!$A155)),"")</f>
        <v/>
      </c>
      <c r="N155" s="2" t="str">
        <f>IFERROR(AVERAGEIFS(timeseries_access_key_fqeas14oitk235763mntlb1c0brnk9w3fenzqbk313q5kvxyf52kukw1pa[Column1],timeseries_access_key_fqeas14oitk235763mntlb1c0brnk9w3fenzqbk313q5kvxyf52kukw1pa[Month],MONTH(Data!$A155),timeseries_access_key_fqeas14oitk235763mntlb1c0brnk9w3fenzqbk313q5kvxyf52kukw1pa[Year],YEAR(Data!$A155)),"")</f>
        <v/>
      </c>
      <c r="O155" s="8" t="str">
        <f>IFERROR(VLOOKUP($A155,Text_1_2[[Text.1.1.3]:[Text.1.3]],2,FALSE),"")</f>
        <v/>
      </c>
      <c r="P155" s="2"/>
    </row>
    <row r="156" spans="1:16" x14ac:dyDescent="0.25">
      <c r="A156" s="1">
        <v>25873</v>
      </c>
      <c r="B156" t="str">
        <f>HLOOKUP(Dashboard!$I$27,results,ROW(A156),FALSE)</f>
        <v/>
      </c>
      <c r="C156">
        <f>IFERROR(VLOOKUP(A156,observations_series_id_PCU22112222112243_api_key_ecc133893ea92a842ee685c73424608[],2,FALSE),"")</f>
        <v>19.5</v>
      </c>
      <c r="D156" s="2">
        <f>IFERROR(VLOOKUP(A156,observations_series_id_PCU22112222112243_api_key_ecc133893ea92a842ee685c73424608[],3,FALSE),"")</f>
        <v>0.10769230769230775</v>
      </c>
      <c r="E156" t="str">
        <f>IFERROR(VLOOKUP($A156,observations_series_id_WPU0613020T_api_key_ecc133893ea92a842ee685c734246086_file[],2,FALSE),"")</f>
        <v/>
      </c>
      <c r="F156" s="2" t="str">
        <f>IFERROR(VLOOKUP($A156,observations_series_id_WPU0613020T_api_key_ecc133893ea92a842ee685c734246086_file[],3,FALSE),"")</f>
        <v/>
      </c>
      <c r="G156" t="str">
        <f>IFERROR(VLOOKUP($A156,observations_series_id_PCU22122212_api_key_ecc133893ea92a842ee685c734246086_file[],2,FALSE),"")</f>
        <v/>
      </c>
      <c r="H156" s="2" t="str">
        <f>IFERROR(VLOOKUP($A156,observations_series_id_PCU22122212_api_key_ecc133893ea92a842ee685c734246086_file[],3,FALSE),"")</f>
        <v/>
      </c>
      <c r="I156" t="str">
        <f>IFERROR(VLOOKUP($A156,observations_series_id_PCU3241913241910_api_key_ecc133893ea92a842ee685c734246086[],2,FALSE),"")</f>
        <v/>
      </c>
      <c r="J156" s="2" t="str">
        <f>IFERROR(VLOOKUP($A156,observations_series_id_PCU3241913241910_api_key_ecc133893ea92a842ee685c734246086[],3,FALSE),"")</f>
        <v/>
      </c>
      <c r="K156" t="str">
        <f>IFERROR(VLOOKUP($A156,observations_series_id_EXJPUS_api_key_ecc133893ea92a842ee685c734246086_file_type[],2,FALSE),"")</f>
        <v/>
      </c>
      <c r="L156" s="2" t="str">
        <f>IFERROR(VLOOKUP($A156,observations_series_id_EXJPUS_api_key_ecc133893ea92a842ee685c734246086_file_type[],3,FALSE),"")</f>
        <v/>
      </c>
      <c r="M156" t="str">
        <f>IFERROR(AVERAGEIFS(timeseries_access_key_fqeas14oitk235763mntlb1c0brnk9w3fenzqbk313q5kvxyf52kukw1pa[Value.LME-ZNC],timeseries_access_key_fqeas14oitk235763mntlb1c0brnk9w3fenzqbk313q5kvxyf52kukw1pa[Month],MONTH(Data!$A156),timeseries_access_key_fqeas14oitk235763mntlb1c0brnk9w3fenzqbk313q5kvxyf52kukw1pa[Year],YEAR(Data!$A156)),"")</f>
        <v/>
      </c>
      <c r="N156" s="2" t="str">
        <f>IFERROR(AVERAGEIFS(timeseries_access_key_fqeas14oitk235763mntlb1c0brnk9w3fenzqbk313q5kvxyf52kukw1pa[Column1],timeseries_access_key_fqeas14oitk235763mntlb1c0brnk9w3fenzqbk313q5kvxyf52kukw1pa[Month],MONTH(Data!$A156),timeseries_access_key_fqeas14oitk235763mntlb1c0brnk9w3fenzqbk313q5kvxyf52kukw1pa[Year],YEAR(Data!$A156)),"")</f>
        <v/>
      </c>
      <c r="O156" s="8" t="str">
        <f>IFERROR(VLOOKUP($A156,Text_1_2[[Text.1.1.3]:[Text.1.3]],2,FALSE),"")</f>
        <v/>
      </c>
      <c r="P156" s="2"/>
    </row>
    <row r="157" spans="1:16" x14ac:dyDescent="0.25">
      <c r="A157" s="1">
        <v>25903</v>
      </c>
      <c r="B157" t="str">
        <f>HLOOKUP(Dashboard!$I$27,results,ROW(A157),FALSE)</f>
        <v/>
      </c>
      <c r="C157">
        <f>IFERROR(VLOOKUP(A157,observations_series_id_PCU22112222112243_api_key_ecc133893ea92a842ee685c73424608[],2,FALSE),"")</f>
        <v>19.899999999999999</v>
      </c>
      <c r="D157" s="2">
        <f>IFERROR(VLOOKUP(A157,observations_series_id_PCU22112222112243_api_key_ecc133893ea92a842ee685c73424608[],3,FALSE),"")</f>
        <v>0.12562814070351758</v>
      </c>
      <c r="E157" t="str">
        <f>IFERROR(VLOOKUP($A157,observations_series_id_WPU0613020T_api_key_ecc133893ea92a842ee685c734246086_file[],2,FALSE),"")</f>
        <v/>
      </c>
      <c r="F157" s="2" t="str">
        <f>IFERROR(VLOOKUP($A157,observations_series_id_WPU0613020T_api_key_ecc133893ea92a842ee685c734246086_file[],3,FALSE),"")</f>
        <v/>
      </c>
      <c r="G157" t="str">
        <f>IFERROR(VLOOKUP($A157,observations_series_id_PCU22122212_api_key_ecc133893ea92a842ee685c734246086_file[],2,FALSE),"")</f>
        <v/>
      </c>
      <c r="H157" s="2" t="str">
        <f>IFERROR(VLOOKUP($A157,observations_series_id_PCU22122212_api_key_ecc133893ea92a842ee685c734246086_file[],3,FALSE),"")</f>
        <v/>
      </c>
      <c r="I157" t="str">
        <f>IFERROR(VLOOKUP($A157,observations_series_id_PCU3241913241910_api_key_ecc133893ea92a842ee685c734246086[],2,FALSE),"")</f>
        <v/>
      </c>
      <c r="J157" s="2" t="str">
        <f>IFERROR(VLOOKUP($A157,observations_series_id_PCU3241913241910_api_key_ecc133893ea92a842ee685c734246086[],3,FALSE),"")</f>
        <v/>
      </c>
      <c r="K157" t="str">
        <f>IFERROR(VLOOKUP($A157,observations_series_id_EXJPUS_api_key_ecc133893ea92a842ee685c734246086_file_type[],2,FALSE),"")</f>
        <v/>
      </c>
      <c r="L157" s="2" t="str">
        <f>IFERROR(VLOOKUP($A157,observations_series_id_EXJPUS_api_key_ecc133893ea92a842ee685c734246086_file_type[],3,FALSE),"")</f>
        <v/>
      </c>
      <c r="M157" t="str">
        <f>IFERROR(AVERAGEIFS(timeseries_access_key_fqeas14oitk235763mntlb1c0brnk9w3fenzqbk313q5kvxyf52kukw1pa[Value.LME-ZNC],timeseries_access_key_fqeas14oitk235763mntlb1c0brnk9w3fenzqbk313q5kvxyf52kukw1pa[Month],MONTH(Data!$A157),timeseries_access_key_fqeas14oitk235763mntlb1c0brnk9w3fenzqbk313q5kvxyf52kukw1pa[Year],YEAR(Data!$A157)),"")</f>
        <v/>
      </c>
      <c r="N157" s="2" t="str">
        <f>IFERROR(AVERAGEIFS(timeseries_access_key_fqeas14oitk235763mntlb1c0brnk9w3fenzqbk313q5kvxyf52kukw1pa[Column1],timeseries_access_key_fqeas14oitk235763mntlb1c0brnk9w3fenzqbk313q5kvxyf52kukw1pa[Month],MONTH(Data!$A157),timeseries_access_key_fqeas14oitk235763mntlb1c0brnk9w3fenzqbk313q5kvxyf52kukw1pa[Year],YEAR(Data!$A157)),"")</f>
        <v/>
      </c>
      <c r="O157" s="8" t="str">
        <f>IFERROR(VLOOKUP($A157,Text_1_2[[Text.1.1.3]:[Text.1.3]],2,FALSE),"")</f>
        <v/>
      </c>
      <c r="P157" s="2"/>
    </row>
    <row r="158" spans="1:16" x14ac:dyDescent="0.25">
      <c r="A158" s="1">
        <v>25934</v>
      </c>
      <c r="B158" t="str">
        <f>HLOOKUP(Dashboard!$I$27,results,ROW(A158),FALSE)</f>
        <v/>
      </c>
      <c r="C158">
        <f>IFERROR(VLOOKUP(A158,observations_series_id_PCU22112222112243_api_key_ecc133893ea92a842ee685c73424608[],2,FALSE),"")</f>
        <v>20</v>
      </c>
      <c r="D158" s="2">
        <f>IFERROR(VLOOKUP(A158,observations_series_id_PCU22112222112243_api_key_ecc133893ea92a842ee685c73424608[],3,FALSE),"")</f>
        <v>0.13000000000000012</v>
      </c>
      <c r="E158" t="str">
        <f>IFERROR(VLOOKUP($A158,observations_series_id_WPU0613020T_api_key_ecc133893ea92a842ee685c734246086_file[],2,FALSE),"")</f>
        <v/>
      </c>
      <c r="F158" s="2" t="str">
        <f>IFERROR(VLOOKUP($A158,observations_series_id_WPU0613020T_api_key_ecc133893ea92a842ee685c734246086_file[],3,FALSE),"")</f>
        <v/>
      </c>
      <c r="G158" t="str">
        <f>IFERROR(VLOOKUP($A158,observations_series_id_PCU22122212_api_key_ecc133893ea92a842ee685c734246086_file[],2,FALSE),"")</f>
        <v/>
      </c>
      <c r="H158" s="2" t="str">
        <f>IFERROR(VLOOKUP($A158,observations_series_id_PCU22122212_api_key_ecc133893ea92a842ee685c734246086_file[],3,FALSE),"")</f>
        <v/>
      </c>
      <c r="I158" t="str">
        <f>IFERROR(VLOOKUP($A158,observations_series_id_PCU3241913241910_api_key_ecc133893ea92a842ee685c734246086[],2,FALSE),"")</f>
        <v/>
      </c>
      <c r="J158" s="2" t="str">
        <f>IFERROR(VLOOKUP($A158,observations_series_id_PCU3241913241910_api_key_ecc133893ea92a842ee685c734246086[],3,FALSE),"")</f>
        <v/>
      </c>
      <c r="K158">
        <f>IFERROR(VLOOKUP($A158,observations_series_id_EXJPUS_api_key_ecc133893ea92a842ee685c734246086_file_type[],2,FALSE),"")</f>
        <v>358.02</v>
      </c>
      <c r="L158" s="2">
        <f>IFERROR(VLOOKUP($A158,observations_series_id_EXJPUS_api_key_ecc133893ea92a842ee685c734246086_file_type[],3,FALSE),"")</f>
        <v>0</v>
      </c>
      <c r="M158" t="str">
        <f>IFERROR(AVERAGEIFS(timeseries_access_key_fqeas14oitk235763mntlb1c0brnk9w3fenzqbk313q5kvxyf52kukw1pa[Value.LME-ZNC],timeseries_access_key_fqeas14oitk235763mntlb1c0brnk9w3fenzqbk313q5kvxyf52kukw1pa[Month],MONTH(Data!$A158),timeseries_access_key_fqeas14oitk235763mntlb1c0brnk9w3fenzqbk313q5kvxyf52kukw1pa[Year],YEAR(Data!$A158)),"")</f>
        <v/>
      </c>
      <c r="N158" s="2" t="str">
        <f>IFERROR(AVERAGEIFS(timeseries_access_key_fqeas14oitk235763mntlb1c0brnk9w3fenzqbk313q5kvxyf52kukw1pa[Column1],timeseries_access_key_fqeas14oitk235763mntlb1c0brnk9w3fenzqbk313q5kvxyf52kukw1pa[Month],MONTH(Data!$A158),timeseries_access_key_fqeas14oitk235763mntlb1c0brnk9w3fenzqbk313q5kvxyf52kukw1pa[Year],YEAR(Data!$A158)),"")</f>
        <v/>
      </c>
      <c r="O158" s="8" t="str">
        <f>IFERROR(VLOOKUP($A158,Text_1_2[[Text.1.1.3]:[Text.1.3]],2,FALSE),"")</f>
        <v/>
      </c>
      <c r="P158" s="2"/>
    </row>
    <row r="159" spans="1:16" x14ac:dyDescent="0.25">
      <c r="A159" s="1">
        <v>25965</v>
      </c>
      <c r="B159" t="str">
        <f>HLOOKUP(Dashboard!$I$27,results,ROW(A159),FALSE)</f>
        <v/>
      </c>
      <c r="C159">
        <f>IFERROR(VLOOKUP(A159,observations_series_id_PCU22112222112243_api_key_ecc133893ea92a842ee685c73424608[],2,FALSE),"")</f>
        <v>20.2</v>
      </c>
      <c r="D159" s="2">
        <f>IFERROR(VLOOKUP(A159,observations_series_id_PCU22112222112243_api_key_ecc133893ea92a842ee685c73424608[],3,FALSE),"")</f>
        <v>0.13861386138613863</v>
      </c>
      <c r="E159" t="str">
        <f>IFERROR(VLOOKUP($A159,observations_series_id_WPU0613020T_api_key_ecc133893ea92a842ee685c734246086_file[],2,FALSE),"")</f>
        <v/>
      </c>
      <c r="F159" s="2" t="str">
        <f>IFERROR(VLOOKUP($A159,observations_series_id_WPU0613020T_api_key_ecc133893ea92a842ee685c734246086_file[],3,FALSE),"")</f>
        <v/>
      </c>
      <c r="G159" t="str">
        <f>IFERROR(VLOOKUP($A159,observations_series_id_PCU22122212_api_key_ecc133893ea92a842ee685c734246086_file[],2,FALSE),"")</f>
        <v/>
      </c>
      <c r="H159" s="2" t="str">
        <f>IFERROR(VLOOKUP($A159,observations_series_id_PCU22122212_api_key_ecc133893ea92a842ee685c734246086_file[],3,FALSE),"")</f>
        <v/>
      </c>
      <c r="I159" t="str">
        <f>IFERROR(VLOOKUP($A159,observations_series_id_PCU3241913241910_api_key_ecc133893ea92a842ee685c734246086[],2,FALSE),"")</f>
        <v/>
      </c>
      <c r="J159" s="2" t="str">
        <f>IFERROR(VLOOKUP($A159,observations_series_id_PCU3241913241910_api_key_ecc133893ea92a842ee685c734246086[],3,FALSE),"")</f>
        <v/>
      </c>
      <c r="K159">
        <f>IFERROR(VLOOKUP($A159,observations_series_id_EXJPUS_api_key_ecc133893ea92a842ee685c734246086_file_type[],2,FALSE),"")</f>
        <v>357.54500000000002</v>
      </c>
      <c r="L159" s="2">
        <f>IFERROR(VLOOKUP($A159,observations_series_id_EXJPUS_api_key_ecc133893ea92a842ee685c734246086_file_type[],3,FALSE),"")</f>
        <v>-1.3285041043784585E-3</v>
      </c>
      <c r="M159" t="str">
        <f>IFERROR(AVERAGEIFS(timeseries_access_key_fqeas14oitk235763mntlb1c0brnk9w3fenzqbk313q5kvxyf52kukw1pa[Value.LME-ZNC],timeseries_access_key_fqeas14oitk235763mntlb1c0brnk9w3fenzqbk313q5kvxyf52kukw1pa[Month],MONTH(Data!$A159),timeseries_access_key_fqeas14oitk235763mntlb1c0brnk9w3fenzqbk313q5kvxyf52kukw1pa[Year],YEAR(Data!$A159)),"")</f>
        <v/>
      </c>
      <c r="N159" s="2" t="str">
        <f>IFERROR(AVERAGEIFS(timeseries_access_key_fqeas14oitk235763mntlb1c0brnk9w3fenzqbk313q5kvxyf52kukw1pa[Column1],timeseries_access_key_fqeas14oitk235763mntlb1c0brnk9w3fenzqbk313q5kvxyf52kukw1pa[Month],MONTH(Data!$A159),timeseries_access_key_fqeas14oitk235763mntlb1c0brnk9w3fenzqbk313q5kvxyf52kukw1pa[Year],YEAR(Data!$A159)),"")</f>
        <v/>
      </c>
      <c r="O159" s="8" t="str">
        <f>IFERROR(VLOOKUP($A159,Text_1_2[[Text.1.1.3]:[Text.1.3]],2,FALSE),"")</f>
        <v/>
      </c>
      <c r="P159" s="2"/>
    </row>
    <row r="160" spans="1:16" x14ac:dyDescent="0.25">
      <c r="A160" s="1">
        <v>25993</v>
      </c>
      <c r="B160" t="str">
        <f>HLOOKUP(Dashboard!$I$27,results,ROW(A160),FALSE)</f>
        <v/>
      </c>
      <c r="C160">
        <f>IFERROR(VLOOKUP(A160,observations_series_id_PCU22112222112243_api_key_ecc133893ea92a842ee685c73424608[],2,FALSE),"")</f>
        <v>20.5</v>
      </c>
      <c r="D160" s="2">
        <f>IFERROR(VLOOKUP(A160,observations_series_id_PCU22112222112243_api_key_ecc133893ea92a842ee685c73424608[],3,FALSE),"")</f>
        <v>0.15121951219512197</v>
      </c>
      <c r="E160" t="str">
        <f>IFERROR(VLOOKUP($A160,observations_series_id_WPU0613020T_api_key_ecc133893ea92a842ee685c734246086_file[],2,FALSE),"")</f>
        <v/>
      </c>
      <c r="F160" s="2" t="str">
        <f>IFERROR(VLOOKUP($A160,observations_series_id_WPU0613020T_api_key_ecc133893ea92a842ee685c734246086_file[],3,FALSE),"")</f>
        <v/>
      </c>
      <c r="G160" t="str">
        <f>IFERROR(VLOOKUP($A160,observations_series_id_PCU22122212_api_key_ecc133893ea92a842ee685c734246086_file[],2,FALSE),"")</f>
        <v/>
      </c>
      <c r="H160" s="2" t="str">
        <f>IFERROR(VLOOKUP($A160,observations_series_id_PCU22122212_api_key_ecc133893ea92a842ee685c734246086_file[],3,FALSE),"")</f>
        <v/>
      </c>
      <c r="I160" t="str">
        <f>IFERROR(VLOOKUP($A160,observations_series_id_PCU3241913241910_api_key_ecc133893ea92a842ee685c734246086[],2,FALSE),"")</f>
        <v/>
      </c>
      <c r="J160" s="2" t="str">
        <f>IFERROR(VLOOKUP($A160,observations_series_id_PCU3241913241910_api_key_ecc133893ea92a842ee685c734246086[],3,FALSE),"")</f>
        <v/>
      </c>
      <c r="K160">
        <f>IFERROR(VLOOKUP($A160,observations_series_id_EXJPUS_api_key_ecc133893ea92a842ee685c734246086_file_type[],2,FALSE),"")</f>
        <v>357.51870000000002</v>
      </c>
      <c r="L160" s="2">
        <f>IFERROR(VLOOKUP($A160,observations_series_id_EXJPUS_api_key_ecc133893ea92a842ee685c734246086_file_type[],3,FALSE),"")</f>
        <v>-1.4021644182526938E-3</v>
      </c>
      <c r="M160" t="str">
        <f>IFERROR(AVERAGEIFS(timeseries_access_key_fqeas14oitk235763mntlb1c0brnk9w3fenzqbk313q5kvxyf52kukw1pa[Value.LME-ZNC],timeseries_access_key_fqeas14oitk235763mntlb1c0brnk9w3fenzqbk313q5kvxyf52kukw1pa[Month],MONTH(Data!$A160),timeseries_access_key_fqeas14oitk235763mntlb1c0brnk9w3fenzqbk313q5kvxyf52kukw1pa[Year],YEAR(Data!$A160)),"")</f>
        <v/>
      </c>
      <c r="N160" s="2" t="str">
        <f>IFERROR(AVERAGEIFS(timeseries_access_key_fqeas14oitk235763mntlb1c0brnk9w3fenzqbk313q5kvxyf52kukw1pa[Column1],timeseries_access_key_fqeas14oitk235763mntlb1c0brnk9w3fenzqbk313q5kvxyf52kukw1pa[Month],MONTH(Data!$A160),timeseries_access_key_fqeas14oitk235763mntlb1c0brnk9w3fenzqbk313q5kvxyf52kukw1pa[Year],YEAR(Data!$A160)),"")</f>
        <v/>
      </c>
      <c r="O160" s="8" t="str">
        <f>IFERROR(VLOOKUP($A160,Text_1_2[[Text.1.1.3]:[Text.1.3]],2,FALSE),"")</f>
        <v/>
      </c>
      <c r="P160" s="2"/>
    </row>
    <row r="161" spans="1:16" x14ac:dyDescent="0.25">
      <c r="A161" s="1">
        <v>26024</v>
      </c>
      <c r="B161" t="str">
        <f>HLOOKUP(Dashboard!$I$27,results,ROW(A161),FALSE)</f>
        <v/>
      </c>
      <c r="C161">
        <f>IFERROR(VLOOKUP(A161,observations_series_id_PCU22112222112243_api_key_ecc133893ea92a842ee685c73424608[],2,FALSE),"")</f>
        <v>20.5</v>
      </c>
      <c r="D161" s="2">
        <f>IFERROR(VLOOKUP(A161,observations_series_id_PCU22112222112243_api_key_ecc133893ea92a842ee685c73424608[],3,FALSE),"")</f>
        <v>0.15121951219512197</v>
      </c>
      <c r="E161" t="str">
        <f>IFERROR(VLOOKUP($A161,observations_series_id_WPU0613020T_api_key_ecc133893ea92a842ee685c734246086_file[],2,FALSE),"")</f>
        <v/>
      </c>
      <c r="F161" s="2" t="str">
        <f>IFERROR(VLOOKUP($A161,observations_series_id_WPU0613020T_api_key_ecc133893ea92a842ee685c734246086_file[],3,FALSE),"")</f>
        <v/>
      </c>
      <c r="G161" t="str">
        <f>IFERROR(VLOOKUP($A161,observations_series_id_PCU22122212_api_key_ecc133893ea92a842ee685c734246086_file[],2,FALSE),"")</f>
        <v/>
      </c>
      <c r="H161" s="2" t="str">
        <f>IFERROR(VLOOKUP($A161,observations_series_id_PCU22122212_api_key_ecc133893ea92a842ee685c734246086_file[],3,FALSE),"")</f>
        <v/>
      </c>
      <c r="I161" t="str">
        <f>IFERROR(VLOOKUP($A161,observations_series_id_PCU3241913241910_api_key_ecc133893ea92a842ee685c734246086[],2,FALSE),"")</f>
        <v/>
      </c>
      <c r="J161" s="2" t="str">
        <f>IFERROR(VLOOKUP($A161,observations_series_id_PCU3241913241910_api_key_ecc133893ea92a842ee685c734246086[],3,FALSE),"")</f>
        <v/>
      </c>
      <c r="K161">
        <f>IFERROR(VLOOKUP($A161,observations_series_id_EXJPUS_api_key_ecc133893ea92a842ee685c734246086_file_type[],2,FALSE),"")</f>
        <v>357.50319999999999</v>
      </c>
      <c r="L161" s="2">
        <f>IFERROR(VLOOKUP($A161,observations_series_id_EXJPUS_api_key_ecc133893ea92a842ee685c734246086_file_type[],3,FALSE),"")</f>
        <v>-1.4455814661238353E-3</v>
      </c>
      <c r="M161" t="str">
        <f>IFERROR(AVERAGEIFS(timeseries_access_key_fqeas14oitk235763mntlb1c0brnk9w3fenzqbk313q5kvxyf52kukw1pa[Value.LME-ZNC],timeseries_access_key_fqeas14oitk235763mntlb1c0brnk9w3fenzqbk313q5kvxyf52kukw1pa[Month],MONTH(Data!$A161),timeseries_access_key_fqeas14oitk235763mntlb1c0brnk9w3fenzqbk313q5kvxyf52kukw1pa[Year],YEAR(Data!$A161)),"")</f>
        <v/>
      </c>
      <c r="N161" s="2" t="str">
        <f>IFERROR(AVERAGEIFS(timeseries_access_key_fqeas14oitk235763mntlb1c0brnk9w3fenzqbk313q5kvxyf52kukw1pa[Column1],timeseries_access_key_fqeas14oitk235763mntlb1c0brnk9w3fenzqbk313q5kvxyf52kukw1pa[Month],MONTH(Data!$A161),timeseries_access_key_fqeas14oitk235763mntlb1c0brnk9w3fenzqbk313q5kvxyf52kukw1pa[Year],YEAR(Data!$A161)),"")</f>
        <v/>
      </c>
      <c r="O161" s="8" t="str">
        <f>IFERROR(VLOOKUP($A161,Text_1_2[[Text.1.1.3]:[Text.1.3]],2,FALSE),"")</f>
        <v/>
      </c>
      <c r="P161" s="2"/>
    </row>
    <row r="162" spans="1:16" x14ac:dyDescent="0.25">
      <c r="A162" s="1">
        <v>26054</v>
      </c>
      <c r="B162" t="str">
        <f>HLOOKUP(Dashboard!$I$27,results,ROW(A162),FALSE)</f>
        <v/>
      </c>
      <c r="C162">
        <f>IFERROR(VLOOKUP(A162,observations_series_id_PCU22112222112243_api_key_ecc133893ea92a842ee685c73424608[],2,FALSE),"")</f>
        <v>20.6</v>
      </c>
      <c r="D162" s="2">
        <f>IFERROR(VLOOKUP(A162,observations_series_id_PCU22112222112243_api_key_ecc133893ea92a842ee685c73424608[],3,FALSE),"")</f>
        <v>0.15533980582524287</v>
      </c>
      <c r="E162" t="str">
        <f>IFERROR(VLOOKUP($A162,observations_series_id_WPU0613020T_api_key_ecc133893ea92a842ee685c734246086_file[],2,FALSE),"")</f>
        <v/>
      </c>
      <c r="F162" s="2" t="str">
        <f>IFERROR(VLOOKUP($A162,observations_series_id_WPU0613020T_api_key_ecc133893ea92a842ee685c734246086_file[],3,FALSE),"")</f>
        <v/>
      </c>
      <c r="G162" t="str">
        <f>IFERROR(VLOOKUP($A162,observations_series_id_PCU22122212_api_key_ecc133893ea92a842ee685c734246086_file[],2,FALSE),"")</f>
        <v/>
      </c>
      <c r="H162" s="2" t="str">
        <f>IFERROR(VLOOKUP($A162,observations_series_id_PCU22122212_api_key_ecc133893ea92a842ee685c734246086_file[],3,FALSE),"")</f>
        <v/>
      </c>
      <c r="I162" t="str">
        <f>IFERROR(VLOOKUP($A162,observations_series_id_PCU3241913241910_api_key_ecc133893ea92a842ee685c734246086[],2,FALSE),"")</f>
        <v/>
      </c>
      <c r="J162" s="2" t="str">
        <f>IFERROR(VLOOKUP($A162,observations_series_id_PCU3241913241910_api_key_ecc133893ea92a842ee685c734246086[],3,FALSE),"")</f>
        <v/>
      </c>
      <c r="K162">
        <f>IFERROR(VLOOKUP($A162,observations_series_id_EXJPUS_api_key_ecc133893ea92a842ee685c734246086_file_type[],2,FALSE),"")</f>
        <v>357.41300000000001</v>
      </c>
      <c r="L162" s="2">
        <f>IFERROR(VLOOKUP($A162,observations_series_id_EXJPUS_api_key_ecc133893ea92a842ee685c734246086_file_type[],3,FALSE),"")</f>
        <v>-1.6983153942358165E-3</v>
      </c>
      <c r="M162" t="str">
        <f>IFERROR(AVERAGEIFS(timeseries_access_key_fqeas14oitk235763mntlb1c0brnk9w3fenzqbk313q5kvxyf52kukw1pa[Value.LME-ZNC],timeseries_access_key_fqeas14oitk235763mntlb1c0brnk9w3fenzqbk313q5kvxyf52kukw1pa[Month],MONTH(Data!$A162),timeseries_access_key_fqeas14oitk235763mntlb1c0brnk9w3fenzqbk313q5kvxyf52kukw1pa[Year],YEAR(Data!$A162)),"")</f>
        <v/>
      </c>
      <c r="N162" s="2" t="str">
        <f>IFERROR(AVERAGEIFS(timeseries_access_key_fqeas14oitk235763mntlb1c0brnk9w3fenzqbk313q5kvxyf52kukw1pa[Column1],timeseries_access_key_fqeas14oitk235763mntlb1c0brnk9w3fenzqbk313q5kvxyf52kukw1pa[Month],MONTH(Data!$A162),timeseries_access_key_fqeas14oitk235763mntlb1c0brnk9w3fenzqbk313q5kvxyf52kukw1pa[Year],YEAR(Data!$A162)),"")</f>
        <v/>
      </c>
      <c r="O162" s="8" t="str">
        <f>IFERROR(VLOOKUP($A162,Text_1_2[[Text.1.1.3]:[Text.1.3]],2,FALSE),"")</f>
        <v/>
      </c>
      <c r="P162" s="2"/>
    </row>
    <row r="163" spans="1:16" x14ac:dyDescent="0.25">
      <c r="A163" s="1">
        <v>26085</v>
      </c>
      <c r="B163" t="str">
        <f>HLOOKUP(Dashboard!$I$27,results,ROW(A163),FALSE)</f>
        <v/>
      </c>
      <c r="C163">
        <f>IFERROR(VLOOKUP(A163,observations_series_id_PCU22112222112243_api_key_ecc133893ea92a842ee685c73424608[],2,FALSE),"")</f>
        <v>20.7</v>
      </c>
      <c r="D163" s="2">
        <f>IFERROR(VLOOKUP(A163,observations_series_id_PCU22112222112243_api_key_ecc133893ea92a842ee685c73424608[],3,FALSE),"")</f>
        <v>0.15942028985507251</v>
      </c>
      <c r="E163" t="str">
        <f>IFERROR(VLOOKUP($A163,observations_series_id_WPU0613020T_api_key_ecc133893ea92a842ee685c734246086_file[],2,FALSE),"")</f>
        <v/>
      </c>
      <c r="F163" s="2" t="str">
        <f>IFERROR(VLOOKUP($A163,observations_series_id_WPU0613020T_api_key_ecc133893ea92a842ee685c734246086_file[],3,FALSE),"")</f>
        <v/>
      </c>
      <c r="G163" t="str">
        <f>IFERROR(VLOOKUP($A163,observations_series_id_PCU22122212_api_key_ecc133893ea92a842ee685c734246086_file[],2,FALSE),"")</f>
        <v/>
      </c>
      <c r="H163" s="2" t="str">
        <f>IFERROR(VLOOKUP($A163,observations_series_id_PCU22122212_api_key_ecc133893ea92a842ee685c734246086_file[],3,FALSE),"")</f>
        <v/>
      </c>
      <c r="I163" t="str">
        <f>IFERROR(VLOOKUP($A163,observations_series_id_PCU3241913241910_api_key_ecc133893ea92a842ee685c734246086[],2,FALSE),"")</f>
        <v/>
      </c>
      <c r="J163" s="2" t="str">
        <f>IFERROR(VLOOKUP($A163,observations_series_id_PCU3241913241910_api_key_ecc133893ea92a842ee685c734246086[],3,FALSE),"")</f>
        <v/>
      </c>
      <c r="K163">
        <f>IFERROR(VLOOKUP($A163,observations_series_id_EXJPUS_api_key_ecc133893ea92a842ee685c734246086_file_type[],2,FALSE),"")</f>
        <v>357.41180000000003</v>
      </c>
      <c r="L163" s="2">
        <f>IFERROR(VLOOKUP($A163,observations_series_id_EXJPUS_api_key_ecc133893ea92a842ee685c734246086_file_type[],3,FALSE),"")</f>
        <v>-1.7016785679710988E-3</v>
      </c>
      <c r="M163" t="str">
        <f>IFERROR(AVERAGEIFS(timeseries_access_key_fqeas14oitk235763mntlb1c0brnk9w3fenzqbk313q5kvxyf52kukw1pa[Value.LME-ZNC],timeseries_access_key_fqeas14oitk235763mntlb1c0brnk9w3fenzqbk313q5kvxyf52kukw1pa[Month],MONTH(Data!$A163),timeseries_access_key_fqeas14oitk235763mntlb1c0brnk9w3fenzqbk313q5kvxyf52kukw1pa[Year],YEAR(Data!$A163)),"")</f>
        <v/>
      </c>
      <c r="N163" s="2" t="str">
        <f>IFERROR(AVERAGEIFS(timeseries_access_key_fqeas14oitk235763mntlb1c0brnk9w3fenzqbk313q5kvxyf52kukw1pa[Column1],timeseries_access_key_fqeas14oitk235763mntlb1c0brnk9w3fenzqbk313q5kvxyf52kukw1pa[Month],MONTH(Data!$A163),timeseries_access_key_fqeas14oitk235763mntlb1c0brnk9w3fenzqbk313q5kvxyf52kukw1pa[Year],YEAR(Data!$A163)),"")</f>
        <v/>
      </c>
      <c r="O163" s="8" t="str">
        <f>IFERROR(VLOOKUP($A163,Text_1_2[[Text.1.1.3]:[Text.1.3]],2,FALSE),"")</f>
        <v/>
      </c>
      <c r="P163" s="2"/>
    </row>
    <row r="164" spans="1:16" x14ac:dyDescent="0.25">
      <c r="A164" s="1">
        <v>26115</v>
      </c>
      <c r="B164" t="str">
        <f>HLOOKUP(Dashboard!$I$27,results,ROW(A164),FALSE)</f>
        <v/>
      </c>
      <c r="C164">
        <f>IFERROR(VLOOKUP(A164,observations_series_id_PCU22112222112243_api_key_ecc133893ea92a842ee685c73424608[],2,FALSE),"")</f>
        <v>21</v>
      </c>
      <c r="D164" s="2">
        <f>IFERROR(VLOOKUP(A164,observations_series_id_PCU22112222112243_api_key_ecc133893ea92a842ee685c73424608[],3,FALSE),"")</f>
        <v>0.17142857142857149</v>
      </c>
      <c r="E164" t="str">
        <f>IFERROR(VLOOKUP($A164,observations_series_id_WPU0613020T_api_key_ecc133893ea92a842ee685c734246086_file[],2,FALSE),"")</f>
        <v/>
      </c>
      <c r="F164" s="2" t="str">
        <f>IFERROR(VLOOKUP($A164,observations_series_id_WPU0613020T_api_key_ecc133893ea92a842ee685c734246086_file[],3,FALSE),"")</f>
        <v/>
      </c>
      <c r="G164" t="str">
        <f>IFERROR(VLOOKUP($A164,observations_series_id_PCU22122212_api_key_ecc133893ea92a842ee685c734246086_file[],2,FALSE),"")</f>
        <v/>
      </c>
      <c r="H164" s="2" t="str">
        <f>IFERROR(VLOOKUP($A164,observations_series_id_PCU22122212_api_key_ecc133893ea92a842ee685c734246086_file[],3,FALSE),"")</f>
        <v/>
      </c>
      <c r="I164" t="str">
        <f>IFERROR(VLOOKUP($A164,observations_series_id_PCU3241913241910_api_key_ecc133893ea92a842ee685c734246086[],2,FALSE),"")</f>
        <v/>
      </c>
      <c r="J164" s="2" t="str">
        <f>IFERROR(VLOOKUP($A164,observations_series_id_PCU3241913241910_api_key_ecc133893ea92a842ee685c734246086[],3,FALSE),"")</f>
        <v/>
      </c>
      <c r="K164">
        <f>IFERROR(VLOOKUP($A164,observations_series_id_EXJPUS_api_key_ecc133893ea92a842ee685c734246086_file_type[],2,FALSE),"")</f>
        <v>357.40429999999998</v>
      </c>
      <c r="L164" s="2">
        <f>IFERROR(VLOOKUP($A164,observations_series_id_EXJPUS_api_key_ecc133893ea92a842ee685c734246086_file_type[],3,FALSE),"")</f>
        <v>-1.7226989154859318E-3</v>
      </c>
      <c r="M164" t="str">
        <f>IFERROR(AVERAGEIFS(timeseries_access_key_fqeas14oitk235763mntlb1c0brnk9w3fenzqbk313q5kvxyf52kukw1pa[Value.LME-ZNC],timeseries_access_key_fqeas14oitk235763mntlb1c0brnk9w3fenzqbk313q5kvxyf52kukw1pa[Month],MONTH(Data!$A164),timeseries_access_key_fqeas14oitk235763mntlb1c0brnk9w3fenzqbk313q5kvxyf52kukw1pa[Year],YEAR(Data!$A164)),"")</f>
        <v/>
      </c>
      <c r="N164" s="2" t="str">
        <f>IFERROR(AVERAGEIFS(timeseries_access_key_fqeas14oitk235763mntlb1c0brnk9w3fenzqbk313q5kvxyf52kukw1pa[Column1],timeseries_access_key_fqeas14oitk235763mntlb1c0brnk9w3fenzqbk313q5kvxyf52kukw1pa[Month],MONTH(Data!$A164),timeseries_access_key_fqeas14oitk235763mntlb1c0brnk9w3fenzqbk313q5kvxyf52kukw1pa[Year],YEAR(Data!$A164)),"")</f>
        <v/>
      </c>
      <c r="O164" s="8" t="str">
        <f>IFERROR(VLOOKUP($A164,Text_1_2[[Text.1.1.3]:[Text.1.3]],2,FALSE),"")</f>
        <v/>
      </c>
      <c r="P164" s="2"/>
    </row>
    <row r="165" spans="1:16" x14ac:dyDescent="0.25">
      <c r="A165" s="1">
        <v>26146</v>
      </c>
      <c r="B165" t="str">
        <f>HLOOKUP(Dashboard!$I$27,results,ROW(A165),FALSE)</f>
        <v/>
      </c>
      <c r="C165">
        <f>IFERROR(VLOOKUP(A165,observations_series_id_PCU22112222112243_api_key_ecc133893ea92a842ee685c73424608[],2,FALSE),"")</f>
        <v>21.2</v>
      </c>
      <c r="D165" s="2">
        <f>IFERROR(VLOOKUP(A165,observations_series_id_PCU22112222112243_api_key_ecc133893ea92a842ee685c73424608[],3,FALSE),"")</f>
        <v>0.179245283018868</v>
      </c>
      <c r="E165" t="str">
        <f>IFERROR(VLOOKUP($A165,observations_series_id_WPU0613020T_api_key_ecc133893ea92a842ee685c734246086_file[],2,FALSE),"")</f>
        <v/>
      </c>
      <c r="F165" s="2" t="str">
        <f>IFERROR(VLOOKUP($A165,observations_series_id_WPU0613020T_api_key_ecc133893ea92a842ee685c734246086_file[],3,FALSE),"")</f>
        <v/>
      </c>
      <c r="G165" t="str">
        <f>IFERROR(VLOOKUP($A165,observations_series_id_PCU22122212_api_key_ecc133893ea92a842ee685c734246086_file[],2,FALSE),"")</f>
        <v/>
      </c>
      <c r="H165" s="2" t="str">
        <f>IFERROR(VLOOKUP($A165,observations_series_id_PCU22122212_api_key_ecc133893ea92a842ee685c734246086_file[],3,FALSE),"")</f>
        <v/>
      </c>
      <c r="I165" t="str">
        <f>IFERROR(VLOOKUP($A165,observations_series_id_PCU3241913241910_api_key_ecc133893ea92a842ee685c734246086[],2,FALSE),"")</f>
        <v/>
      </c>
      <c r="J165" s="2" t="str">
        <f>IFERROR(VLOOKUP($A165,observations_series_id_PCU3241913241910_api_key_ecc133893ea92a842ee685c734246086[],3,FALSE),"")</f>
        <v/>
      </c>
      <c r="K165">
        <f>IFERROR(VLOOKUP($A165,observations_series_id_EXJPUS_api_key_ecc133893ea92a842ee685c734246086_file_type[],2,FALSE),"")</f>
        <v>355.78</v>
      </c>
      <c r="L165" s="2">
        <f>IFERROR(VLOOKUP($A165,observations_series_id_EXJPUS_api_key_ecc133893ea92a842ee685c734246086_file_type[],3,FALSE),"")</f>
        <v>-6.2960256338187026E-3</v>
      </c>
      <c r="M165" t="str">
        <f>IFERROR(AVERAGEIFS(timeseries_access_key_fqeas14oitk235763mntlb1c0brnk9w3fenzqbk313q5kvxyf52kukw1pa[Value.LME-ZNC],timeseries_access_key_fqeas14oitk235763mntlb1c0brnk9w3fenzqbk313q5kvxyf52kukw1pa[Month],MONTH(Data!$A165),timeseries_access_key_fqeas14oitk235763mntlb1c0brnk9w3fenzqbk313q5kvxyf52kukw1pa[Year],YEAR(Data!$A165)),"")</f>
        <v/>
      </c>
      <c r="N165" s="2" t="str">
        <f>IFERROR(AVERAGEIFS(timeseries_access_key_fqeas14oitk235763mntlb1c0brnk9w3fenzqbk313q5kvxyf52kukw1pa[Column1],timeseries_access_key_fqeas14oitk235763mntlb1c0brnk9w3fenzqbk313q5kvxyf52kukw1pa[Month],MONTH(Data!$A165),timeseries_access_key_fqeas14oitk235763mntlb1c0brnk9w3fenzqbk313q5kvxyf52kukw1pa[Year],YEAR(Data!$A165)),"")</f>
        <v/>
      </c>
      <c r="O165" s="8" t="str">
        <f>IFERROR(VLOOKUP($A165,Text_1_2[[Text.1.1.3]:[Text.1.3]],2,FALSE),"")</f>
        <v/>
      </c>
      <c r="P165" s="2"/>
    </row>
    <row r="166" spans="1:16" x14ac:dyDescent="0.25">
      <c r="A166" s="1">
        <v>26177</v>
      </c>
      <c r="B166" t="str">
        <f>HLOOKUP(Dashboard!$I$27,results,ROW(A166),FALSE)</f>
        <v/>
      </c>
      <c r="C166">
        <f>IFERROR(VLOOKUP(A166,observations_series_id_PCU22112222112243_api_key_ecc133893ea92a842ee685c73424608[],2,FALSE),"")</f>
        <v>21.2</v>
      </c>
      <c r="D166" s="2">
        <f>IFERROR(VLOOKUP(A166,observations_series_id_PCU22112222112243_api_key_ecc133893ea92a842ee685c73424608[],3,FALSE),"")</f>
        <v>0.179245283018868</v>
      </c>
      <c r="E166" t="str">
        <f>IFERROR(VLOOKUP($A166,observations_series_id_WPU0613020T_api_key_ecc133893ea92a842ee685c734246086_file[],2,FALSE),"")</f>
        <v/>
      </c>
      <c r="F166" s="2" t="str">
        <f>IFERROR(VLOOKUP($A166,observations_series_id_WPU0613020T_api_key_ecc133893ea92a842ee685c734246086_file[],3,FALSE),"")</f>
        <v/>
      </c>
      <c r="G166" t="str">
        <f>IFERROR(VLOOKUP($A166,observations_series_id_PCU22122212_api_key_ecc133893ea92a842ee685c734246086_file[],2,FALSE),"")</f>
        <v/>
      </c>
      <c r="H166" s="2" t="str">
        <f>IFERROR(VLOOKUP($A166,observations_series_id_PCU22122212_api_key_ecc133893ea92a842ee685c734246086_file[],3,FALSE),"")</f>
        <v/>
      </c>
      <c r="I166" t="str">
        <f>IFERROR(VLOOKUP($A166,observations_series_id_PCU3241913241910_api_key_ecc133893ea92a842ee685c734246086[],2,FALSE),"")</f>
        <v/>
      </c>
      <c r="J166" s="2" t="str">
        <f>IFERROR(VLOOKUP($A166,observations_series_id_PCU3241913241910_api_key_ecc133893ea92a842ee685c734246086[],3,FALSE),"")</f>
        <v/>
      </c>
      <c r="K166">
        <f>IFERROR(VLOOKUP($A166,observations_series_id_EXJPUS_api_key_ecc133893ea92a842ee685c734246086_file_type[],2,FALSE),"")</f>
        <v>338.02100000000002</v>
      </c>
      <c r="L166" s="2">
        <f>IFERROR(VLOOKUP($A166,observations_series_id_EXJPUS_api_key_ecc133893ea92a842ee685c734246086_file_type[],3,FALSE),"")</f>
        <v>-5.9164963123592873E-2</v>
      </c>
      <c r="M166" t="str">
        <f>IFERROR(AVERAGEIFS(timeseries_access_key_fqeas14oitk235763mntlb1c0brnk9w3fenzqbk313q5kvxyf52kukw1pa[Value.LME-ZNC],timeseries_access_key_fqeas14oitk235763mntlb1c0brnk9w3fenzqbk313q5kvxyf52kukw1pa[Month],MONTH(Data!$A166),timeseries_access_key_fqeas14oitk235763mntlb1c0brnk9w3fenzqbk313q5kvxyf52kukw1pa[Year],YEAR(Data!$A166)),"")</f>
        <v/>
      </c>
      <c r="N166" s="2" t="str">
        <f>IFERROR(AVERAGEIFS(timeseries_access_key_fqeas14oitk235763mntlb1c0brnk9w3fenzqbk313q5kvxyf52kukw1pa[Column1],timeseries_access_key_fqeas14oitk235763mntlb1c0brnk9w3fenzqbk313q5kvxyf52kukw1pa[Month],MONTH(Data!$A166),timeseries_access_key_fqeas14oitk235763mntlb1c0brnk9w3fenzqbk313q5kvxyf52kukw1pa[Year],YEAR(Data!$A166)),"")</f>
        <v/>
      </c>
      <c r="O166" s="8" t="str">
        <f>IFERROR(VLOOKUP($A166,Text_1_2[[Text.1.1.3]:[Text.1.3]],2,FALSE),"")</f>
        <v/>
      </c>
      <c r="P166" s="2"/>
    </row>
    <row r="167" spans="1:16" x14ac:dyDescent="0.25">
      <c r="A167" s="1">
        <v>26207</v>
      </c>
      <c r="B167" t="str">
        <f>HLOOKUP(Dashboard!$I$27,results,ROW(A167),FALSE)</f>
        <v/>
      </c>
      <c r="C167">
        <f>IFERROR(VLOOKUP(A167,observations_series_id_PCU22112222112243_api_key_ecc133893ea92a842ee685c73424608[],2,FALSE),"")</f>
        <v>21.2</v>
      </c>
      <c r="D167" s="2">
        <f>IFERROR(VLOOKUP(A167,observations_series_id_PCU22112222112243_api_key_ecc133893ea92a842ee685c73424608[],3,FALSE),"")</f>
        <v>0.179245283018868</v>
      </c>
      <c r="E167" t="str">
        <f>IFERROR(VLOOKUP($A167,observations_series_id_WPU0613020T_api_key_ecc133893ea92a842ee685c734246086_file[],2,FALSE),"")</f>
        <v/>
      </c>
      <c r="F167" s="2" t="str">
        <f>IFERROR(VLOOKUP($A167,observations_series_id_WPU0613020T_api_key_ecc133893ea92a842ee685c734246086_file[],3,FALSE),"")</f>
        <v/>
      </c>
      <c r="G167" t="str">
        <f>IFERROR(VLOOKUP($A167,observations_series_id_PCU22122212_api_key_ecc133893ea92a842ee685c734246086_file[],2,FALSE),"")</f>
        <v/>
      </c>
      <c r="H167" s="2" t="str">
        <f>IFERROR(VLOOKUP($A167,observations_series_id_PCU22122212_api_key_ecc133893ea92a842ee685c734246086_file[],3,FALSE),"")</f>
        <v/>
      </c>
      <c r="I167" t="str">
        <f>IFERROR(VLOOKUP($A167,observations_series_id_PCU3241913241910_api_key_ecc133893ea92a842ee685c734246086[],2,FALSE),"")</f>
        <v/>
      </c>
      <c r="J167" s="2" t="str">
        <f>IFERROR(VLOOKUP($A167,observations_series_id_PCU3241913241910_api_key_ecc133893ea92a842ee685c734246086[],3,FALSE),"")</f>
        <v/>
      </c>
      <c r="K167">
        <f>IFERROR(VLOOKUP($A167,observations_series_id_EXJPUS_api_key_ecc133893ea92a842ee685c734246086_file_type[],2,FALSE),"")</f>
        <v>331.1105</v>
      </c>
      <c r="L167" s="2">
        <f>IFERROR(VLOOKUP($A167,observations_series_id_EXJPUS_api_key_ecc133893ea92a842ee685c734246086_file_type[],3,FALSE),"")</f>
        <v>-8.1270452009223337E-2</v>
      </c>
      <c r="M167" t="str">
        <f>IFERROR(AVERAGEIFS(timeseries_access_key_fqeas14oitk235763mntlb1c0brnk9w3fenzqbk313q5kvxyf52kukw1pa[Value.LME-ZNC],timeseries_access_key_fqeas14oitk235763mntlb1c0brnk9w3fenzqbk313q5kvxyf52kukw1pa[Month],MONTH(Data!$A167),timeseries_access_key_fqeas14oitk235763mntlb1c0brnk9w3fenzqbk313q5kvxyf52kukw1pa[Year],YEAR(Data!$A167)),"")</f>
        <v/>
      </c>
      <c r="N167" s="2" t="str">
        <f>IFERROR(AVERAGEIFS(timeseries_access_key_fqeas14oitk235763mntlb1c0brnk9w3fenzqbk313q5kvxyf52kukw1pa[Column1],timeseries_access_key_fqeas14oitk235763mntlb1c0brnk9w3fenzqbk313q5kvxyf52kukw1pa[Month],MONTH(Data!$A167),timeseries_access_key_fqeas14oitk235763mntlb1c0brnk9w3fenzqbk313q5kvxyf52kukw1pa[Year],YEAR(Data!$A167)),"")</f>
        <v/>
      </c>
      <c r="O167" s="8" t="str">
        <f>IFERROR(VLOOKUP($A167,Text_1_2[[Text.1.1.3]:[Text.1.3]],2,FALSE),"")</f>
        <v/>
      </c>
      <c r="P167" s="2"/>
    </row>
    <row r="168" spans="1:16" x14ac:dyDescent="0.25">
      <c r="A168" s="1">
        <v>26238</v>
      </c>
      <c r="B168" t="str">
        <f>HLOOKUP(Dashboard!$I$27,results,ROW(A168),FALSE)</f>
        <v/>
      </c>
      <c r="C168">
        <f>IFERROR(VLOOKUP(A168,observations_series_id_PCU22112222112243_api_key_ecc133893ea92a842ee685c73424608[],2,FALSE),"")</f>
        <v>21.2</v>
      </c>
      <c r="D168" s="2">
        <f>IFERROR(VLOOKUP(A168,observations_series_id_PCU22112222112243_api_key_ecc133893ea92a842ee685c73424608[],3,FALSE),"")</f>
        <v>0.179245283018868</v>
      </c>
      <c r="E168" t="str">
        <f>IFERROR(VLOOKUP($A168,observations_series_id_WPU0613020T_api_key_ecc133893ea92a842ee685c734246086_file[],2,FALSE),"")</f>
        <v/>
      </c>
      <c r="F168" s="2" t="str">
        <f>IFERROR(VLOOKUP($A168,observations_series_id_WPU0613020T_api_key_ecc133893ea92a842ee685c734246086_file[],3,FALSE),"")</f>
        <v/>
      </c>
      <c r="G168" t="str">
        <f>IFERROR(VLOOKUP($A168,observations_series_id_PCU22122212_api_key_ecc133893ea92a842ee685c734246086_file[],2,FALSE),"")</f>
        <v/>
      </c>
      <c r="H168" s="2" t="str">
        <f>IFERROR(VLOOKUP($A168,observations_series_id_PCU22122212_api_key_ecc133893ea92a842ee685c734246086_file[],3,FALSE),"")</f>
        <v/>
      </c>
      <c r="I168" t="str">
        <f>IFERROR(VLOOKUP($A168,observations_series_id_PCU3241913241910_api_key_ecc133893ea92a842ee685c734246086[],2,FALSE),"")</f>
        <v/>
      </c>
      <c r="J168" s="2" t="str">
        <f>IFERROR(VLOOKUP($A168,observations_series_id_PCU3241913241910_api_key_ecc133893ea92a842ee685c734246086[],3,FALSE),"")</f>
        <v/>
      </c>
      <c r="K168">
        <f>IFERROR(VLOOKUP($A168,observations_series_id_EXJPUS_api_key_ecc133893ea92a842ee685c734246086_file_type[],2,FALSE),"")</f>
        <v>328.75200000000001</v>
      </c>
      <c r="L168" s="2">
        <f>IFERROR(VLOOKUP($A168,observations_series_id_EXJPUS_api_key_ecc133893ea92a842ee685c734246086_file_type[],3,FALSE),"")</f>
        <v>-8.9027595269382198E-2</v>
      </c>
      <c r="M168" t="str">
        <f>IFERROR(AVERAGEIFS(timeseries_access_key_fqeas14oitk235763mntlb1c0brnk9w3fenzqbk313q5kvxyf52kukw1pa[Value.LME-ZNC],timeseries_access_key_fqeas14oitk235763mntlb1c0brnk9w3fenzqbk313q5kvxyf52kukw1pa[Month],MONTH(Data!$A168),timeseries_access_key_fqeas14oitk235763mntlb1c0brnk9w3fenzqbk313q5kvxyf52kukw1pa[Year],YEAR(Data!$A168)),"")</f>
        <v/>
      </c>
      <c r="N168" s="2" t="str">
        <f>IFERROR(AVERAGEIFS(timeseries_access_key_fqeas14oitk235763mntlb1c0brnk9w3fenzqbk313q5kvxyf52kukw1pa[Column1],timeseries_access_key_fqeas14oitk235763mntlb1c0brnk9w3fenzqbk313q5kvxyf52kukw1pa[Month],MONTH(Data!$A168),timeseries_access_key_fqeas14oitk235763mntlb1c0brnk9w3fenzqbk313q5kvxyf52kukw1pa[Year],YEAR(Data!$A168)),"")</f>
        <v/>
      </c>
      <c r="O168" s="8" t="str">
        <f>IFERROR(VLOOKUP($A168,Text_1_2[[Text.1.1.3]:[Text.1.3]],2,FALSE),"")</f>
        <v/>
      </c>
      <c r="P168" s="2"/>
    </row>
    <row r="169" spans="1:16" x14ac:dyDescent="0.25">
      <c r="A169" s="1">
        <v>26268</v>
      </c>
      <c r="B169" t="str">
        <f>HLOOKUP(Dashboard!$I$27,results,ROW(A169),FALSE)</f>
        <v/>
      </c>
      <c r="C169">
        <f>IFERROR(VLOOKUP(A169,observations_series_id_PCU22112222112243_api_key_ecc133893ea92a842ee685c73424608[],2,FALSE),"")</f>
        <v>21.8</v>
      </c>
      <c r="D169" s="2">
        <f>IFERROR(VLOOKUP(A169,observations_series_id_PCU22112222112243_api_key_ecc133893ea92a842ee685c73424608[],3,FALSE),"")</f>
        <v>0.20183486238532122</v>
      </c>
      <c r="E169" t="str">
        <f>IFERROR(VLOOKUP($A169,observations_series_id_WPU0613020T_api_key_ecc133893ea92a842ee685c734246086_file[],2,FALSE),"")</f>
        <v/>
      </c>
      <c r="F169" s="2" t="str">
        <f>IFERROR(VLOOKUP($A169,observations_series_id_WPU0613020T_api_key_ecc133893ea92a842ee685c734246086_file[],3,FALSE),"")</f>
        <v/>
      </c>
      <c r="G169" t="str">
        <f>IFERROR(VLOOKUP($A169,observations_series_id_PCU22122212_api_key_ecc133893ea92a842ee685c734246086_file[],2,FALSE),"")</f>
        <v/>
      </c>
      <c r="H169" s="2" t="str">
        <f>IFERROR(VLOOKUP($A169,observations_series_id_PCU22122212_api_key_ecc133893ea92a842ee685c734246086_file[],3,FALSE),"")</f>
        <v/>
      </c>
      <c r="I169" t="str">
        <f>IFERROR(VLOOKUP($A169,observations_series_id_PCU3241913241910_api_key_ecc133893ea92a842ee685c734246086[],2,FALSE),"")</f>
        <v/>
      </c>
      <c r="J169" s="2" t="str">
        <f>IFERROR(VLOOKUP($A169,observations_series_id_PCU3241913241910_api_key_ecc133893ea92a842ee685c734246086[],3,FALSE),"")</f>
        <v/>
      </c>
      <c r="K169">
        <f>IFERROR(VLOOKUP($A169,observations_series_id_EXJPUS_api_key_ecc133893ea92a842ee685c734246086_file_type[],2,FALSE),"")</f>
        <v>320.0727</v>
      </c>
      <c r="L169" s="2">
        <f>IFERROR(VLOOKUP($A169,observations_series_id_EXJPUS_api_key_ecc133893ea92a842ee685c734246086_file_type[],3,FALSE),"")</f>
        <v>-0.11855837751860743</v>
      </c>
      <c r="M169" t="str">
        <f>IFERROR(AVERAGEIFS(timeseries_access_key_fqeas14oitk235763mntlb1c0brnk9w3fenzqbk313q5kvxyf52kukw1pa[Value.LME-ZNC],timeseries_access_key_fqeas14oitk235763mntlb1c0brnk9w3fenzqbk313q5kvxyf52kukw1pa[Month],MONTH(Data!$A169),timeseries_access_key_fqeas14oitk235763mntlb1c0brnk9w3fenzqbk313q5kvxyf52kukw1pa[Year],YEAR(Data!$A169)),"")</f>
        <v/>
      </c>
      <c r="N169" s="2" t="str">
        <f>IFERROR(AVERAGEIFS(timeseries_access_key_fqeas14oitk235763mntlb1c0brnk9w3fenzqbk313q5kvxyf52kukw1pa[Column1],timeseries_access_key_fqeas14oitk235763mntlb1c0brnk9w3fenzqbk313q5kvxyf52kukw1pa[Month],MONTH(Data!$A169),timeseries_access_key_fqeas14oitk235763mntlb1c0brnk9w3fenzqbk313q5kvxyf52kukw1pa[Year],YEAR(Data!$A169)),"")</f>
        <v/>
      </c>
      <c r="O169" s="8" t="str">
        <f>IFERROR(VLOOKUP($A169,Text_1_2[[Text.1.1.3]:[Text.1.3]],2,FALSE),"")</f>
        <v/>
      </c>
      <c r="P169" s="2"/>
    </row>
    <row r="170" spans="1:16" x14ac:dyDescent="0.25">
      <c r="A170" s="1">
        <v>26299</v>
      </c>
      <c r="B170" t="str">
        <f>HLOOKUP(Dashboard!$I$27,results,ROW(A170),FALSE)</f>
        <v/>
      </c>
      <c r="C170">
        <f>IFERROR(VLOOKUP(A170,observations_series_id_PCU22112222112243_api_key_ecc133893ea92a842ee685c73424608[],2,FALSE),"")</f>
        <v>21.5</v>
      </c>
      <c r="D170" s="2">
        <f>IFERROR(VLOOKUP(A170,observations_series_id_PCU22112222112243_api_key_ecc133893ea92a842ee685c73424608[],3,FALSE),"")</f>
        <v>0.19069767441860475</v>
      </c>
      <c r="E170" t="str">
        <f>IFERROR(VLOOKUP($A170,observations_series_id_WPU0613020T_api_key_ecc133893ea92a842ee685c734246086_file[],2,FALSE),"")</f>
        <v/>
      </c>
      <c r="F170" s="2" t="str">
        <f>IFERROR(VLOOKUP($A170,observations_series_id_WPU0613020T_api_key_ecc133893ea92a842ee685c734246086_file[],3,FALSE),"")</f>
        <v/>
      </c>
      <c r="G170" t="str">
        <f>IFERROR(VLOOKUP($A170,observations_series_id_PCU22122212_api_key_ecc133893ea92a842ee685c734246086_file[],2,FALSE),"")</f>
        <v/>
      </c>
      <c r="H170" s="2" t="str">
        <f>IFERROR(VLOOKUP($A170,observations_series_id_PCU22122212_api_key_ecc133893ea92a842ee685c734246086_file[],3,FALSE),"")</f>
        <v/>
      </c>
      <c r="I170" t="str">
        <f>IFERROR(VLOOKUP($A170,observations_series_id_PCU3241913241910_api_key_ecc133893ea92a842ee685c734246086[],2,FALSE),"")</f>
        <v/>
      </c>
      <c r="J170" s="2" t="str">
        <f>IFERROR(VLOOKUP($A170,observations_series_id_PCU3241913241910_api_key_ecc133893ea92a842ee685c734246086[],3,FALSE),"")</f>
        <v/>
      </c>
      <c r="K170">
        <f>IFERROR(VLOOKUP($A170,observations_series_id_EXJPUS_api_key_ecc133893ea92a842ee685c734246086_file_type[],2,FALSE),"")</f>
        <v>312.72000000000003</v>
      </c>
      <c r="L170" s="2">
        <f>IFERROR(VLOOKUP($A170,observations_series_id_EXJPUS_api_key_ecc133893ea92a842ee685c734246086_file_type[],3,FALSE),"")</f>
        <v>-0.1448580199539522</v>
      </c>
      <c r="M170" t="str">
        <f>IFERROR(AVERAGEIFS(timeseries_access_key_fqeas14oitk235763mntlb1c0brnk9w3fenzqbk313q5kvxyf52kukw1pa[Value.LME-ZNC],timeseries_access_key_fqeas14oitk235763mntlb1c0brnk9w3fenzqbk313q5kvxyf52kukw1pa[Month],MONTH(Data!$A170),timeseries_access_key_fqeas14oitk235763mntlb1c0brnk9w3fenzqbk313q5kvxyf52kukw1pa[Year],YEAR(Data!$A170)),"")</f>
        <v/>
      </c>
      <c r="N170" s="2" t="str">
        <f>IFERROR(AVERAGEIFS(timeseries_access_key_fqeas14oitk235763mntlb1c0brnk9w3fenzqbk313q5kvxyf52kukw1pa[Column1],timeseries_access_key_fqeas14oitk235763mntlb1c0brnk9w3fenzqbk313q5kvxyf52kukw1pa[Month],MONTH(Data!$A170),timeseries_access_key_fqeas14oitk235763mntlb1c0brnk9w3fenzqbk313q5kvxyf52kukw1pa[Year],YEAR(Data!$A170)),"")</f>
        <v/>
      </c>
      <c r="O170" s="8" t="str">
        <f>IFERROR(VLOOKUP($A170,Text_1_2[[Text.1.1.3]:[Text.1.3]],2,FALSE),"")</f>
        <v/>
      </c>
      <c r="P170" s="2"/>
    </row>
    <row r="171" spans="1:16" x14ac:dyDescent="0.25">
      <c r="A171" s="1">
        <v>26330</v>
      </c>
      <c r="B171" t="str">
        <f>HLOOKUP(Dashboard!$I$27,results,ROW(A171),FALSE)</f>
        <v/>
      </c>
      <c r="C171">
        <f>IFERROR(VLOOKUP(A171,observations_series_id_PCU22112222112243_api_key_ecc133893ea92a842ee685c73424608[],2,FALSE),"")</f>
        <v>21.8</v>
      </c>
      <c r="D171" s="2">
        <f>IFERROR(VLOOKUP(A171,observations_series_id_PCU22112222112243_api_key_ecc133893ea92a842ee685c73424608[],3,FALSE),"")</f>
        <v>0.20183486238532122</v>
      </c>
      <c r="E171" t="str">
        <f>IFERROR(VLOOKUP($A171,observations_series_id_WPU0613020T_api_key_ecc133893ea92a842ee685c734246086_file[],2,FALSE),"")</f>
        <v/>
      </c>
      <c r="F171" s="2" t="str">
        <f>IFERROR(VLOOKUP($A171,observations_series_id_WPU0613020T_api_key_ecc133893ea92a842ee685c734246086_file[],3,FALSE),"")</f>
        <v/>
      </c>
      <c r="G171" t="str">
        <f>IFERROR(VLOOKUP($A171,observations_series_id_PCU22122212_api_key_ecc133893ea92a842ee685c734246086_file[],2,FALSE),"")</f>
        <v/>
      </c>
      <c r="H171" s="2" t="str">
        <f>IFERROR(VLOOKUP($A171,observations_series_id_PCU22122212_api_key_ecc133893ea92a842ee685c734246086_file[],3,FALSE),"")</f>
        <v/>
      </c>
      <c r="I171" t="str">
        <f>IFERROR(VLOOKUP($A171,observations_series_id_PCU3241913241910_api_key_ecc133893ea92a842ee685c734246086[],2,FALSE),"")</f>
        <v/>
      </c>
      <c r="J171" s="2" t="str">
        <f>IFERROR(VLOOKUP($A171,observations_series_id_PCU3241913241910_api_key_ecc133893ea92a842ee685c734246086[],3,FALSE),"")</f>
        <v/>
      </c>
      <c r="K171">
        <f>IFERROR(VLOOKUP($A171,observations_series_id_EXJPUS_api_key_ecc133893ea92a842ee685c734246086_file_type[],2,FALSE),"")</f>
        <v>305.18700000000001</v>
      </c>
      <c r="L171" s="2">
        <f>IFERROR(VLOOKUP($A171,observations_series_id_EXJPUS_api_key_ecc133893ea92a842ee685c734246086_file_type[],3,FALSE),"")</f>
        <v>-0.17311681034906456</v>
      </c>
      <c r="M171" t="str">
        <f>IFERROR(AVERAGEIFS(timeseries_access_key_fqeas14oitk235763mntlb1c0brnk9w3fenzqbk313q5kvxyf52kukw1pa[Value.LME-ZNC],timeseries_access_key_fqeas14oitk235763mntlb1c0brnk9w3fenzqbk313q5kvxyf52kukw1pa[Month],MONTH(Data!$A171),timeseries_access_key_fqeas14oitk235763mntlb1c0brnk9w3fenzqbk313q5kvxyf52kukw1pa[Year],YEAR(Data!$A171)),"")</f>
        <v/>
      </c>
      <c r="N171" s="2" t="str">
        <f>IFERROR(AVERAGEIFS(timeseries_access_key_fqeas14oitk235763mntlb1c0brnk9w3fenzqbk313q5kvxyf52kukw1pa[Column1],timeseries_access_key_fqeas14oitk235763mntlb1c0brnk9w3fenzqbk313q5kvxyf52kukw1pa[Month],MONTH(Data!$A171),timeseries_access_key_fqeas14oitk235763mntlb1c0brnk9w3fenzqbk313q5kvxyf52kukw1pa[Year],YEAR(Data!$A171)),"")</f>
        <v/>
      </c>
      <c r="O171" s="8" t="str">
        <f>IFERROR(VLOOKUP($A171,Text_1_2[[Text.1.1.3]:[Text.1.3]],2,FALSE),"")</f>
        <v/>
      </c>
      <c r="P171" s="2"/>
    </row>
    <row r="172" spans="1:16" x14ac:dyDescent="0.25">
      <c r="A172" s="1">
        <v>26359</v>
      </c>
      <c r="B172" t="str">
        <f>HLOOKUP(Dashboard!$I$27,results,ROW(A172),FALSE)</f>
        <v/>
      </c>
      <c r="C172">
        <f>IFERROR(VLOOKUP(A172,observations_series_id_PCU22112222112243_api_key_ecc133893ea92a842ee685c73424608[],2,FALSE),"")</f>
        <v>21.8</v>
      </c>
      <c r="D172" s="2">
        <f>IFERROR(VLOOKUP(A172,observations_series_id_PCU22112222112243_api_key_ecc133893ea92a842ee685c73424608[],3,FALSE),"")</f>
        <v>0.20183486238532122</v>
      </c>
      <c r="E172" t="str">
        <f>IFERROR(VLOOKUP($A172,observations_series_id_WPU0613020T_api_key_ecc133893ea92a842ee685c734246086_file[],2,FALSE),"")</f>
        <v/>
      </c>
      <c r="F172" s="2" t="str">
        <f>IFERROR(VLOOKUP($A172,observations_series_id_WPU0613020T_api_key_ecc133893ea92a842ee685c734246086_file[],3,FALSE),"")</f>
        <v/>
      </c>
      <c r="G172" t="str">
        <f>IFERROR(VLOOKUP($A172,observations_series_id_PCU22122212_api_key_ecc133893ea92a842ee685c734246086_file[],2,FALSE),"")</f>
        <v/>
      </c>
      <c r="H172" s="2" t="str">
        <f>IFERROR(VLOOKUP($A172,observations_series_id_PCU22122212_api_key_ecc133893ea92a842ee685c734246086_file[],3,FALSE),"")</f>
        <v/>
      </c>
      <c r="I172" t="str">
        <f>IFERROR(VLOOKUP($A172,observations_series_id_PCU3241913241910_api_key_ecc133893ea92a842ee685c734246086[],2,FALSE),"")</f>
        <v/>
      </c>
      <c r="J172" s="2" t="str">
        <f>IFERROR(VLOOKUP($A172,observations_series_id_PCU3241913241910_api_key_ecc133893ea92a842ee685c734246086[],3,FALSE),"")</f>
        <v/>
      </c>
      <c r="K172">
        <f>IFERROR(VLOOKUP($A172,observations_series_id_EXJPUS_api_key_ecc133893ea92a842ee685c734246086_file_type[],2,FALSE),"")</f>
        <v>302.53649999999999</v>
      </c>
      <c r="L172" s="2">
        <f>IFERROR(VLOOKUP($A172,observations_series_id_EXJPUS_api_key_ecc133893ea92a842ee685c734246086_file_type[],3,FALSE),"")</f>
        <v>-0.18339440034508225</v>
      </c>
      <c r="M172" t="str">
        <f>IFERROR(AVERAGEIFS(timeseries_access_key_fqeas14oitk235763mntlb1c0brnk9w3fenzqbk313q5kvxyf52kukw1pa[Value.LME-ZNC],timeseries_access_key_fqeas14oitk235763mntlb1c0brnk9w3fenzqbk313q5kvxyf52kukw1pa[Month],MONTH(Data!$A172),timeseries_access_key_fqeas14oitk235763mntlb1c0brnk9w3fenzqbk313q5kvxyf52kukw1pa[Year],YEAR(Data!$A172)),"")</f>
        <v/>
      </c>
      <c r="N172" s="2" t="str">
        <f>IFERROR(AVERAGEIFS(timeseries_access_key_fqeas14oitk235763mntlb1c0brnk9w3fenzqbk313q5kvxyf52kukw1pa[Column1],timeseries_access_key_fqeas14oitk235763mntlb1c0brnk9w3fenzqbk313q5kvxyf52kukw1pa[Month],MONTH(Data!$A172),timeseries_access_key_fqeas14oitk235763mntlb1c0brnk9w3fenzqbk313q5kvxyf52kukw1pa[Year],YEAR(Data!$A172)),"")</f>
        <v/>
      </c>
      <c r="O172" s="8" t="str">
        <f>IFERROR(VLOOKUP($A172,Text_1_2[[Text.1.1.3]:[Text.1.3]],2,FALSE),"")</f>
        <v/>
      </c>
      <c r="P172" s="2"/>
    </row>
    <row r="173" spans="1:16" x14ac:dyDescent="0.25">
      <c r="A173" s="1">
        <v>26390</v>
      </c>
      <c r="B173" t="str">
        <f>HLOOKUP(Dashboard!$I$27,results,ROW(A173),FALSE)</f>
        <v/>
      </c>
      <c r="C173">
        <f>IFERROR(VLOOKUP(A173,observations_series_id_PCU22112222112243_api_key_ecc133893ea92a842ee685c73424608[],2,FALSE),"")</f>
        <v>21.9</v>
      </c>
      <c r="D173" s="2">
        <f>IFERROR(VLOOKUP(A173,observations_series_id_PCU22112222112243_api_key_ecc133893ea92a842ee685c73424608[],3,FALSE),"")</f>
        <v>0.20547945205479456</v>
      </c>
      <c r="E173" t="str">
        <f>IFERROR(VLOOKUP($A173,observations_series_id_WPU0613020T_api_key_ecc133893ea92a842ee685c734246086_file[],2,FALSE),"")</f>
        <v/>
      </c>
      <c r="F173" s="2" t="str">
        <f>IFERROR(VLOOKUP($A173,observations_series_id_WPU0613020T_api_key_ecc133893ea92a842ee685c734246086_file[],3,FALSE),"")</f>
        <v/>
      </c>
      <c r="G173" t="str">
        <f>IFERROR(VLOOKUP($A173,observations_series_id_PCU22122212_api_key_ecc133893ea92a842ee685c734246086_file[],2,FALSE),"")</f>
        <v/>
      </c>
      <c r="H173" s="2" t="str">
        <f>IFERROR(VLOOKUP($A173,observations_series_id_PCU22122212_api_key_ecc133893ea92a842ee685c734246086_file[],3,FALSE),"")</f>
        <v/>
      </c>
      <c r="I173" t="str">
        <f>IFERROR(VLOOKUP($A173,observations_series_id_PCU3241913241910_api_key_ecc133893ea92a842ee685c734246086[],2,FALSE),"")</f>
        <v/>
      </c>
      <c r="J173" s="2" t="str">
        <f>IFERROR(VLOOKUP($A173,observations_series_id_PCU3241913241910_api_key_ecc133893ea92a842ee685c734246086[],3,FALSE),"")</f>
        <v/>
      </c>
      <c r="K173">
        <f>IFERROR(VLOOKUP($A173,observations_series_id_EXJPUS_api_key_ecc133893ea92a842ee685c734246086_file_type[],2,FALSE),"")</f>
        <v>303.56049999999999</v>
      </c>
      <c r="L173" s="2">
        <f>IFERROR(VLOOKUP($A173,observations_series_id_EXJPUS_api_key_ecc133893ea92a842ee685c734246086_file_type[],3,FALSE),"")</f>
        <v>-0.17940245848850567</v>
      </c>
      <c r="M173" t="str">
        <f>IFERROR(AVERAGEIFS(timeseries_access_key_fqeas14oitk235763mntlb1c0brnk9w3fenzqbk313q5kvxyf52kukw1pa[Value.LME-ZNC],timeseries_access_key_fqeas14oitk235763mntlb1c0brnk9w3fenzqbk313q5kvxyf52kukw1pa[Month],MONTH(Data!$A173),timeseries_access_key_fqeas14oitk235763mntlb1c0brnk9w3fenzqbk313q5kvxyf52kukw1pa[Year],YEAR(Data!$A173)),"")</f>
        <v/>
      </c>
      <c r="N173" s="2" t="str">
        <f>IFERROR(AVERAGEIFS(timeseries_access_key_fqeas14oitk235763mntlb1c0brnk9w3fenzqbk313q5kvxyf52kukw1pa[Column1],timeseries_access_key_fqeas14oitk235763mntlb1c0brnk9w3fenzqbk313q5kvxyf52kukw1pa[Month],MONTH(Data!$A173),timeseries_access_key_fqeas14oitk235763mntlb1c0brnk9w3fenzqbk313q5kvxyf52kukw1pa[Year],YEAR(Data!$A173)),"")</f>
        <v/>
      </c>
      <c r="O173" s="8" t="str">
        <f>IFERROR(VLOOKUP($A173,Text_1_2[[Text.1.1.3]:[Text.1.3]],2,FALSE),"")</f>
        <v/>
      </c>
      <c r="P173" s="2"/>
    </row>
    <row r="174" spans="1:16" x14ac:dyDescent="0.25">
      <c r="A174" s="1">
        <v>26420</v>
      </c>
      <c r="B174" t="str">
        <f>HLOOKUP(Dashboard!$I$27,results,ROW(A174),FALSE)</f>
        <v/>
      </c>
      <c r="C174">
        <f>IFERROR(VLOOKUP(A174,observations_series_id_PCU22112222112243_api_key_ecc133893ea92a842ee685c73424608[],2,FALSE),"")</f>
        <v>22</v>
      </c>
      <c r="D174" s="2">
        <f>IFERROR(VLOOKUP(A174,observations_series_id_PCU22112222112243_api_key_ecc133893ea92a842ee685c73424608[],3,FALSE),"")</f>
        <v>0.20909090909090911</v>
      </c>
      <c r="E174" t="str">
        <f>IFERROR(VLOOKUP($A174,observations_series_id_WPU0613020T_api_key_ecc133893ea92a842ee685c734246086_file[],2,FALSE),"")</f>
        <v/>
      </c>
      <c r="F174" s="2" t="str">
        <f>IFERROR(VLOOKUP($A174,observations_series_id_WPU0613020T_api_key_ecc133893ea92a842ee685c734246086_file[],3,FALSE),"")</f>
        <v/>
      </c>
      <c r="G174" t="str">
        <f>IFERROR(VLOOKUP($A174,observations_series_id_PCU22122212_api_key_ecc133893ea92a842ee685c734246086_file[],2,FALSE),"")</f>
        <v/>
      </c>
      <c r="H174" s="2" t="str">
        <f>IFERROR(VLOOKUP($A174,observations_series_id_PCU22122212_api_key_ecc133893ea92a842ee685c734246086_file[],3,FALSE),"")</f>
        <v/>
      </c>
      <c r="I174" t="str">
        <f>IFERROR(VLOOKUP($A174,observations_series_id_PCU3241913241910_api_key_ecc133893ea92a842ee685c734246086[],2,FALSE),"")</f>
        <v/>
      </c>
      <c r="J174" s="2" t="str">
        <f>IFERROR(VLOOKUP($A174,observations_series_id_PCU3241913241910_api_key_ecc133893ea92a842ee685c734246086[],3,FALSE),"")</f>
        <v/>
      </c>
      <c r="K174">
        <f>IFERROR(VLOOKUP($A174,observations_series_id_EXJPUS_api_key_ecc133893ea92a842ee685c734246086_file_type[],2,FALSE),"")</f>
        <v>304.37950000000001</v>
      </c>
      <c r="L174" s="2">
        <f>IFERROR(VLOOKUP($A174,observations_series_id_EXJPUS_api_key_ecc133893ea92a842ee685c734246086_file_type[],3,FALSE),"")</f>
        <v>-0.17622901673732949</v>
      </c>
      <c r="M174" t="str">
        <f>IFERROR(AVERAGEIFS(timeseries_access_key_fqeas14oitk235763mntlb1c0brnk9w3fenzqbk313q5kvxyf52kukw1pa[Value.LME-ZNC],timeseries_access_key_fqeas14oitk235763mntlb1c0brnk9w3fenzqbk313q5kvxyf52kukw1pa[Month],MONTH(Data!$A174),timeseries_access_key_fqeas14oitk235763mntlb1c0brnk9w3fenzqbk313q5kvxyf52kukw1pa[Year],YEAR(Data!$A174)),"")</f>
        <v/>
      </c>
      <c r="N174" s="2" t="str">
        <f>IFERROR(AVERAGEIFS(timeseries_access_key_fqeas14oitk235763mntlb1c0brnk9w3fenzqbk313q5kvxyf52kukw1pa[Column1],timeseries_access_key_fqeas14oitk235763mntlb1c0brnk9w3fenzqbk313q5kvxyf52kukw1pa[Month],MONTH(Data!$A174),timeseries_access_key_fqeas14oitk235763mntlb1c0brnk9w3fenzqbk313q5kvxyf52kukw1pa[Year],YEAR(Data!$A174)),"")</f>
        <v/>
      </c>
      <c r="O174" s="8" t="str">
        <f>IFERROR(VLOOKUP($A174,Text_1_2[[Text.1.1.3]:[Text.1.3]],2,FALSE),"")</f>
        <v/>
      </c>
      <c r="P174" s="2"/>
    </row>
    <row r="175" spans="1:16" x14ac:dyDescent="0.25">
      <c r="A175" s="1">
        <v>26451</v>
      </c>
      <c r="B175" t="str">
        <f>HLOOKUP(Dashboard!$I$27,results,ROW(A175),FALSE)</f>
        <v/>
      </c>
      <c r="C175">
        <f>IFERROR(VLOOKUP(A175,observations_series_id_PCU22112222112243_api_key_ecc133893ea92a842ee685c73424608[],2,FALSE),"")</f>
        <v>22</v>
      </c>
      <c r="D175" s="2">
        <f>IFERROR(VLOOKUP(A175,observations_series_id_PCU22112222112243_api_key_ecc133893ea92a842ee685c73424608[],3,FALSE),"")</f>
        <v>0.20909090909090911</v>
      </c>
      <c r="E175" t="str">
        <f>IFERROR(VLOOKUP($A175,observations_series_id_WPU0613020T_api_key_ecc133893ea92a842ee685c734246086_file[],2,FALSE),"")</f>
        <v/>
      </c>
      <c r="F175" s="2" t="str">
        <f>IFERROR(VLOOKUP($A175,observations_series_id_WPU0613020T_api_key_ecc133893ea92a842ee685c734246086_file[],3,FALSE),"")</f>
        <v/>
      </c>
      <c r="G175" t="str">
        <f>IFERROR(VLOOKUP($A175,observations_series_id_PCU22122212_api_key_ecc133893ea92a842ee685c734246086_file[],2,FALSE),"")</f>
        <v/>
      </c>
      <c r="H175" s="2" t="str">
        <f>IFERROR(VLOOKUP($A175,observations_series_id_PCU22122212_api_key_ecc133893ea92a842ee685c734246086_file[],3,FALSE),"")</f>
        <v/>
      </c>
      <c r="I175" t="str">
        <f>IFERROR(VLOOKUP($A175,observations_series_id_PCU3241913241910_api_key_ecc133893ea92a842ee685c734246086[],2,FALSE),"")</f>
        <v/>
      </c>
      <c r="J175" s="2" t="str">
        <f>IFERROR(VLOOKUP($A175,observations_series_id_PCU3241913241910_api_key_ecc133893ea92a842ee685c734246086[],3,FALSE),"")</f>
        <v/>
      </c>
      <c r="K175">
        <f>IFERROR(VLOOKUP($A175,observations_series_id_EXJPUS_api_key_ecc133893ea92a842ee685c734246086_file_type[],2,FALSE),"")</f>
        <v>302.41449999999998</v>
      </c>
      <c r="L175" s="2">
        <f>IFERROR(VLOOKUP($A175,observations_series_id_EXJPUS_api_key_ecc133893ea92a842ee685c734246086_file_type[],3,FALSE),"")</f>
        <v>-0.18387180508871115</v>
      </c>
      <c r="M175" t="str">
        <f>IFERROR(AVERAGEIFS(timeseries_access_key_fqeas14oitk235763mntlb1c0brnk9w3fenzqbk313q5kvxyf52kukw1pa[Value.LME-ZNC],timeseries_access_key_fqeas14oitk235763mntlb1c0brnk9w3fenzqbk313q5kvxyf52kukw1pa[Month],MONTH(Data!$A175),timeseries_access_key_fqeas14oitk235763mntlb1c0brnk9w3fenzqbk313q5kvxyf52kukw1pa[Year],YEAR(Data!$A175)),"")</f>
        <v/>
      </c>
      <c r="N175" s="2" t="str">
        <f>IFERROR(AVERAGEIFS(timeseries_access_key_fqeas14oitk235763mntlb1c0brnk9w3fenzqbk313q5kvxyf52kukw1pa[Column1],timeseries_access_key_fqeas14oitk235763mntlb1c0brnk9w3fenzqbk313q5kvxyf52kukw1pa[Month],MONTH(Data!$A175),timeseries_access_key_fqeas14oitk235763mntlb1c0brnk9w3fenzqbk313q5kvxyf52kukw1pa[Year],YEAR(Data!$A175)),"")</f>
        <v/>
      </c>
      <c r="O175" s="8" t="str">
        <f>IFERROR(VLOOKUP($A175,Text_1_2[[Text.1.1.3]:[Text.1.3]],2,FALSE),"")</f>
        <v/>
      </c>
      <c r="P175" s="2"/>
    </row>
    <row r="176" spans="1:16" x14ac:dyDescent="0.25">
      <c r="A176" s="1">
        <v>26481</v>
      </c>
      <c r="B176" t="str">
        <f>HLOOKUP(Dashboard!$I$27,results,ROW(A176),FALSE)</f>
        <v/>
      </c>
      <c r="C176">
        <f>IFERROR(VLOOKUP(A176,observations_series_id_PCU22112222112243_api_key_ecc133893ea92a842ee685c73424608[],2,FALSE),"")</f>
        <v>22.1</v>
      </c>
      <c r="D176" s="2">
        <f>IFERROR(VLOOKUP(A176,observations_series_id_PCU22112222112243_api_key_ecc133893ea92a842ee685c73424608[],3,FALSE),"")</f>
        <v>0.21266968325791868</v>
      </c>
      <c r="E176" t="str">
        <f>IFERROR(VLOOKUP($A176,observations_series_id_WPU0613020T_api_key_ecc133893ea92a842ee685c734246086_file[],2,FALSE),"")</f>
        <v/>
      </c>
      <c r="F176" s="2" t="str">
        <f>IFERROR(VLOOKUP($A176,observations_series_id_WPU0613020T_api_key_ecc133893ea92a842ee685c734246086_file[],3,FALSE),"")</f>
        <v/>
      </c>
      <c r="G176" t="str">
        <f>IFERROR(VLOOKUP($A176,observations_series_id_PCU22122212_api_key_ecc133893ea92a842ee685c734246086_file[],2,FALSE),"")</f>
        <v/>
      </c>
      <c r="H176" s="2" t="str">
        <f>IFERROR(VLOOKUP($A176,observations_series_id_PCU22122212_api_key_ecc133893ea92a842ee685c734246086_file[],3,FALSE),"")</f>
        <v/>
      </c>
      <c r="I176" t="str">
        <f>IFERROR(VLOOKUP($A176,observations_series_id_PCU3241913241910_api_key_ecc133893ea92a842ee685c734246086[],2,FALSE),"")</f>
        <v/>
      </c>
      <c r="J176" s="2" t="str">
        <f>IFERROR(VLOOKUP($A176,observations_series_id_PCU3241913241910_api_key_ecc133893ea92a842ee685c734246086[],3,FALSE),"")</f>
        <v/>
      </c>
      <c r="K176">
        <f>IFERROR(VLOOKUP($A176,observations_series_id_EXJPUS_api_key_ecc133893ea92a842ee685c734246086_file_type[],2,FALSE),"")</f>
        <v>301.03050000000002</v>
      </c>
      <c r="L176" s="2">
        <f>IFERROR(VLOOKUP($A176,observations_series_id_EXJPUS_api_key_ecc133893ea92a842ee685c734246086_file_type[],3,FALSE),"")</f>
        <v>-0.18931470399178818</v>
      </c>
      <c r="M176" t="str">
        <f>IFERROR(AVERAGEIFS(timeseries_access_key_fqeas14oitk235763mntlb1c0brnk9w3fenzqbk313q5kvxyf52kukw1pa[Value.LME-ZNC],timeseries_access_key_fqeas14oitk235763mntlb1c0brnk9w3fenzqbk313q5kvxyf52kukw1pa[Month],MONTH(Data!$A176),timeseries_access_key_fqeas14oitk235763mntlb1c0brnk9w3fenzqbk313q5kvxyf52kukw1pa[Year],YEAR(Data!$A176)),"")</f>
        <v/>
      </c>
      <c r="N176" s="2" t="str">
        <f>IFERROR(AVERAGEIFS(timeseries_access_key_fqeas14oitk235763mntlb1c0brnk9w3fenzqbk313q5kvxyf52kukw1pa[Column1],timeseries_access_key_fqeas14oitk235763mntlb1c0brnk9w3fenzqbk313q5kvxyf52kukw1pa[Month],MONTH(Data!$A176),timeseries_access_key_fqeas14oitk235763mntlb1c0brnk9w3fenzqbk313q5kvxyf52kukw1pa[Year],YEAR(Data!$A176)),"")</f>
        <v/>
      </c>
      <c r="O176" s="8" t="str">
        <f>IFERROR(VLOOKUP($A176,Text_1_2[[Text.1.1.3]:[Text.1.3]],2,FALSE),"")</f>
        <v/>
      </c>
      <c r="P176" s="2"/>
    </row>
    <row r="177" spans="1:16" x14ac:dyDescent="0.25">
      <c r="A177" s="1">
        <v>26512</v>
      </c>
      <c r="B177" t="str">
        <f>HLOOKUP(Dashboard!$I$27,results,ROW(A177),FALSE)</f>
        <v/>
      </c>
      <c r="C177">
        <f>IFERROR(VLOOKUP(A177,observations_series_id_PCU22112222112243_api_key_ecc133893ea92a842ee685c73424608[],2,FALSE),"")</f>
        <v>22.1</v>
      </c>
      <c r="D177" s="2">
        <f>IFERROR(VLOOKUP(A177,observations_series_id_PCU22112222112243_api_key_ecc133893ea92a842ee685c73424608[],3,FALSE),"")</f>
        <v>0.21266968325791868</v>
      </c>
      <c r="E177" t="str">
        <f>IFERROR(VLOOKUP($A177,observations_series_id_WPU0613020T_api_key_ecc133893ea92a842ee685c734246086_file[],2,FALSE),"")</f>
        <v/>
      </c>
      <c r="F177" s="2" t="str">
        <f>IFERROR(VLOOKUP($A177,observations_series_id_WPU0613020T_api_key_ecc133893ea92a842ee685c734246086_file[],3,FALSE),"")</f>
        <v/>
      </c>
      <c r="G177" t="str">
        <f>IFERROR(VLOOKUP($A177,observations_series_id_PCU22122212_api_key_ecc133893ea92a842ee685c734246086_file[],2,FALSE),"")</f>
        <v/>
      </c>
      <c r="H177" s="2" t="str">
        <f>IFERROR(VLOOKUP($A177,observations_series_id_PCU22122212_api_key_ecc133893ea92a842ee685c734246086_file[],3,FALSE),"")</f>
        <v/>
      </c>
      <c r="I177" t="str">
        <f>IFERROR(VLOOKUP($A177,observations_series_id_PCU3241913241910_api_key_ecc133893ea92a842ee685c734246086[],2,FALSE),"")</f>
        <v/>
      </c>
      <c r="J177" s="2" t="str">
        <f>IFERROR(VLOOKUP($A177,observations_series_id_PCU3241913241910_api_key_ecc133893ea92a842ee685c734246086[],3,FALSE),"")</f>
        <v/>
      </c>
      <c r="K177">
        <f>IFERROR(VLOOKUP($A177,observations_series_id_EXJPUS_api_key_ecc133893ea92a842ee685c734246086_file_type[],2,FALSE),"")</f>
        <v>301.16090000000003</v>
      </c>
      <c r="L177" s="2">
        <f>IFERROR(VLOOKUP($A177,observations_series_id_EXJPUS_api_key_ecc133893ea92a842ee685c734246086_file_type[],3,FALSE),"")</f>
        <v>-0.18879974126787369</v>
      </c>
      <c r="M177" t="str">
        <f>IFERROR(AVERAGEIFS(timeseries_access_key_fqeas14oitk235763mntlb1c0brnk9w3fenzqbk313q5kvxyf52kukw1pa[Value.LME-ZNC],timeseries_access_key_fqeas14oitk235763mntlb1c0brnk9w3fenzqbk313q5kvxyf52kukw1pa[Month],MONTH(Data!$A177),timeseries_access_key_fqeas14oitk235763mntlb1c0brnk9w3fenzqbk313q5kvxyf52kukw1pa[Year],YEAR(Data!$A177)),"")</f>
        <v/>
      </c>
      <c r="N177" s="2" t="str">
        <f>IFERROR(AVERAGEIFS(timeseries_access_key_fqeas14oitk235763mntlb1c0brnk9w3fenzqbk313q5kvxyf52kukw1pa[Column1],timeseries_access_key_fqeas14oitk235763mntlb1c0brnk9w3fenzqbk313q5kvxyf52kukw1pa[Month],MONTH(Data!$A177),timeseries_access_key_fqeas14oitk235763mntlb1c0brnk9w3fenzqbk313q5kvxyf52kukw1pa[Year],YEAR(Data!$A177)),"")</f>
        <v/>
      </c>
      <c r="O177" s="8" t="str">
        <f>IFERROR(VLOOKUP($A177,Text_1_2[[Text.1.1.3]:[Text.1.3]],2,FALSE),"")</f>
        <v/>
      </c>
      <c r="P177" s="2"/>
    </row>
    <row r="178" spans="1:16" x14ac:dyDescent="0.25">
      <c r="A178" s="1">
        <v>26543</v>
      </c>
      <c r="B178" t="str">
        <f>HLOOKUP(Dashboard!$I$27,results,ROW(A178),FALSE)</f>
        <v/>
      </c>
      <c r="C178">
        <f>IFERROR(VLOOKUP(A178,observations_series_id_PCU22112222112243_api_key_ecc133893ea92a842ee685c73424608[],2,FALSE),"")</f>
        <v>22.2</v>
      </c>
      <c r="D178" s="2">
        <f>IFERROR(VLOOKUP(A178,observations_series_id_PCU22112222112243_api_key_ecc133893ea92a842ee685c73424608[],3,FALSE),"")</f>
        <v>0.21621621621621623</v>
      </c>
      <c r="E178" t="str">
        <f>IFERROR(VLOOKUP($A178,observations_series_id_WPU0613020T_api_key_ecc133893ea92a842ee685c734246086_file[],2,FALSE),"")</f>
        <v/>
      </c>
      <c r="F178" s="2" t="str">
        <f>IFERROR(VLOOKUP($A178,observations_series_id_WPU0613020T_api_key_ecc133893ea92a842ee685c734246086_file[],3,FALSE),"")</f>
        <v/>
      </c>
      <c r="G178" t="str">
        <f>IFERROR(VLOOKUP($A178,observations_series_id_PCU22122212_api_key_ecc133893ea92a842ee685c734246086_file[],2,FALSE),"")</f>
        <v/>
      </c>
      <c r="H178" s="2" t="str">
        <f>IFERROR(VLOOKUP($A178,observations_series_id_PCU22122212_api_key_ecc133893ea92a842ee685c734246086_file[],3,FALSE),"")</f>
        <v/>
      </c>
      <c r="I178" t="str">
        <f>IFERROR(VLOOKUP($A178,observations_series_id_PCU3241913241910_api_key_ecc133893ea92a842ee685c734246086[],2,FALSE),"")</f>
        <v/>
      </c>
      <c r="J178" s="2" t="str">
        <f>IFERROR(VLOOKUP($A178,observations_series_id_PCU3241913241910_api_key_ecc133893ea92a842ee685c734246086[],3,FALSE),"")</f>
        <v/>
      </c>
      <c r="K178">
        <f>IFERROR(VLOOKUP($A178,observations_series_id_EXJPUS_api_key_ecc133893ea92a842ee685c734246086_file_type[],2,FALSE),"")</f>
        <v>301.11900000000003</v>
      </c>
      <c r="L178" s="2">
        <f>IFERROR(VLOOKUP($A178,observations_series_id_EXJPUS_api_key_ecc133893ea92a842ee685c734246086_file_type[],3,FALSE),"")</f>
        <v>-0.18896515995337371</v>
      </c>
      <c r="M178" t="str">
        <f>IFERROR(AVERAGEIFS(timeseries_access_key_fqeas14oitk235763mntlb1c0brnk9w3fenzqbk313q5kvxyf52kukw1pa[Value.LME-ZNC],timeseries_access_key_fqeas14oitk235763mntlb1c0brnk9w3fenzqbk313q5kvxyf52kukw1pa[Month],MONTH(Data!$A178),timeseries_access_key_fqeas14oitk235763mntlb1c0brnk9w3fenzqbk313q5kvxyf52kukw1pa[Year],YEAR(Data!$A178)),"")</f>
        <v/>
      </c>
      <c r="N178" s="2" t="str">
        <f>IFERROR(AVERAGEIFS(timeseries_access_key_fqeas14oitk235763mntlb1c0brnk9w3fenzqbk313q5kvxyf52kukw1pa[Column1],timeseries_access_key_fqeas14oitk235763mntlb1c0brnk9w3fenzqbk313q5kvxyf52kukw1pa[Month],MONTH(Data!$A178),timeseries_access_key_fqeas14oitk235763mntlb1c0brnk9w3fenzqbk313q5kvxyf52kukw1pa[Year],YEAR(Data!$A178)),"")</f>
        <v/>
      </c>
      <c r="O178" s="8" t="str">
        <f>IFERROR(VLOOKUP($A178,Text_1_2[[Text.1.1.3]:[Text.1.3]],2,FALSE),"")</f>
        <v/>
      </c>
      <c r="P178" s="2"/>
    </row>
    <row r="179" spans="1:16" x14ac:dyDescent="0.25">
      <c r="A179" s="1">
        <v>26573</v>
      </c>
      <c r="B179" t="str">
        <f>HLOOKUP(Dashboard!$I$27,results,ROW(A179),FALSE)</f>
        <v/>
      </c>
      <c r="C179">
        <f>IFERROR(VLOOKUP(A179,observations_series_id_PCU22112222112243_api_key_ecc133893ea92a842ee685c73424608[],2,FALSE),"")</f>
        <v>22.3</v>
      </c>
      <c r="D179" s="2">
        <f>IFERROR(VLOOKUP(A179,observations_series_id_PCU22112222112243_api_key_ecc133893ea92a842ee685c73424608[],3,FALSE),"")</f>
        <v>0.21973094170403595</v>
      </c>
      <c r="E179" t="str">
        <f>IFERROR(VLOOKUP($A179,observations_series_id_WPU0613020T_api_key_ecc133893ea92a842ee685c734246086_file[],2,FALSE),"")</f>
        <v/>
      </c>
      <c r="F179" s="2" t="str">
        <f>IFERROR(VLOOKUP($A179,observations_series_id_WPU0613020T_api_key_ecc133893ea92a842ee685c734246086_file[],3,FALSE),"")</f>
        <v/>
      </c>
      <c r="G179" t="str">
        <f>IFERROR(VLOOKUP($A179,observations_series_id_PCU22122212_api_key_ecc133893ea92a842ee685c734246086_file[],2,FALSE),"")</f>
        <v/>
      </c>
      <c r="H179" s="2" t="str">
        <f>IFERROR(VLOOKUP($A179,observations_series_id_PCU22122212_api_key_ecc133893ea92a842ee685c734246086_file[],3,FALSE),"")</f>
        <v/>
      </c>
      <c r="I179" t="str">
        <f>IFERROR(VLOOKUP($A179,observations_series_id_PCU3241913241910_api_key_ecc133893ea92a842ee685c734246086[],2,FALSE),"")</f>
        <v/>
      </c>
      <c r="J179" s="2" t="str">
        <f>IFERROR(VLOOKUP($A179,observations_series_id_PCU3241913241910_api_key_ecc133893ea92a842ee685c734246086[],3,FALSE),"")</f>
        <v/>
      </c>
      <c r="K179">
        <f>IFERROR(VLOOKUP($A179,observations_series_id_EXJPUS_api_key_ecc133893ea92a842ee685c734246086_file_type[],2,FALSE),"")</f>
        <v>301.01100000000002</v>
      </c>
      <c r="L179" s="2">
        <f>IFERROR(VLOOKUP($A179,observations_series_id_EXJPUS_api_key_ecc133893ea92a842ee685c734246086_file_type[],3,FALSE),"")</f>
        <v>-0.1893917498031632</v>
      </c>
      <c r="M179" t="str">
        <f>IFERROR(AVERAGEIFS(timeseries_access_key_fqeas14oitk235763mntlb1c0brnk9w3fenzqbk313q5kvxyf52kukw1pa[Value.LME-ZNC],timeseries_access_key_fqeas14oitk235763mntlb1c0brnk9w3fenzqbk313q5kvxyf52kukw1pa[Month],MONTH(Data!$A179),timeseries_access_key_fqeas14oitk235763mntlb1c0brnk9w3fenzqbk313q5kvxyf52kukw1pa[Year],YEAR(Data!$A179)),"")</f>
        <v/>
      </c>
      <c r="N179" s="2" t="str">
        <f>IFERROR(AVERAGEIFS(timeseries_access_key_fqeas14oitk235763mntlb1c0brnk9w3fenzqbk313q5kvxyf52kukw1pa[Column1],timeseries_access_key_fqeas14oitk235763mntlb1c0brnk9w3fenzqbk313q5kvxyf52kukw1pa[Month],MONTH(Data!$A179),timeseries_access_key_fqeas14oitk235763mntlb1c0brnk9w3fenzqbk313q5kvxyf52kukw1pa[Year],YEAR(Data!$A179)),"")</f>
        <v/>
      </c>
      <c r="O179" s="8" t="str">
        <f>IFERROR(VLOOKUP($A179,Text_1_2[[Text.1.1.3]:[Text.1.3]],2,FALSE),"")</f>
        <v/>
      </c>
      <c r="P179" s="2"/>
    </row>
    <row r="180" spans="1:16" x14ac:dyDescent="0.25">
      <c r="A180" s="1">
        <v>26604</v>
      </c>
      <c r="B180" t="str">
        <f>HLOOKUP(Dashboard!$I$27,results,ROW(A180),FALSE)</f>
        <v/>
      </c>
      <c r="C180">
        <f>IFERROR(VLOOKUP(A180,observations_series_id_PCU22112222112243_api_key_ecc133893ea92a842ee685c73424608[],2,FALSE),"")</f>
        <v>22.3</v>
      </c>
      <c r="D180" s="2">
        <f>IFERROR(VLOOKUP(A180,observations_series_id_PCU22112222112243_api_key_ecc133893ea92a842ee685c73424608[],3,FALSE),"")</f>
        <v>0.21973094170403595</v>
      </c>
      <c r="E180" t="str">
        <f>IFERROR(VLOOKUP($A180,observations_series_id_WPU0613020T_api_key_ecc133893ea92a842ee685c734246086_file[],2,FALSE),"")</f>
        <v/>
      </c>
      <c r="F180" s="2" t="str">
        <f>IFERROR(VLOOKUP($A180,observations_series_id_WPU0613020T_api_key_ecc133893ea92a842ee685c734246086_file[],3,FALSE),"")</f>
        <v/>
      </c>
      <c r="G180" t="str">
        <f>IFERROR(VLOOKUP($A180,observations_series_id_PCU22122212_api_key_ecc133893ea92a842ee685c734246086_file[],2,FALSE),"")</f>
        <v/>
      </c>
      <c r="H180" s="2" t="str">
        <f>IFERROR(VLOOKUP($A180,observations_series_id_PCU22122212_api_key_ecc133893ea92a842ee685c734246086_file[],3,FALSE),"")</f>
        <v/>
      </c>
      <c r="I180" t="str">
        <f>IFERROR(VLOOKUP($A180,observations_series_id_PCU3241913241910_api_key_ecc133893ea92a842ee685c734246086[],2,FALSE),"")</f>
        <v/>
      </c>
      <c r="J180" s="2" t="str">
        <f>IFERROR(VLOOKUP($A180,observations_series_id_PCU3241913241910_api_key_ecc133893ea92a842ee685c734246086[],3,FALSE),"")</f>
        <v/>
      </c>
      <c r="K180">
        <f>IFERROR(VLOOKUP($A180,observations_series_id_EXJPUS_api_key_ecc133893ea92a842ee685c734246086_file_type[],2,FALSE),"")</f>
        <v>300.98849999999999</v>
      </c>
      <c r="L180" s="2">
        <f>IFERROR(VLOOKUP($A180,observations_series_id_EXJPUS_api_key_ecc133893ea92a842ee685c734246086_file_type[],3,FALSE),"")</f>
        <v>-0.18948066122127583</v>
      </c>
      <c r="M180" t="str">
        <f>IFERROR(AVERAGEIFS(timeseries_access_key_fqeas14oitk235763mntlb1c0brnk9w3fenzqbk313q5kvxyf52kukw1pa[Value.LME-ZNC],timeseries_access_key_fqeas14oitk235763mntlb1c0brnk9w3fenzqbk313q5kvxyf52kukw1pa[Month],MONTH(Data!$A180),timeseries_access_key_fqeas14oitk235763mntlb1c0brnk9w3fenzqbk313q5kvxyf52kukw1pa[Year],YEAR(Data!$A180)),"")</f>
        <v/>
      </c>
      <c r="N180" s="2" t="str">
        <f>IFERROR(AVERAGEIFS(timeseries_access_key_fqeas14oitk235763mntlb1c0brnk9w3fenzqbk313q5kvxyf52kukw1pa[Column1],timeseries_access_key_fqeas14oitk235763mntlb1c0brnk9w3fenzqbk313q5kvxyf52kukw1pa[Month],MONTH(Data!$A180),timeseries_access_key_fqeas14oitk235763mntlb1c0brnk9w3fenzqbk313q5kvxyf52kukw1pa[Year],YEAR(Data!$A180)),"")</f>
        <v/>
      </c>
      <c r="O180" s="8" t="str">
        <f>IFERROR(VLOOKUP($A180,Text_1_2[[Text.1.1.3]:[Text.1.3]],2,FALSE),"")</f>
        <v/>
      </c>
      <c r="P180" s="2"/>
    </row>
    <row r="181" spans="1:16" x14ac:dyDescent="0.25">
      <c r="A181" s="1">
        <v>26634</v>
      </c>
      <c r="B181" t="str">
        <f>HLOOKUP(Dashboard!$I$27,results,ROW(A181),FALSE)</f>
        <v/>
      </c>
      <c r="C181">
        <f>IFERROR(VLOOKUP(A181,observations_series_id_PCU22112222112243_api_key_ecc133893ea92a842ee685c73424608[],2,FALSE),"")</f>
        <v>22.3</v>
      </c>
      <c r="D181" s="2">
        <f>IFERROR(VLOOKUP(A181,observations_series_id_PCU22112222112243_api_key_ecc133893ea92a842ee685c73424608[],3,FALSE),"")</f>
        <v>0.21973094170403595</v>
      </c>
      <c r="E181" t="str">
        <f>IFERROR(VLOOKUP($A181,observations_series_id_WPU0613020T_api_key_ecc133893ea92a842ee685c734246086_file[],2,FALSE),"")</f>
        <v/>
      </c>
      <c r="F181" s="2" t="str">
        <f>IFERROR(VLOOKUP($A181,observations_series_id_WPU0613020T_api_key_ecc133893ea92a842ee685c734246086_file[],3,FALSE),"")</f>
        <v/>
      </c>
      <c r="G181" t="str">
        <f>IFERROR(VLOOKUP($A181,observations_series_id_PCU22122212_api_key_ecc133893ea92a842ee685c734246086_file[],2,FALSE),"")</f>
        <v/>
      </c>
      <c r="H181" s="2" t="str">
        <f>IFERROR(VLOOKUP($A181,observations_series_id_PCU22122212_api_key_ecc133893ea92a842ee685c734246086_file[],3,FALSE),"")</f>
        <v/>
      </c>
      <c r="I181" t="str">
        <f>IFERROR(VLOOKUP($A181,observations_series_id_PCU3241913241910_api_key_ecc133893ea92a842ee685c734246086[],2,FALSE),"")</f>
        <v/>
      </c>
      <c r="J181" s="2" t="str">
        <f>IFERROR(VLOOKUP($A181,observations_series_id_PCU3241913241910_api_key_ecc133893ea92a842ee685c734246086[],3,FALSE),"")</f>
        <v/>
      </c>
      <c r="K181">
        <f>IFERROR(VLOOKUP($A181,observations_series_id_EXJPUS_api_key_ecc133893ea92a842ee685c734246086_file_type[],2,FALSE),"")</f>
        <v>301.2405</v>
      </c>
      <c r="L181" s="2">
        <f>IFERROR(VLOOKUP($A181,observations_series_id_EXJPUS_api_key_ecc133893ea92a842ee685c734246086_file_type[],3,FALSE),"")</f>
        <v>-0.18848561199440317</v>
      </c>
      <c r="M181" t="str">
        <f>IFERROR(AVERAGEIFS(timeseries_access_key_fqeas14oitk235763mntlb1c0brnk9w3fenzqbk313q5kvxyf52kukw1pa[Value.LME-ZNC],timeseries_access_key_fqeas14oitk235763mntlb1c0brnk9w3fenzqbk313q5kvxyf52kukw1pa[Month],MONTH(Data!$A181),timeseries_access_key_fqeas14oitk235763mntlb1c0brnk9w3fenzqbk313q5kvxyf52kukw1pa[Year],YEAR(Data!$A181)),"")</f>
        <v/>
      </c>
      <c r="N181" s="2" t="str">
        <f>IFERROR(AVERAGEIFS(timeseries_access_key_fqeas14oitk235763mntlb1c0brnk9w3fenzqbk313q5kvxyf52kukw1pa[Column1],timeseries_access_key_fqeas14oitk235763mntlb1c0brnk9w3fenzqbk313q5kvxyf52kukw1pa[Month],MONTH(Data!$A181),timeseries_access_key_fqeas14oitk235763mntlb1c0brnk9w3fenzqbk313q5kvxyf52kukw1pa[Year],YEAR(Data!$A181)),"")</f>
        <v/>
      </c>
      <c r="O181" s="8" t="str">
        <f>IFERROR(VLOOKUP($A181,Text_1_2[[Text.1.1.3]:[Text.1.3]],2,FALSE),"")</f>
        <v/>
      </c>
      <c r="P181" s="2"/>
    </row>
    <row r="182" spans="1:16" x14ac:dyDescent="0.25">
      <c r="A182" s="1">
        <v>26665</v>
      </c>
      <c r="B182" t="str">
        <f>HLOOKUP(Dashboard!$I$27,results,ROW(A182),FALSE)</f>
        <v/>
      </c>
      <c r="C182">
        <f>IFERROR(VLOOKUP(A182,observations_series_id_PCU22112222112243_api_key_ecc133893ea92a842ee685c73424608[],2,FALSE),"")</f>
        <v>22.6</v>
      </c>
      <c r="D182" s="2">
        <f>IFERROR(VLOOKUP(A182,observations_series_id_PCU22112222112243_api_key_ecc133893ea92a842ee685c73424608[],3,FALSE),"")</f>
        <v>0.23008849557522137</v>
      </c>
      <c r="E182" t="str">
        <f>IFERROR(VLOOKUP($A182,observations_series_id_WPU0613020T_api_key_ecc133893ea92a842ee685c734246086_file[],2,FALSE),"")</f>
        <v/>
      </c>
      <c r="F182" s="2" t="str">
        <f>IFERROR(VLOOKUP($A182,observations_series_id_WPU0613020T_api_key_ecc133893ea92a842ee685c734246086_file[],3,FALSE),"")</f>
        <v/>
      </c>
      <c r="G182" t="str">
        <f>IFERROR(VLOOKUP($A182,observations_series_id_PCU22122212_api_key_ecc133893ea92a842ee685c734246086_file[],2,FALSE),"")</f>
        <v/>
      </c>
      <c r="H182" s="2" t="str">
        <f>IFERROR(VLOOKUP($A182,observations_series_id_PCU22122212_api_key_ecc133893ea92a842ee685c734246086_file[],3,FALSE),"")</f>
        <v/>
      </c>
      <c r="I182" t="str">
        <f>IFERROR(VLOOKUP($A182,observations_series_id_PCU3241913241910_api_key_ecc133893ea92a842ee685c734246086[],2,FALSE),"")</f>
        <v/>
      </c>
      <c r="J182" s="2" t="str">
        <f>IFERROR(VLOOKUP($A182,observations_series_id_PCU3241913241910_api_key_ecc133893ea92a842ee685c734246086[],3,FALSE),"")</f>
        <v/>
      </c>
      <c r="K182">
        <f>IFERROR(VLOOKUP($A182,observations_series_id_EXJPUS_api_key_ecc133893ea92a842ee685c734246086_file_type[],2,FALSE),"")</f>
        <v>301.78820000000002</v>
      </c>
      <c r="L182" s="2">
        <f>IFERROR(VLOOKUP($A182,observations_series_id_EXJPUS_api_key_ecc133893ea92a842ee685c734246086_file_type[],3,FALSE),"")</f>
        <v>-0.18632869012108477</v>
      </c>
      <c r="M182" t="str">
        <f>IFERROR(AVERAGEIFS(timeseries_access_key_fqeas14oitk235763mntlb1c0brnk9w3fenzqbk313q5kvxyf52kukw1pa[Value.LME-ZNC],timeseries_access_key_fqeas14oitk235763mntlb1c0brnk9w3fenzqbk313q5kvxyf52kukw1pa[Month],MONTH(Data!$A182),timeseries_access_key_fqeas14oitk235763mntlb1c0brnk9w3fenzqbk313q5kvxyf52kukw1pa[Year],YEAR(Data!$A182)),"")</f>
        <v/>
      </c>
      <c r="N182" s="2" t="str">
        <f>IFERROR(AVERAGEIFS(timeseries_access_key_fqeas14oitk235763mntlb1c0brnk9w3fenzqbk313q5kvxyf52kukw1pa[Column1],timeseries_access_key_fqeas14oitk235763mntlb1c0brnk9w3fenzqbk313q5kvxyf52kukw1pa[Month],MONTH(Data!$A182),timeseries_access_key_fqeas14oitk235763mntlb1c0brnk9w3fenzqbk313q5kvxyf52kukw1pa[Year],YEAR(Data!$A182)),"")</f>
        <v/>
      </c>
      <c r="O182" s="8" t="str">
        <f>IFERROR(VLOOKUP($A182,Text_1_2[[Text.1.1.3]:[Text.1.3]],2,FALSE),"")</f>
        <v/>
      </c>
      <c r="P182" s="2"/>
    </row>
    <row r="183" spans="1:16" x14ac:dyDescent="0.25">
      <c r="A183" s="1">
        <v>26696</v>
      </c>
      <c r="B183" t="str">
        <f>HLOOKUP(Dashboard!$I$27,results,ROW(A183),FALSE)</f>
        <v/>
      </c>
      <c r="C183">
        <f>IFERROR(VLOOKUP(A183,observations_series_id_PCU22112222112243_api_key_ecc133893ea92a842ee685c73424608[],2,FALSE),"")</f>
        <v>22.9</v>
      </c>
      <c r="D183" s="2">
        <f>IFERROR(VLOOKUP(A183,observations_series_id_PCU22112222112243_api_key_ecc133893ea92a842ee685c73424608[],3,FALSE),"")</f>
        <v>0.24017467248908297</v>
      </c>
      <c r="E183" t="str">
        <f>IFERROR(VLOOKUP($A183,observations_series_id_WPU0613020T_api_key_ecc133893ea92a842ee685c734246086_file[],2,FALSE),"")</f>
        <v/>
      </c>
      <c r="F183" s="2" t="str">
        <f>IFERROR(VLOOKUP($A183,observations_series_id_WPU0613020T_api_key_ecc133893ea92a842ee685c734246086_file[],3,FALSE),"")</f>
        <v/>
      </c>
      <c r="G183" t="str">
        <f>IFERROR(VLOOKUP($A183,observations_series_id_PCU22122212_api_key_ecc133893ea92a842ee685c734246086_file[],2,FALSE),"")</f>
        <v/>
      </c>
      <c r="H183" s="2" t="str">
        <f>IFERROR(VLOOKUP($A183,observations_series_id_PCU22122212_api_key_ecc133893ea92a842ee685c734246086_file[],3,FALSE),"")</f>
        <v/>
      </c>
      <c r="I183" t="str">
        <f>IFERROR(VLOOKUP($A183,observations_series_id_PCU3241913241910_api_key_ecc133893ea92a842ee685c734246086[],2,FALSE),"")</f>
        <v/>
      </c>
      <c r="J183" s="2" t="str">
        <f>IFERROR(VLOOKUP($A183,observations_series_id_PCU3241913241910_api_key_ecc133893ea92a842ee685c734246086[],3,FALSE),"")</f>
        <v/>
      </c>
      <c r="K183">
        <f>IFERROR(VLOOKUP($A183,observations_series_id_EXJPUS_api_key_ecc133893ea92a842ee685c734246086_file_type[],2,FALSE),"")</f>
        <v>278.42059999999998</v>
      </c>
      <c r="L183" s="2">
        <f>IFERROR(VLOOKUP($A183,observations_series_id_EXJPUS_api_key_ecc133893ea92a842ee685c734246086_file_type[],3,FALSE),"")</f>
        <v>-0.28589623037950496</v>
      </c>
      <c r="M183" t="str">
        <f>IFERROR(AVERAGEIFS(timeseries_access_key_fqeas14oitk235763mntlb1c0brnk9w3fenzqbk313q5kvxyf52kukw1pa[Value.LME-ZNC],timeseries_access_key_fqeas14oitk235763mntlb1c0brnk9w3fenzqbk313q5kvxyf52kukw1pa[Month],MONTH(Data!$A183),timeseries_access_key_fqeas14oitk235763mntlb1c0brnk9w3fenzqbk313q5kvxyf52kukw1pa[Year],YEAR(Data!$A183)),"")</f>
        <v/>
      </c>
      <c r="N183" s="2" t="str">
        <f>IFERROR(AVERAGEIFS(timeseries_access_key_fqeas14oitk235763mntlb1c0brnk9w3fenzqbk313q5kvxyf52kukw1pa[Column1],timeseries_access_key_fqeas14oitk235763mntlb1c0brnk9w3fenzqbk313q5kvxyf52kukw1pa[Month],MONTH(Data!$A183),timeseries_access_key_fqeas14oitk235763mntlb1c0brnk9w3fenzqbk313q5kvxyf52kukw1pa[Year],YEAR(Data!$A183)),"")</f>
        <v/>
      </c>
      <c r="O183" s="8" t="str">
        <f>IFERROR(VLOOKUP($A183,Text_1_2[[Text.1.1.3]:[Text.1.3]],2,FALSE),"")</f>
        <v/>
      </c>
      <c r="P183" s="2"/>
    </row>
    <row r="184" spans="1:16" x14ac:dyDescent="0.25">
      <c r="A184" s="1">
        <v>26724</v>
      </c>
      <c r="B184" t="str">
        <f>HLOOKUP(Dashboard!$I$27,results,ROW(A184),FALSE)</f>
        <v/>
      </c>
      <c r="C184">
        <f>IFERROR(VLOOKUP(A184,observations_series_id_PCU22112222112243_api_key_ecc133893ea92a842ee685c73424608[],2,FALSE),"")</f>
        <v>23.1</v>
      </c>
      <c r="D184" s="2">
        <f>IFERROR(VLOOKUP(A184,observations_series_id_PCU22112222112243_api_key_ecc133893ea92a842ee685c73424608[],3,FALSE),"")</f>
        <v>0.24675324675324684</v>
      </c>
      <c r="E184" t="str">
        <f>IFERROR(VLOOKUP($A184,observations_series_id_WPU0613020T_api_key_ecc133893ea92a842ee685c734246086_file[],2,FALSE),"")</f>
        <v/>
      </c>
      <c r="F184" s="2" t="str">
        <f>IFERROR(VLOOKUP($A184,observations_series_id_WPU0613020T_api_key_ecc133893ea92a842ee685c734246086_file[],3,FALSE),"")</f>
        <v/>
      </c>
      <c r="G184" t="str">
        <f>IFERROR(VLOOKUP($A184,observations_series_id_PCU22122212_api_key_ecc133893ea92a842ee685c734246086_file[],2,FALSE),"")</f>
        <v/>
      </c>
      <c r="H184" s="2" t="str">
        <f>IFERROR(VLOOKUP($A184,observations_series_id_PCU22122212_api_key_ecc133893ea92a842ee685c734246086_file[],3,FALSE),"")</f>
        <v/>
      </c>
      <c r="I184" t="str">
        <f>IFERROR(VLOOKUP($A184,observations_series_id_PCU3241913241910_api_key_ecc133893ea92a842ee685c734246086[],2,FALSE),"")</f>
        <v/>
      </c>
      <c r="J184" s="2" t="str">
        <f>IFERROR(VLOOKUP($A184,observations_series_id_PCU3241913241910_api_key_ecc133893ea92a842ee685c734246086[],3,FALSE),"")</f>
        <v/>
      </c>
      <c r="K184">
        <f>IFERROR(VLOOKUP($A184,observations_series_id_EXJPUS_api_key_ecc133893ea92a842ee685c734246086_file_type[],2,FALSE),"")</f>
        <v>261.90140000000002</v>
      </c>
      <c r="L184" s="2">
        <f>IFERROR(VLOOKUP($A184,observations_series_id_EXJPUS_api_key_ecc133893ea92a842ee685c734246086_file_type[],3,FALSE),"")</f>
        <v>-0.36700300189307855</v>
      </c>
      <c r="M184" t="str">
        <f>IFERROR(AVERAGEIFS(timeseries_access_key_fqeas14oitk235763mntlb1c0brnk9w3fenzqbk313q5kvxyf52kukw1pa[Value.LME-ZNC],timeseries_access_key_fqeas14oitk235763mntlb1c0brnk9w3fenzqbk313q5kvxyf52kukw1pa[Month],MONTH(Data!$A184),timeseries_access_key_fqeas14oitk235763mntlb1c0brnk9w3fenzqbk313q5kvxyf52kukw1pa[Year],YEAR(Data!$A184)),"")</f>
        <v/>
      </c>
      <c r="N184" s="2" t="str">
        <f>IFERROR(AVERAGEIFS(timeseries_access_key_fqeas14oitk235763mntlb1c0brnk9w3fenzqbk313q5kvxyf52kukw1pa[Column1],timeseries_access_key_fqeas14oitk235763mntlb1c0brnk9w3fenzqbk313q5kvxyf52kukw1pa[Month],MONTH(Data!$A184),timeseries_access_key_fqeas14oitk235763mntlb1c0brnk9w3fenzqbk313q5kvxyf52kukw1pa[Year],YEAR(Data!$A184)),"")</f>
        <v/>
      </c>
      <c r="O184" s="8" t="str">
        <f>IFERROR(VLOOKUP($A184,Text_1_2[[Text.1.1.3]:[Text.1.3]],2,FALSE),"")</f>
        <v/>
      </c>
      <c r="P184" s="2"/>
    </row>
    <row r="185" spans="1:16" x14ac:dyDescent="0.25">
      <c r="A185" s="1">
        <v>26755</v>
      </c>
      <c r="B185" t="str">
        <f>HLOOKUP(Dashboard!$I$27,results,ROW(A185),FALSE)</f>
        <v/>
      </c>
      <c r="C185">
        <f>IFERROR(VLOOKUP(A185,observations_series_id_PCU22112222112243_api_key_ecc133893ea92a842ee685c73424608[],2,FALSE),"")</f>
        <v>23.3</v>
      </c>
      <c r="D185" s="2">
        <f>IFERROR(VLOOKUP(A185,observations_series_id_PCU22112222112243_api_key_ecc133893ea92a842ee685c73424608[],3,FALSE),"")</f>
        <v>0.25321888412017179</v>
      </c>
      <c r="E185" t="str">
        <f>IFERROR(VLOOKUP($A185,observations_series_id_WPU0613020T_api_key_ecc133893ea92a842ee685c734246086_file[],2,FALSE),"")</f>
        <v/>
      </c>
      <c r="F185" s="2" t="str">
        <f>IFERROR(VLOOKUP($A185,observations_series_id_WPU0613020T_api_key_ecc133893ea92a842ee685c734246086_file[],3,FALSE),"")</f>
        <v/>
      </c>
      <c r="G185" t="str">
        <f>IFERROR(VLOOKUP($A185,observations_series_id_PCU22122212_api_key_ecc133893ea92a842ee685c734246086_file[],2,FALSE),"")</f>
        <v/>
      </c>
      <c r="H185" s="2" t="str">
        <f>IFERROR(VLOOKUP($A185,observations_series_id_PCU22122212_api_key_ecc133893ea92a842ee685c734246086_file[],3,FALSE),"")</f>
        <v/>
      </c>
      <c r="I185" t="str">
        <f>IFERROR(VLOOKUP($A185,observations_series_id_PCU3241913241910_api_key_ecc133893ea92a842ee685c734246086[],2,FALSE),"")</f>
        <v/>
      </c>
      <c r="J185" s="2" t="str">
        <f>IFERROR(VLOOKUP($A185,observations_series_id_PCU3241913241910_api_key_ecc133893ea92a842ee685c734246086[],3,FALSE),"")</f>
        <v/>
      </c>
      <c r="K185">
        <f>IFERROR(VLOOKUP($A185,observations_series_id_EXJPUS_api_key_ecc133893ea92a842ee685c734246086_file_type[],2,FALSE),"")</f>
        <v>265.4914</v>
      </c>
      <c r="L185" s="2">
        <f>IFERROR(VLOOKUP($A185,observations_series_id_EXJPUS_api_key_ecc133893ea92a842ee685c734246086_file_type[],3,FALSE),"")</f>
        <v>-0.34851825708855344</v>
      </c>
      <c r="M185" t="str">
        <f>IFERROR(AVERAGEIFS(timeseries_access_key_fqeas14oitk235763mntlb1c0brnk9w3fenzqbk313q5kvxyf52kukw1pa[Value.LME-ZNC],timeseries_access_key_fqeas14oitk235763mntlb1c0brnk9w3fenzqbk313q5kvxyf52kukw1pa[Month],MONTH(Data!$A185),timeseries_access_key_fqeas14oitk235763mntlb1c0brnk9w3fenzqbk313q5kvxyf52kukw1pa[Year],YEAR(Data!$A185)),"")</f>
        <v/>
      </c>
      <c r="N185" s="2" t="str">
        <f>IFERROR(AVERAGEIFS(timeseries_access_key_fqeas14oitk235763mntlb1c0brnk9w3fenzqbk313q5kvxyf52kukw1pa[Column1],timeseries_access_key_fqeas14oitk235763mntlb1c0brnk9w3fenzqbk313q5kvxyf52kukw1pa[Month],MONTH(Data!$A185),timeseries_access_key_fqeas14oitk235763mntlb1c0brnk9w3fenzqbk313q5kvxyf52kukw1pa[Year],YEAR(Data!$A185)),"")</f>
        <v/>
      </c>
      <c r="O185" s="8" t="str">
        <f>IFERROR(VLOOKUP($A185,Text_1_2[[Text.1.1.3]:[Text.1.3]],2,FALSE),"")</f>
        <v/>
      </c>
      <c r="P185" s="2"/>
    </row>
    <row r="186" spans="1:16" x14ac:dyDescent="0.25">
      <c r="A186" s="1">
        <v>26785</v>
      </c>
      <c r="B186" t="str">
        <f>HLOOKUP(Dashboard!$I$27,results,ROW(A186),FALSE)</f>
        <v/>
      </c>
      <c r="C186">
        <f>IFERROR(VLOOKUP(A186,observations_series_id_PCU22112222112243_api_key_ecc133893ea92a842ee685c73424608[],2,FALSE),"")</f>
        <v>23.4</v>
      </c>
      <c r="D186" s="2">
        <f>IFERROR(VLOOKUP(A186,observations_series_id_PCU22112222112243_api_key_ecc133893ea92a842ee685c73424608[],3,FALSE),"")</f>
        <v>0.25641025641025639</v>
      </c>
      <c r="E186" t="str">
        <f>IFERROR(VLOOKUP($A186,observations_series_id_WPU0613020T_api_key_ecc133893ea92a842ee685c734246086_file[],2,FALSE),"")</f>
        <v/>
      </c>
      <c r="F186" s="2" t="str">
        <f>IFERROR(VLOOKUP($A186,observations_series_id_WPU0613020T_api_key_ecc133893ea92a842ee685c734246086_file[],3,FALSE),"")</f>
        <v/>
      </c>
      <c r="G186" t="str">
        <f>IFERROR(VLOOKUP($A186,observations_series_id_PCU22122212_api_key_ecc133893ea92a842ee685c734246086_file[],2,FALSE),"")</f>
        <v/>
      </c>
      <c r="H186" s="2" t="str">
        <f>IFERROR(VLOOKUP($A186,observations_series_id_PCU22122212_api_key_ecc133893ea92a842ee685c734246086_file[],3,FALSE),"")</f>
        <v/>
      </c>
      <c r="I186" t="str">
        <f>IFERROR(VLOOKUP($A186,observations_series_id_PCU3241913241910_api_key_ecc133893ea92a842ee685c734246086[],2,FALSE),"")</f>
        <v/>
      </c>
      <c r="J186" s="2" t="str">
        <f>IFERROR(VLOOKUP($A186,observations_series_id_PCU3241913241910_api_key_ecc133893ea92a842ee685c734246086[],3,FALSE),"")</f>
        <v/>
      </c>
      <c r="K186">
        <f>IFERROR(VLOOKUP($A186,observations_series_id_EXJPUS_api_key_ecc133893ea92a842ee685c734246086_file_type[],2,FALSE),"")</f>
        <v>264.65050000000002</v>
      </c>
      <c r="L186" s="2">
        <f>IFERROR(VLOOKUP($A186,observations_series_id_EXJPUS_api_key_ecc133893ea92a842ee685c734246086_file_type[],3,FALSE),"")</f>
        <v>-0.35280303645751654</v>
      </c>
      <c r="M186" t="str">
        <f>IFERROR(AVERAGEIFS(timeseries_access_key_fqeas14oitk235763mntlb1c0brnk9w3fenzqbk313q5kvxyf52kukw1pa[Value.LME-ZNC],timeseries_access_key_fqeas14oitk235763mntlb1c0brnk9w3fenzqbk313q5kvxyf52kukw1pa[Month],MONTH(Data!$A186),timeseries_access_key_fqeas14oitk235763mntlb1c0brnk9w3fenzqbk313q5kvxyf52kukw1pa[Year],YEAR(Data!$A186)),"")</f>
        <v/>
      </c>
      <c r="N186" s="2" t="str">
        <f>IFERROR(AVERAGEIFS(timeseries_access_key_fqeas14oitk235763mntlb1c0brnk9w3fenzqbk313q5kvxyf52kukw1pa[Column1],timeseries_access_key_fqeas14oitk235763mntlb1c0brnk9w3fenzqbk313q5kvxyf52kukw1pa[Month],MONTH(Data!$A186),timeseries_access_key_fqeas14oitk235763mntlb1c0brnk9w3fenzqbk313q5kvxyf52kukw1pa[Year],YEAR(Data!$A186)),"")</f>
        <v/>
      </c>
      <c r="O186" s="8" t="str">
        <f>IFERROR(VLOOKUP($A186,Text_1_2[[Text.1.1.3]:[Text.1.3]],2,FALSE),"")</f>
        <v/>
      </c>
      <c r="P186" s="2"/>
    </row>
    <row r="187" spans="1:16" x14ac:dyDescent="0.25">
      <c r="A187" s="1">
        <v>26816</v>
      </c>
      <c r="B187" t="str">
        <f>HLOOKUP(Dashboard!$I$27,results,ROW(A187),FALSE)</f>
        <v/>
      </c>
      <c r="C187">
        <f>IFERROR(VLOOKUP(A187,observations_series_id_PCU22112222112243_api_key_ecc133893ea92a842ee685c73424608[],2,FALSE),"")</f>
        <v>23.3</v>
      </c>
      <c r="D187" s="2">
        <f>IFERROR(VLOOKUP(A187,observations_series_id_PCU22112222112243_api_key_ecc133893ea92a842ee685c73424608[],3,FALSE),"")</f>
        <v>0.25321888412017179</v>
      </c>
      <c r="E187" t="str">
        <f>IFERROR(VLOOKUP($A187,observations_series_id_WPU0613020T_api_key_ecc133893ea92a842ee685c734246086_file[],2,FALSE),"")</f>
        <v/>
      </c>
      <c r="F187" s="2" t="str">
        <f>IFERROR(VLOOKUP($A187,observations_series_id_WPU0613020T_api_key_ecc133893ea92a842ee685c734246086_file[],3,FALSE),"")</f>
        <v/>
      </c>
      <c r="G187" t="str">
        <f>IFERROR(VLOOKUP($A187,observations_series_id_PCU22122212_api_key_ecc133893ea92a842ee685c734246086_file[],2,FALSE),"")</f>
        <v/>
      </c>
      <c r="H187" s="2" t="str">
        <f>IFERROR(VLOOKUP($A187,observations_series_id_PCU22122212_api_key_ecc133893ea92a842ee685c734246086_file[],3,FALSE),"")</f>
        <v/>
      </c>
      <c r="I187" t="str">
        <f>IFERROR(VLOOKUP($A187,observations_series_id_PCU3241913241910_api_key_ecc133893ea92a842ee685c734246086[],2,FALSE),"")</f>
        <v/>
      </c>
      <c r="J187" s="2" t="str">
        <f>IFERROR(VLOOKUP($A187,observations_series_id_PCU3241913241910_api_key_ecc133893ea92a842ee685c734246086[],3,FALSE),"")</f>
        <v/>
      </c>
      <c r="K187">
        <f>IFERROR(VLOOKUP($A187,observations_series_id_EXJPUS_api_key_ecc133893ea92a842ee685c734246086_file_type[],2,FALSE),"")</f>
        <v>264.49810000000002</v>
      </c>
      <c r="L187" s="2">
        <f>IFERROR(VLOOKUP($A187,observations_series_id_EXJPUS_api_key_ecc133893ea92a842ee685c734246086_file_type[],3,FALSE),"")</f>
        <v>-0.35358250210492992</v>
      </c>
      <c r="M187" t="str">
        <f>IFERROR(AVERAGEIFS(timeseries_access_key_fqeas14oitk235763mntlb1c0brnk9w3fenzqbk313q5kvxyf52kukw1pa[Value.LME-ZNC],timeseries_access_key_fqeas14oitk235763mntlb1c0brnk9w3fenzqbk313q5kvxyf52kukw1pa[Month],MONTH(Data!$A187),timeseries_access_key_fqeas14oitk235763mntlb1c0brnk9w3fenzqbk313q5kvxyf52kukw1pa[Year],YEAR(Data!$A187)),"")</f>
        <v/>
      </c>
      <c r="N187" s="2" t="str">
        <f>IFERROR(AVERAGEIFS(timeseries_access_key_fqeas14oitk235763mntlb1c0brnk9w3fenzqbk313q5kvxyf52kukw1pa[Column1],timeseries_access_key_fqeas14oitk235763mntlb1c0brnk9w3fenzqbk313q5kvxyf52kukw1pa[Month],MONTH(Data!$A187),timeseries_access_key_fqeas14oitk235763mntlb1c0brnk9w3fenzqbk313q5kvxyf52kukw1pa[Year],YEAR(Data!$A187)),"")</f>
        <v/>
      </c>
      <c r="O187" s="8" t="str">
        <f>IFERROR(VLOOKUP($A187,Text_1_2[[Text.1.1.3]:[Text.1.3]],2,FALSE),"")</f>
        <v/>
      </c>
      <c r="P187" s="2"/>
    </row>
    <row r="188" spans="1:16" x14ac:dyDescent="0.25">
      <c r="A188" s="1">
        <v>26846</v>
      </c>
      <c r="B188" t="str">
        <f>HLOOKUP(Dashboard!$I$27,results,ROW(A188),FALSE)</f>
        <v/>
      </c>
      <c r="C188">
        <f>IFERROR(VLOOKUP(A188,observations_series_id_PCU22112222112243_api_key_ecc133893ea92a842ee685c73424608[],2,FALSE),"")</f>
        <v>23.4</v>
      </c>
      <c r="D188" s="2">
        <f>IFERROR(VLOOKUP(A188,observations_series_id_PCU22112222112243_api_key_ecc133893ea92a842ee685c73424608[],3,FALSE),"")</f>
        <v>0.25641025641025639</v>
      </c>
      <c r="E188" t="str">
        <f>IFERROR(VLOOKUP($A188,observations_series_id_WPU0613020T_api_key_ecc133893ea92a842ee685c734246086_file[],2,FALSE),"")</f>
        <v/>
      </c>
      <c r="F188" s="2" t="str">
        <f>IFERROR(VLOOKUP($A188,observations_series_id_WPU0613020T_api_key_ecc133893ea92a842ee685c734246086_file[],3,FALSE),"")</f>
        <v/>
      </c>
      <c r="G188" t="str">
        <f>IFERROR(VLOOKUP($A188,observations_series_id_PCU22122212_api_key_ecc133893ea92a842ee685c734246086_file[],2,FALSE),"")</f>
        <v/>
      </c>
      <c r="H188" s="2" t="str">
        <f>IFERROR(VLOOKUP($A188,observations_series_id_PCU22122212_api_key_ecc133893ea92a842ee685c734246086_file[],3,FALSE),"")</f>
        <v/>
      </c>
      <c r="I188" t="str">
        <f>IFERROR(VLOOKUP($A188,observations_series_id_PCU3241913241910_api_key_ecc133893ea92a842ee685c734246086[],2,FALSE),"")</f>
        <v/>
      </c>
      <c r="J188" s="2" t="str">
        <f>IFERROR(VLOOKUP($A188,observations_series_id_PCU3241913241910_api_key_ecc133893ea92a842ee685c734246086[],3,FALSE),"")</f>
        <v/>
      </c>
      <c r="K188">
        <f>IFERROR(VLOOKUP($A188,observations_series_id_EXJPUS_api_key_ecc133893ea92a842ee685c734246086_file_type[],2,FALSE),"")</f>
        <v>264.55380000000002</v>
      </c>
      <c r="L188" s="2">
        <f>IFERROR(VLOOKUP($A188,observations_series_id_EXJPUS_api_key_ecc133893ea92a842ee685c734246086_file_type[],3,FALSE),"")</f>
        <v>-0.35329751453201563</v>
      </c>
      <c r="M188" t="str">
        <f>IFERROR(AVERAGEIFS(timeseries_access_key_fqeas14oitk235763mntlb1c0brnk9w3fenzqbk313q5kvxyf52kukw1pa[Value.LME-ZNC],timeseries_access_key_fqeas14oitk235763mntlb1c0brnk9w3fenzqbk313q5kvxyf52kukw1pa[Month],MONTH(Data!$A188),timeseries_access_key_fqeas14oitk235763mntlb1c0brnk9w3fenzqbk313q5kvxyf52kukw1pa[Year],YEAR(Data!$A188)),"")</f>
        <v/>
      </c>
      <c r="N188" s="2" t="str">
        <f>IFERROR(AVERAGEIFS(timeseries_access_key_fqeas14oitk235763mntlb1c0brnk9w3fenzqbk313q5kvxyf52kukw1pa[Column1],timeseries_access_key_fqeas14oitk235763mntlb1c0brnk9w3fenzqbk313q5kvxyf52kukw1pa[Month],MONTH(Data!$A188),timeseries_access_key_fqeas14oitk235763mntlb1c0brnk9w3fenzqbk313q5kvxyf52kukw1pa[Year],YEAR(Data!$A188)),"")</f>
        <v/>
      </c>
      <c r="O188" s="8" t="str">
        <f>IFERROR(VLOOKUP($A188,Text_1_2[[Text.1.1.3]:[Text.1.3]],2,FALSE),"")</f>
        <v/>
      </c>
      <c r="P188" s="2"/>
    </row>
    <row r="189" spans="1:16" x14ac:dyDescent="0.25">
      <c r="A189" s="1">
        <v>26877</v>
      </c>
      <c r="B189" t="str">
        <f>HLOOKUP(Dashboard!$I$27,results,ROW(A189),FALSE)</f>
        <v/>
      </c>
      <c r="C189">
        <f>IFERROR(VLOOKUP(A189,observations_series_id_PCU22112222112243_api_key_ecc133893ea92a842ee685c73424608[],2,FALSE),"")</f>
        <v>23.5</v>
      </c>
      <c r="D189" s="2">
        <f>IFERROR(VLOOKUP(A189,observations_series_id_PCU22112222112243_api_key_ecc133893ea92a842ee685c73424608[],3,FALSE),"")</f>
        <v>0.25957446808510642</v>
      </c>
      <c r="E189" t="str">
        <f>IFERROR(VLOOKUP($A189,observations_series_id_WPU0613020T_api_key_ecc133893ea92a842ee685c734246086_file[],2,FALSE),"")</f>
        <v/>
      </c>
      <c r="F189" s="2" t="str">
        <f>IFERROR(VLOOKUP($A189,observations_series_id_WPU0613020T_api_key_ecc133893ea92a842ee685c734246086_file[],3,FALSE),"")</f>
        <v/>
      </c>
      <c r="G189" t="str">
        <f>IFERROR(VLOOKUP($A189,observations_series_id_PCU22122212_api_key_ecc133893ea92a842ee685c734246086_file[],2,FALSE),"")</f>
        <v/>
      </c>
      <c r="H189" s="2" t="str">
        <f>IFERROR(VLOOKUP($A189,observations_series_id_PCU22122212_api_key_ecc133893ea92a842ee685c734246086_file[],3,FALSE),"")</f>
        <v/>
      </c>
      <c r="I189" t="str">
        <f>IFERROR(VLOOKUP($A189,observations_series_id_PCU3241913241910_api_key_ecc133893ea92a842ee685c734246086[],2,FALSE),"")</f>
        <v/>
      </c>
      <c r="J189" s="2" t="str">
        <f>IFERROR(VLOOKUP($A189,observations_series_id_PCU3241913241910_api_key_ecc133893ea92a842ee685c734246086[],3,FALSE),"")</f>
        <v/>
      </c>
      <c r="K189">
        <f>IFERROR(VLOOKUP($A189,observations_series_id_EXJPUS_api_key_ecc133893ea92a842ee685c734246086_file_type[],2,FALSE),"")</f>
        <v>265.22000000000003</v>
      </c>
      <c r="L189" s="2">
        <f>IFERROR(VLOOKUP($A189,observations_series_id_EXJPUS_api_key_ecc133893ea92a842ee685c734246086_file_type[],3,FALSE),"")</f>
        <v>-0.34989819772264519</v>
      </c>
      <c r="M189" t="str">
        <f>IFERROR(AVERAGEIFS(timeseries_access_key_fqeas14oitk235763mntlb1c0brnk9w3fenzqbk313q5kvxyf52kukw1pa[Value.LME-ZNC],timeseries_access_key_fqeas14oitk235763mntlb1c0brnk9w3fenzqbk313q5kvxyf52kukw1pa[Month],MONTH(Data!$A189),timeseries_access_key_fqeas14oitk235763mntlb1c0brnk9w3fenzqbk313q5kvxyf52kukw1pa[Year],YEAR(Data!$A189)),"")</f>
        <v/>
      </c>
      <c r="N189" s="2" t="str">
        <f>IFERROR(AVERAGEIFS(timeseries_access_key_fqeas14oitk235763mntlb1c0brnk9w3fenzqbk313q5kvxyf52kukw1pa[Column1],timeseries_access_key_fqeas14oitk235763mntlb1c0brnk9w3fenzqbk313q5kvxyf52kukw1pa[Month],MONTH(Data!$A189),timeseries_access_key_fqeas14oitk235763mntlb1c0brnk9w3fenzqbk313q5kvxyf52kukw1pa[Year],YEAR(Data!$A189)),"")</f>
        <v/>
      </c>
      <c r="O189" s="8" t="str">
        <f>IFERROR(VLOOKUP($A189,Text_1_2[[Text.1.1.3]:[Text.1.3]],2,FALSE),"")</f>
        <v/>
      </c>
      <c r="P189" s="2"/>
    </row>
    <row r="190" spans="1:16" x14ac:dyDescent="0.25">
      <c r="A190" s="1">
        <v>26908</v>
      </c>
      <c r="B190" t="str">
        <f>HLOOKUP(Dashboard!$I$27,results,ROW(A190),FALSE)</f>
        <v/>
      </c>
      <c r="C190">
        <f>IFERROR(VLOOKUP(A190,observations_series_id_PCU22112222112243_api_key_ecc133893ea92a842ee685c73424608[],2,FALSE),"")</f>
        <v>23.8</v>
      </c>
      <c r="D190" s="2">
        <f>IFERROR(VLOOKUP(A190,observations_series_id_PCU22112222112243_api_key_ecc133893ea92a842ee685c73424608[],3,FALSE),"")</f>
        <v>0.26890756302521013</v>
      </c>
      <c r="E190" t="str">
        <f>IFERROR(VLOOKUP($A190,observations_series_id_WPU0613020T_api_key_ecc133893ea92a842ee685c734246086_file[],2,FALSE),"")</f>
        <v/>
      </c>
      <c r="F190" s="2" t="str">
        <f>IFERROR(VLOOKUP($A190,observations_series_id_WPU0613020T_api_key_ecc133893ea92a842ee685c734246086_file[],3,FALSE),"")</f>
        <v/>
      </c>
      <c r="G190" t="str">
        <f>IFERROR(VLOOKUP($A190,observations_series_id_PCU22122212_api_key_ecc133893ea92a842ee685c734246086_file[],2,FALSE),"")</f>
        <v/>
      </c>
      <c r="H190" s="2" t="str">
        <f>IFERROR(VLOOKUP($A190,observations_series_id_PCU22122212_api_key_ecc133893ea92a842ee685c734246086_file[],3,FALSE),"")</f>
        <v/>
      </c>
      <c r="I190" t="str">
        <f>IFERROR(VLOOKUP($A190,observations_series_id_PCU3241913241910_api_key_ecc133893ea92a842ee685c734246086[],2,FALSE),"")</f>
        <v/>
      </c>
      <c r="J190" s="2" t="str">
        <f>IFERROR(VLOOKUP($A190,observations_series_id_PCU3241913241910_api_key_ecc133893ea92a842ee685c734246086[],3,FALSE),"")</f>
        <v/>
      </c>
      <c r="K190">
        <f>IFERROR(VLOOKUP($A190,observations_series_id_EXJPUS_api_key_ecc133893ea92a842ee685c734246086_file_type[],2,FALSE),"")</f>
        <v>265.47469999999998</v>
      </c>
      <c r="L190" s="2">
        <f>IFERROR(VLOOKUP($A190,observations_series_id_EXJPUS_api_key_ecc133893ea92a842ee685c734246086_file_type[],3,FALSE),"")</f>
        <v>-0.34860308722450761</v>
      </c>
      <c r="M190" t="str">
        <f>IFERROR(AVERAGEIFS(timeseries_access_key_fqeas14oitk235763mntlb1c0brnk9w3fenzqbk313q5kvxyf52kukw1pa[Value.LME-ZNC],timeseries_access_key_fqeas14oitk235763mntlb1c0brnk9w3fenzqbk313q5kvxyf52kukw1pa[Month],MONTH(Data!$A190),timeseries_access_key_fqeas14oitk235763mntlb1c0brnk9w3fenzqbk313q5kvxyf52kukw1pa[Year],YEAR(Data!$A190)),"")</f>
        <v/>
      </c>
      <c r="N190" s="2" t="str">
        <f>IFERROR(AVERAGEIFS(timeseries_access_key_fqeas14oitk235763mntlb1c0brnk9w3fenzqbk313q5kvxyf52kukw1pa[Column1],timeseries_access_key_fqeas14oitk235763mntlb1c0brnk9w3fenzqbk313q5kvxyf52kukw1pa[Month],MONTH(Data!$A190),timeseries_access_key_fqeas14oitk235763mntlb1c0brnk9w3fenzqbk313q5kvxyf52kukw1pa[Year],YEAR(Data!$A190)),"")</f>
        <v/>
      </c>
      <c r="O190" s="8" t="str">
        <f>IFERROR(VLOOKUP($A190,Text_1_2[[Text.1.1.3]:[Text.1.3]],2,FALSE),"")</f>
        <v/>
      </c>
      <c r="P190" s="2"/>
    </row>
    <row r="191" spans="1:16" x14ac:dyDescent="0.25">
      <c r="A191" s="1">
        <v>26938</v>
      </c>
      <c r="B191" t="str">
        <f>HLOOKUP(Dashboard!$I$27,results,ROW(A191),FALSE)</f>
        <v/>
      </c>
      <c r="C191">
        <f>IFERROR(VLOOKUP(A191,observations_series_id_PCU22112222112243_api_key_ecc133893ea92a842ee685c73424608[],2,FALSE),"")</f>
        <v>24.1</v>
      </c>
      <c r="D191" s="2">
        <f>IFERROR(VLOOKUP(A191,observations_series_id_PCU22112222112243_api_key_ecc133893ea92a842ee685c73424608[],3,FALSE),"")</f>
        <v>0.27800829875518684</v>
      </c>
      <c r="E191" t="str">
        <f>IFERROR(VLOOKUP($A191,observations_series_id_WPU0613020T_api_key_ecc133893ea92a842ee685c734246086_file[],2,FALSE),"")</f>
        <v/>
      </c>
      <c r="F191" s="2" t="str">
        <f>IFERROR(VLOOKUP($A191,observations_series_id_WPU0613020T_api_key_ecc133893ea92a842ee685c734246086_file[],3,FALSE),"")</f>
        <v/>
      </c>
      <c r="G191" t="str">
        <f>IFERROR(VLOOKUP($A191,observations_series_id_PCU22122212_api_key_ecc133893ea92a842ee685c734246086_file[],2,FALSE),"")</f>
        <v/>
      </c>
      <c r="H191" s="2" t="str">
        <f>IFERROR(VLOOKUP($A191,observations_series_id_PCU22122212_api_key_ecc133893ea92a842ee685c734246086_file[],3,FALSE),"")</f>
        <v/>
      </c>
      <c r="I191" t="str">
        <f>IFERROR(VLOOKUP($A191,observations_series_id_PCU3241913241910_api_key_ecc133893ea92a842ee685c734246086[],2,FALSE),"")</f>
        <v/>
      </c>
      <c r="J191" s="2" t="str">
        <f>IFERROR(VLOOKUP($A191,observations_series_id_PCU3241913241910_api_key_ecc133893ea92a842ee685c734246086[],3,FALSE),"")</f>
        <v/>
      </c>
      <c r="K191">
        <f>IFERROR(VLOOKUP($A191,observations_series_id_EXJPUS_api_key_ecc133893ea92a842ee685c734246086_file_type[],2,FALSE),"")</f>
        <v>266.33479999999997</v>
      </c>
      <c r="L191" s="2">
        <f>IFERROR(VLOOKUP($A191,observations_series_id_EXJPUS_api_key_ecc133893ea92a842ee685c734246086_file_type[],3,FALSE),"")</f>
        <v>-0.34424791653212439</v>
      </c>
      <c r="M191" t="str">
        <f>IFERROR(AVERAGEIFS(timeseries_access_key_fqeas14oitk235763mntlb1c0brnk9w3fenzqbk313q5kvxyf52kukw1pa[Value.LME-ZNC],timeseries_access_key_fqeas14oitk235763mntlb1c0brnk9w3fenzqbk313q5kvxyf52kukw1pa[Month],MONTH(Data!$A191),timeseries_access_key_fqeas14oitk235763mntlb1c0brnk9w3fenzqbk313q5kvxyf52kukw1pa[Year],YEAR(Data!$A191)),"")</f>
        <v/>
      </c>
      <c r="N191" s="2" t="str">
        <f>IFERROR(AVERAGEIFS(timeseries_access_key_fqeas14oitk235763mntlb1c0brnk9w3fenzqbk313q5kvxyf52kukw1pa[Column1],timeseries_access_key_fqeas14oitk235763mntlb1c0brnk9w3fenzqbk313q5kvxyf52kukw1pa[Month],MONTH(Data!$A191),timeseries_access_key_fqeas14oitk235763mntlb1c0brnk9w3fenzqbk313q5kvxyf52kukw1pa[Year],YEAR(Data!$A191)),"")</f>
        <v/>
      </c>
      <c r="O191" s="8" t="str">
        <f>IFERROR(VLOOKUP($A191,Text_1_2[[Text.1.1.3]:[Text.1.3]],2,FALSE),"")</f>
        <v/>
      </c>
      <c r="P191" s="2"/>
    </row>
    <row r="192" spans="1:16" x14ac:dyDescent="0.25">
      <c r="A192" s="1">
        <v>26969</v>
      </c>
      <c r="B192" t="str">
        <f>HLOOKUP(Dashboard!$I$27,results,ROW(A192),FALSE)</f>
        <v/>
      </c>
      <c r="C192">
        <f>IFERROR(VLOOKUP(A192,observations_series_id_PCU22112222112243_api_key_ecc133893ea92a842ee685c73424608[],2,FALSE),"")</f>
        <v>24.4</v>
      </c>
      <c r="D192" s="2">
        <f>IFERROR(VLOOKUP(A192,observations_series_id_PCU22112222112243_api_key_ecc133893ea92a842ee685c73424608[],3,FALSE),"")</f>
        <v>0.28688524590163933</v>
      </c>
      <c r="E192" t="str">
        <f>IFERROR(VLOOKUP($A192,observations_series_id_WPU0613020T_api_key_ecc133893ea92a842ee685c734246086_file[],2,FALSE),"")</f>
        <v/>
      </c>
      <c r="F192" s="2" t="str">
        <f>IFERROR(VLOOKUP($A192,observations_series_id_WPU0613020T_api_key_ecc133893ea92a842ee685c734246086_file[],3,FALSE),"")</f>
        <v/>
      </c>
      <c r="G192" t="str">
        <f>IFERROR(VLOOKUP($A192,observations_series_id_PCU22122212_api_key_ecc133893ea92a842ee685c734246086_file[],2,FALSE),"")</f>
        <v/>
      </c>
      <c r="H192" s="2" t="str">
        <f>IFERROR(VLOOKUP($A192,observations_series_id_PCU22122212_api_key_ecc133893ea92a842ee685c734246086_file[],3,FALSE),"")</f>
        <v/>
      </c>
      <c r="I192" t="str">
        <f>IFERROR(VLOOKUP($A192,observations_series_id_PCU3241913241910_api_key_ecc133893ea92a842ee685c734246086[],2,FALSE),"")</f>
        <v/>
      </c>
      <c r="J192" s="2" t="str">
        <f>IFERROR(VLOOKUP($A192,observations_series_id_PCU3241913241910_api_key_ecc133893ea92a842ee685c734246086[],3,FALSE),"")</f>
        <v/>
      </c>
      <c r="K192">
        <f>IFERROR(VLOOKUP($A192,observations_series_id_EXJPUS_api_key_ecc133893ea92a842ee685c734246086_file_type[],2,FALSE),"")</f>
        <v>278.26249999999999</v>
      </c>
      <c r="L192" s="2">
        <f>IFERROR(VLOOKUP($A192,observations_series_id_EXJPUS_api_key_ecc133893ea92a842ee685c734246086_file_type[],3,FALSE),"")</f>
        <v>-0.28662683617088169</v>
      </c>
      <c r="M192" t="str">
        <f>IFERROR(AVERAGEIFS(timeseries_access_key_fqeas14oitk235763mntlb1c0brnk9w3fenzqbk313q5kvxyf52kukw1pa[Value.LME-ZNC],timeseries_access_key_fqeas14oitk235763mntlb1c0brnk9w3fenzqbk313q5kvxyf52kukw1pa[Month],MONTH(Data!$A192),timeseries_access_key_fqeas14oitk235763mntlb1c0brnk9w3fenzqbk313q5kvxyf52kukw1pa[Year],YEAR(Data!$A192)),"")</f>
        <v/>
      </c>
      <c r="N192" s="2" t="str">
        <f>IFERROR(AVERAGEIFS(timeseries_access_key_fqeas14oitk235763mntlb1c0brnk9w3fenzqbk313q5kvxyf52kukw1pa[Column1],timeseries_access_key_fqeas14oitk235763mntlb1c0brnk9w3fenzqbk313q5kvxyf52kukw1pa[Month],MONTH(Data!$A192),timeseries_access_key_fqeas14oitk235763mntlb1c0brnk9w3fenzqbk313q5kvxyf52kukw1pa[Year],YEAR(Data!$A192)),"")</f>
        <v/>
      </c>
      <c r="O192" s="8" t="str">
        <f>IFERROR(VLOOKUP($A192,Text_1_2[[Text.1.1.3]:[Text.1.3]],2,FALSE),"")</f>
        <v/>
      </c>
      <c r="P192" s="2"/>
    </row>
    <row r="193" spans="1:16" x14ac:dyDescent="0.25">
      <c r="A193" s="1">
        <v>26999</v>
      </c>
      <c r="B193" t="str">
        <f>HLOOKUP(Dashboard!$I$27,results,ROW(A193),FALSE)</f>
        <v/>
      </c>
      <c r="C193">
        <f>IFERROR(VLOOKUP(A193,observations_series_id_PCU22112222112243_api_key_ecc133893ea92a842ee685c73424608[],2,FALSE),"")</f>
        <v>24.9</v>
      </c>
      <c r="D193" s="2">
        <f>IFERROR(VLOOKUP(A193,observations_series_id_PCU22112222112243_api_key_ecc133893ea92a842ee685c73424608[],3,FALSE),"")</f>
        <v>0.3012048192771084</v>
      </c>
      <c r="E193" t="str">
        <f>IFERROR(VLOOKUP($A193,observations_series_id_WPU0613020T_api_key_ecc133893ea92a842ee685c734246086_file[],2,FALSE),"")</f>
        <v/>
      </c>
      <c r="F193" s="2" t="str">
        <f>IFERROR(VLOOKUP($A193,observations_series_id_WPU0613020T_api_key_ecc133893ea92a842ee685c734246086_file[],3,FALSE),"")</f>
        <v/>
      </c>
      <c r="G193" t="str">
        <f>IFERROR(VLOOKUP($A193,observations_series_id_PCU22122212_api_key_ecc133893ea92a842ee685c734246086_file[],2,FALSE),"")</f>
        <v/>
      </c>
      <c r="H193" s="2" t="str">
        <f>IFERROR(VLOOKUP($A193,observations_series_id_PCU22122212_api_key_ecc133893ea92a842ee685c734246086_file[],3,FALSE),"")</f>
        <v/>
      </c>
      <c r="I193" t="str">
        <f>IFERROR(VLOOKUP($A193,observations_series_id_PCU3241913241910_api_key_ecc133893ea92a842ee685c734246086[],2,FALSE),"")</f>
        <v/>
      </c>
      <c r="J193" s="2" t="str">
        <f>IFERROR(VLOOKUP($A193,observations_series_id_PCU3241913241910_api_key_ecc133893ea92a842ee685c734246086[],3,FALSE),"")</f>
        <v/>
      </c>
      <c r="K193">
        <f>IFERROR(VLOOKUP($A193,observations_series_id_EXJPUS_api_key_ecc133893ea92a842ee685c734246086_file_type[],2,FALSE),"")</f>
        <v>280.17750000000001</v>
      </c>
      <c r="L193" s="2">
        <f>IFERROR(VLOOKUP($A193,observations_series_id_EXJPUS_api_key_ecc133893ea92a842ee685c734246086_file_type[],3,FALSE),"")</f>
        <v>-0.27783280241989439</v>
      </c>
      <c r="M193" t="str">
        <f>IFERROR(AVERAGEIFS(timeseries_access_key_fqeas14oitk235763mntlb1c0brnk9w3fenzqbk313q5kvxyf52kukw1pa[Value.LME-ZNC],timeseries_access_key_fqeas14oitk235763mntlb1c0brnk9w3fenzqbk313q5kvxyf52kukw1pa[Month],MONTH(Data!$A193),timeseries_access_key_fqeas14oitk235763mntlb1c0brnk9w3fenzqbk313q5kvxyf52kukw1pa[Year],YEAR(Data!$A193)),"")</f>
        <v/>
      </c>
      <c r="N193" s="2" t="str">
        <f>IFERROR(AVERAGEIFS(timeseries_access_key_fqeas14oitk235763mntlb1c0brnk9w3fenzqbk313q5kvxyf52kukw1pa[Column1],timeseries_access_key_fqeas14oitk235763mntlb1c0brnk9w3fenzqbk313q5kvxyf52kukw1pa[Month],MONTH(Data!$A193),timeseries_access_key_fqeas14oitk235763mntlb1c0brnk9w3fenzqbk313q5kvxyf52kukw1pa[Year],YEAR(Data!$A193)),"")</f>
        <v/>
      </c>
      <c r="O193" s="8" t="str">
        <f>IFERROR(VLOOKUP($A193,Text_1_2[[Text.1.1.3]:[Text.1.3]],2,FALSE),"")</f>
        <v/>
      </c>
      <c r="P193" s="2"/>
    </row>
    <row r="194" spans="1:16" x14ac:dyDescent="0.25">
      <c r="A194" s="1">
        <v>27030</v>
      </c>
      <c r="B194" t="str">
        <f>HLOOKUP(Dashboard!$I$27,results,ROW(A194),FALSE)</f>
        <v/>
      </c>
      <c r="C194">
        <f>IFERROR(VLOOKUP(A194,observations_series_id_PCU22112222112243_api_key_ecc133893ea92a842ee685c73424608[],2,FALSE),"")</f>
        <v>25.3</v>
      </c>
      <c r="D194" s="2">
        <f>IFERROR(VLOOKUP(A194,observations_series_id_PCU22112222112243_api_key_ecc133893ea92a842ee685c73424608[],3,FALSE),"")</f>
        <v>0.31225296442687756</v>
      </c>
      <c r="E194" t="str">
        <f>IFERROR(VLOOKUP($A194,observations_series_id_WPU0613020T_api_key_ecc133893ea92a842ee685c734246086_file[],2,FALSE),"")</f>
        <v/>
      </c>
      <c r="F194" s="2" t="str">
        <f>IFERROR(VLOOKUP($A194,observations_series_id_WPU0613020T_api_key_ecc133893ea92a842ee685c734246086_file[],3,FALSE),"")</f>
        <v/>
      </c>
      <c r="G194" t="str">
        <f>IFERROR(VLOOKUP($A194,observations_series_id_PCU22122212_api_key_ecc133893ea92a842ee685c734246086_file[],2,FALSE),"")</f>
        <v/>
      </c>
      <c r="H194" s="2" t="str">
        <f>IFERROR(VLOOKUP($A194,observations_series_id_PCU22122212_api_key_ecc133893ea92a842ee685c734246086_file[],3,FALSE),"")</f>
        <v/>
      </c>
      <c r="I194" t="str">
        <f>IFERROR(VLOOKUP($A194,observations_series_id_PCU3241913241910_api_key_ecc133893ea92a842ee685c734246086[],2,FALSE),"")</f>
        <v/>
      </c>
      <c r="J194" s="2" t="str">
        <f>IFERROR(VLOOKUP($A194,observations_series_id_PCU3241913241910_api_key_ecc133893ea92a842ee685c734246086[],3,FALSE),"")</f>
        <v/>
      </c>
      <c r="K194">
        <f>IFERROR(VLOOKUP($A194,observations_series_id_EXJPUS_api_key_ecc133893ea92a842ee685c734246086_file_type[],2,FALSE),"")</f>
        <v>298.1336</v>
      </c>
      <c r="L194" s="2">
        <f>IFERROR(VLOOKUP($A194,observations_series_id_EXJPUS_api_key_ecc133893ea92a842ee685c734246086_file_type[],3,FALSE),"")</f>
        <v>-0.20087101889890979</v>
      </c>
      <c r="M194" t="str">
        <f>IFERROR(AVERAGEIFS(timeseries_access_key_fqeas14oitk235763mntlb1c0brnk9w3fenzqbk313q5kvxyf52kukw1pa[Value.LME-ZNC],timeseries_access_key_fqeas14oitk235763mntlb1c0brnk9w3fenzqbk313q5kvxyf52kukw1pa[Month],MONTH(Data!$A194),timeseries_access_key_fqeas14oitk235763mntlb1c0brnk9w3fenzqbk313q5kvxyf52kukw1pa[Year],YEAR(Data!$A194)),"")</f>
        <v/>
      </c>
      <c r="N194" s="2" t="str">
        <f>IFERROR(AVERAGEIFS(timeseries_access_key_fqeas14oitk235763mntlb1c0brnk9w3fenzqbk313q5kvxyf52kukw1pa[Column1],timeseries_access_key_fqeas14oitk235763mntlb1c0brnk9w3fenzqbk313q5kvxyf52kukw1pa[Month],MONTH(Data!$A194),timeseries_access_key_fqeas14oitk235763mntlb1c0brnk9w3fenzqbk313q5kvxyf52kukw1pa[Year],YEAR(Data!$A194)),"")</f>
        <v/>
      </c>
      <c r="O194" s="8" t="str">
        <f>IFERROR(VLOOKUP($A194,Text_1_2[[Text.1.1.3]:[Text.1.3]],2,FALSE),"")</f>
        <v/>
      </c>
      <c r="P194" s="2"/>
    </row>
    <row r="195" spans="1:16" x14ac:dyDescent="0.25">
      <c r="A195" s="1">
        <v>27061</v>
      </c>
      <c r="B195" t="str">
        <f>HLOOKUP(Dashboard!$I$27,results,ROW(A195),FALSE)</f>
        <v/>
      </c>
      <c r="C195">
        <f>IFERROR(VLOOKUP(A195,observations_series_id_PCU22112222112243_api_key_ecc133893ea92a842ee685c73424608[],2,FALSE),"")</f>
        <v>26.1</v>
      </c>
      <c r="D195" s="2">
        <f>IFERROR(VLOOKUP(A195,observations_series_id_PCU22112222112243_api_key_ecc133893ea92a842ee685c73424608[],3,FALSE),"")</f>
        <v>0.33333333333333337</v>
      </c>
      <c r="E195" t="str">
        <f>IFERROR(VLOOKUP($A195,observations_series_id_WPU0613020T_api_key_ecc133893ea92a842ee685c734246086_file[],2,FALSE),"")</f>
        <v/>
      </c>
      <c r="F195" s="2" t="str">
        <f>IFERROR(VLOOKUP($A195,observations_series_id_WPU0613020T_api_key_ecc133893ea92a842ee685c734246086_file[],3,FALSE),"")</f>
        <v/>
      </c>
      <c r="G195" t="str">
        <f>IFERROR(VLOOKUP($A195,observations_series_id_PCU22122212_api_key_ecc133893ea92a842ee685c734246086_file[],2,FALSE),"")</f>
        <v/>
      </c>
      <c r="H195" s="2" t="str">
        <f>IFERROR(VLOOKUP($A195,observations_series_id_PCU22122212_api_key_ecc133893ea92a842ee685c734246086_file[],3,FALSE),"")</f>
        <v/>
      </c>
      <c r="I195" t="str">
        <f>IFERROR(VLOOKUP($A195,observations_series_id_PCU3241913241910_api_key_ecc133893ea92a842ee685c734246086[],2,FALSE),"")</f>
        <v/>
      </c>
      <c r="J195" s="2" t="str">
        <f>IFERROR(VLOOKUP($A195,observations_series_id_PCU3241913241910_api_key_ecc133893ea92a842ee685c734246086[],3,FALSE),"")</f>
        <v/>
      </c>
      <c r="K195">
        <f>IFERROR(VLOOKUP($A195,observations_series_id_EXJPUS_api_key_ecc133893ea92a842ee685c734246086_file_type[],2,FALSE),"")</f>
        <v>291.0872</v>
      </c>
      <c r="L195" s="2">
        <f>IFERROR(VLOOKUP($A195,observations_series_id_EXJPUS_api_key_ecc133893ea92a842ee685c734246086_file_type[],3,FALSE),"")</f>
        <v>-0.22994071879491784</v>
      </c>
      <c r="M195" t="str">
        <f>IFERROR(AVERAGEIFS(timeseries_access_key_fqeas14oitk235763mntlb1c0brnk9w3fenzqbk313q5kvxyf52kukw1pa[Value.LME-ZNC],timeseries_access_key_fqeas14oitk235763mntlb1c0brnk9w3fenzqbk313q5kvxyf52kukw1pa[Month],MONTH(Data!$A195),timeseries_access_key_fqeas14oitk235763mntlb1c0brnk9w3fenzqbk313q5kvxyf52kukw1pa[Year],YEAR(Data!$A195)),"")</f>
        <v/>
      </c>
      <c r="N195" s="2" t="str">
        <f>IFERROR(AVERAGEIFS(timeseries_access_key_fqeas14oitk235763mntlb1c0brnk9w3fenzqbk313q5kvxyf52kukw1pa[Column1],timeseries_access_key_fqeas14oitk235763mntlb1c0brnk9w3fenzqbk313q5kvxyf52kukw1pa[Month],MONTH(Data!$A195),timeseries_access_key_fqeas14oitk235763mntlb1c0brnk9w3fenzqbk313q5kvxyf52kukw1pa[Year],YEAR(Data!$A195)),"")</f>
        <v/>
      </c>
      <c r="O195" s="8" t="str">
        <f>IFERROR(VLOOKUP($A195,Text_1_2[[Text.1.1.3]:[Text.1.3]],2,FALSE),"")</f>
        <v/>
      </c>
      <c r="P195" s="2"/>
    </row>
    <row r="196" spans="1:16" x14ac:dyDescent="0.25">
      <c r="A196" s="1">
        <v>27089</v>
      </c>
      <c r="B196" t="str">
        <f>HLOOKUP(Dashboard!$I$27,results,ROW(A196),FALSE)</f>
        <v/>
      </c>
      <c r="C196">
        <f>IFERROR(VLOOKUP(A196,observations_series_id_PCU22112222112243_api_key_ecc133893ea92a842ee685c73424608[],2,FALSE),"")</f>
        <v>27.4</v>
      </c>
      <c r="D196" s="2">
        <f>IFERROR(VLOOKUP(A196,observations_series_id_PCU22112222112243_api_key_ecc133893ea92a842ee685c73424608[],3,FALSE),"")</f>
        <v>0.36496350364963503</v>
      </c>
      <c r="E196" t="str">
        <f>IFERROR(VLOOKUP($A196,observations_series_id_WPU0613020T_api_key_ecc133893ea92a842ee685c734246086_file[],2,FALSE),"")</f>
        <v/>
      </c>
      <c r="F196" s="2" t="str">
        <f>IFERROR(VLOOKUP($A196,observations_series_id_WPU0613020T_api_key_ecc133893ea92a842ee685c734246086_file[],3,FALSE),"")</f>
        <v/>
      </c>
      <c r="G196" t="str">
        <f>IFERROR(VLOOKUP($A196,observations_series_id_PCU22122212_api_key_ecc133893ea92a842ee685c734246086_file[],2,FALSE),"")</f>
        <v/>
      </c>
      <c r="H196" s="2" t="str">
        <f>IFERROR(VLOOKUP($A196,observations_series_id_PCU22122212_api_key_ecc133893ea92a842ee685c734246086_file[],3,FALSE),"")</f>
        <v/>
      </c>
      <c r="I196" t="str">
        <f>IFERROR(VLOOKUP($A196,observations_series_id_PCU3241913241910_api_key_ecc133893ea92a842ee685c734246086[],2,FALSE),"")</f>
        <v/>
      </c>
      <c r="J196" s="2" t="str">
        <f>IFERROR(VLOOKUP($A196,observations_series_id_PCU3241913241910_api_key_ecc133893ea92a842ee685c734246086[],3,FALSE),"")</f>
        <v/>
      </c>
      <c r="K196">
        <f>IFERROR(VLOOKUP($A196,observations_series_id_EXJPUS_api_key_ecc133893ea92a842ee685c734246086_file_type[],2,FALSE),"")</f>
        <v>282.16480000000001</v>
      </c>
      <c r="L196" s="2">
        <f>IFERROR(VLOOKUP($A196,observations_series_id_EXJPUS_api_key_ecc133893ea92a842ee685c734246086_file_type[],3,FALSE),"")</f>
        <v>-0.26883296569947768</v>
      </c>
      <c r="M196" t="str">
        <f>IFERROR(AVERAGEIFS(timeseries_access_key_fqeas14oitk235763mntlb1c0brnk9w3fenzqbk313q5kvxyf52kukw1pa[Value.LME-ZNC],timeseries_access_key_fqeas14oitk235763mntlb1c0brnk9w3fenzqbk313q5kvxyf52kukw1pa[Month],MONTH(Data!$A196),timeseries_access_key_fqeas14oitk235763mntlb1c0brnk9w3fenzqbk313q5kvxyf52kukw1pa[Year],YEAR(Data!$A196)),"")</f>
        <v/>
      </c>
      <c r="N196" s="2" t="str">
        <f>IFERROR(AVERAGEIFS(timeseries_access_key_fqeas14oitk235763mntlb1c0brnk9w3fenzqbk313q5kvxyf52kukw1pa[Column1],timeseries_access_key_fqeas14oitk235763mntlb1c0brnk9w3fenzqbk313q5kvxyf52kukw1pa[Month],MONTH(Data!$A196),timeseries_access_key_fqeas14oitk235763mntlb1c0brnk9w3fenzqbk313q5kvxyf52kukw1pa[Year],YEAR(Data!$A196)),"")</f>
        <v/>
      </c>
      <c r="O196" s="8" t="str">
        <f>IFERROR(VLOOKUP($A196,Text_1_2[[Text.1.1.3]:[Text.1.3]],2,FALSE),"")</f>
        <v/>
      </c>
      <c r="P196" s="2"/>
    </row>
    <row r="197" spans="1:16" x14ac:dyDescent="0.25">
      <c r="A197" s="1">
        <v>27120</v>
      </c>
      <c r="B197" t="str">
        <f>HLOOKUP(Dashboard!$I$27,results,ROW(A197),FALSE)</f>
        <v/>
      </c>
      <c r="C197">
        <f>IFERROR(VLOOKUP(A197,observations_series_id_PCU22112222112243_api_key_ecc133893ea92a842ee685c73424608[],2,FALSE),"")</f>
        <v>28.2</v>
      </c>
      <c r="D197" s="2">
        <f>IFERROR(VLOOKUP(A197,observations_series_id_PCU22112222112243_api_key_ecc133893ea92a842ee685c73424608[],3,FALSE),"")</f>
        <v>0.38297872340425532</v>
      </c>
      <c r="E197" t="str">
        <f>IFERROR(VLOOKUP($A197,observations_series_id_WPU0613020T_api_key_ecc133893ea92a842ee685c734246086_file[],2,FALSE),"")</f>
        <v/>
      </c>
      <c r="F197" s="2" t="str">
        <f>IFERROR(VLOOKUP($A197,observations_series_id_WPU0613020T_api_key_ecc133893ea92a842ee685c734246086_file[],3,FALSE),"")</f>
        <v/>
      </c>
      <c r="G197" t="str">
        <f>IFERROR(VLOOKUP($A197,observations_series_id_PCU22122212_api_key_ecc133893ea92a842ee685c734246086_file[],2,FALSE),"")</f>
        <v/>
      </c>
      <c r="H197" s="2" t="str">
        <f>IFERROR(VLOOKUP($A197,observations_series_id_PCU22122212_api_key_ecc133893ea92a842ee685c734246086_file[],3,FALSE),"")</f>
        <v/>
      </c>
      <c r="I197">
        <f>IFERROR(VLOOKUP($A197,observations_series_id_PCU3241913241910_api_key_ecc133893ea92a842ee685c734246086[],2,FALSE),"")</f>
        <v>51.4</v>
      </c>
      <c r="J197" s="2">
        <f>IFERROR(VLOOKUP($A197,observations_series_id_PCU3241913241910_api_key_ecc133893ea92a842ee685c734246086[],3,FALSE),"")</f>
        <v>0</v>
      </c>
      <c r="K197">
        <f>IFERROR(VLOOKUP($A197,observations_series_id_EXJPUS_api_key_ecc133893ea92a842ee685c734246086_file_type[],2,FALSE),"")</f>
        <v>277.77409999999998</v>
      </c>
      <c r="L197" s="2">
        <f>IFERROR(VLOOKUP($A197,observations_series_id_EXJPUS_api_key_ecc133893ea92a842ee685c734246086_file_type[],3,FALSE),"")</f>
        <v>-0.28888906489121924</v>
      </c>
      <c r="M197" t="str">
        <f>IFERROR(AVERAGEIFS(timeseries_access_key_fqeas14oitk235763mntlb1c0brnk9w3fenzqbk313q5kvxyf52kukw1pa[Value.LME-ZNC],timeseries_access_key_fqeas14oitk235763mntlb1c0brnk9w3fenzqbk313q5kvxyf52kukw1pa[Month],MONTH(Data!$A197),timeseries_access_key_fqeas14oitk235763mntlb1c0brnk9w3fenzqbk313q5kvxyf52kukw1pa[Year],YEAR(Data!$A197)),"")</f>
        <v/>
      </c>
      <c r="N197" s="2" t="str">
        <f>IFERROR(AVERAGEIFS(timeseries_access_key_fqeas14oitk235763mntlb1c0brnk9w3fenzqbk313q5kvxyf52kukw1pa[Column1],timeseries_access_key_fqeas14oitk235763mntlb1c0brnk9w3fenzqbk313q5kvxyf52kukw1pa[Month],MONTH(Data!$A197),timeseries_access_key_fqeas14oitk235763mntlb1c0brnk9w3fenzqbk313q5kvxyf52kukw1pa[Year],YEAR(Data!$A197)),"")</f>
        <v/>
      </c>
      <c r="O197" s="8" t="str">
        <f>IFERROR(VLOOKUP($A197,Text_1_2[[Text.1.1.3]:[Text.1.3]],2,FALSE),"")</f>
        <v/>
      </c>
      <c r="P197" s="2"/>
    </row>
    <row r="198" spans="1:16" x14ac:dyDescent="0.25">
      <c r="A198" s="1">
        <v>27150</v>
      </c>
      <c r="B198" t="str">
        <f>HLOOKUP(Dashboard!$I$27,results,ROW(A198),FALSE)</f>
        <v/>
      </c>
      <c r="C198">
        <f>IFERROR(VLOOKUP(A198,observations_series_id_PCU22112222112243_api_key_ecc133893ea92a842ee685c73424608[],2,FALSE),"")</f>
        <v>29.7</v>
      </c>
      <c r="D198" s="2">
        <f>IFERROR(VLOOKUP(A198,observations_series_id_PCU22112222112243_api_key_ecc133893ea92a842ee685c73424608[],3,FALSE),"")</f>
        <v>0.41414141414141414</v>
      </c>
      <c r="E198" t="str">
        <f>IFERROR(VLOOKUP($A198,observations_series_id_WPU0613020T_api_key_ecc133893ea92a842ee685c734246086_file[],2,FALSE),"")</f>
        <v/>
      </c>
      <c r="F198" s="2" t="str">
        <f>IFERROR(VLOOKUP($A198,observations_series_id_WPU0613020T_api_key_ecc133893ea92a842ee685c734246086_file[],3,FALSE),"")</f>
        <v/>
      </c>
      <c r="G198" t="str">
        <f>IFERROR(VLOOKUP($A198,observations_series_id_PCU22122212_api_key_ecc133893ea92a842ee685c734246086_file[],2,FALSE),"")</f>
        <v/>
      </c>
      <c r="H198" s="2" t="str">
        <f>IFERROR(VLOOKUP($A198,observations_series_id_PCU22122212_api_key_ecc133893ea92a842ee685c734246086_file[],3,FALSE),"")</f>
        <v/>
      </c>
      <c r="I198">
        <f>IFERROR(VLOOKUP($A198,observations_series_id_PCU3241913241910_api_key_ecc133893ea92a842ee685c734246086[],2,FALSE),"")</f>
        <v>52.9</v>
      </c>
      <c r="J198" s="2">
        <f>IFERROR(VLOOKUP($A198,observations_series_id_PCU3241913241910_api_key_ecc133893ea92a842ee685c734246086[],3,FALSE),"")</f>
        <v>2.8355387523629538E-2</v>
      </c>
      <c r="K198">
        <f>IFERROR(VLOOKUP($A198,observations_series_id_EXJPUS_api_key_ecc133893ea92a842ee685c734246086_file_type[],2,FALSE),"")</f>
        <v>278.96640000000002</v>
      </c>
      <c r="L198" s="2">
        <f>IFERROR(VLOOKUP($A198,observations_series_id_EXJPUS_api_key_ecc133893ea92a842ee685c734246086_file_type[],3,FALSE),"")</f>
        <v>-0.28338036408685752</v>
      </c>
      <c r="M198" t="str">
        <f>IFERROR(AVERAGEIFS(timeseries_access_key_fqeas14oitk235763mntlb1c0brnk9w3fenzqbk313q5kvxyf52kukw1pa[Value.LME-ZNC],timeseries_access_key_fqeas14oitk235763mntlb1c0brnk9w3fenzqbk313q5kvxyf52kukw1pa[Month],MONTH(Data!$A198),timeseries_access_key_fqeas14oitk235763mntlb1c0brnk9w3fenzqbk313q5kvxyf52kukw1pa[Year],YEAR(Data!$A198)),"")</f>
        <v/>
      </c>
      <c r="N198" s="2" t="str">
        <f>IFERROR(AVERAGEIFS(timeseries_access_key_fqeas14oitk235763mntlb1c0brnk9w3fenzqbk313q5kvxyf52kukw1pa[Column1],timeseries_access_key_fqeas14oitk235763mntlb1c0brnk9w3fenzqbk313q5kvxyf52kukw1pa[Month],MONTH(Data!$A198),timeseries_access_key_fqeas14oitk235763mntlb1c0brnk9w3fenzqbk313q5kvxyf52kukw1pa[Year],YEAR(Data!$A198)),"")</f>
        <v/>
      </c>
      <c r="O198" s="8" t="str">
        <f>IFERROR(VLOOKUP($A198,Text_1_2[[Text.1.1.3]:[Text.1.3]],2,FALSE),"")</f>
        <v/>
      </c>
      <c r="P198" s="2"/>
    </row>
    <row r="199" spans="1:16" x14ac:dyDescent="0.25">
      <c r="A199" s="1">
        <v>27181</v>
      </c>
      <c r="B199" t="str">
        <f>HLOOKUP(Dashboard!$I$27,results,ROW(A199),FALSE)</f>
        <v/>
      </c>
      <c r="C199">
        <f>IFERROR(VLOOKUP(A199,observations_series_id_PCU22112222112243_api_key_ecc133893ea92a842ee685c73424608[],2,FALSE),"")</f>
        <v>30.9</v>
      </c>
      <c r="D199" s="2">
        <f>IFERROR(VLOOKUP(A199,observations_series_id_PCU22112222112243_api_key_ecc133893ea92a842ee685c73424608[],3,FALSE),"")</f>
        <v>0.43689320388349517</v>
      </c>
      <c r="E199" t="str">
        <f>IFERROR(VLOOKUP($A199,observations_series_id_WPU0613020T_api_key_ecc133893ea92a842ee685c734246086_file[],2,FALSE),"")</f>
        <v/>
      </c>
      <c r="F199" s="2" t="str">
        <f>IFERROR(VLOOKUP($A199,observations_series_id_WPU0613020T_api_key_ecc133893ea92a842ee685c734246086_file[],3,FALSE),"")</f>
        <v/>
      </c>
      <c r="G199" t="str">
        <f>IFERROR(VLOOKUP($A199,observations_series_id_PCU22122212_api_key_ecc133893ea92a842ee685c734246086_file[],2,FALSE),"")</f>
        <v/>
      </c>
      <c r="H199" s="2" t="str">
        <f>IFERROR(VLOOKUP($A199,observations_series_id_PCU22122212_api_key_ecc133893ea92a842ee685c734246086_file[],3,FALSE),"")</f>
        <v/>
      </c>
      <c r="I199">
        <f>IFERROR(VLOOKUP($A199,observations_series_id_PCU3241913241910_api_key_ecc133893ea92a842ee685c734246086[],2,FALSE),"")</f>
        <v>53.1</v>
      </c>
      <c r="J199" s="2">
        <f>IFERROR(VLOOKUP($A199,observations_series_id_PCU3241913241910_api_key_ecc133893ea92a842ee685c734246086[],3,FALSE),"")</f>
        <v>3.2015065913370999E-2</v>
      </c>
      <c r="K199">
        <f>IFERROR(VLOOKUP($A199,observations_series_id_EXJPUS_api_key_ecc133893ea92a842ee685c734246086_file_type[],2,FALSE),"")</f>
        <v>282.97000000000003</v>
      </c>
      <c r="L199" s="2">
        <f>IFERROR(VLOOKUP($A199,observations_series_id_EXJPUS_api_key_ecc133893ea92a842ee685c734246086_file_type[],3,FALSE),"")</f>
        <v>-0.26522246174506114</v>
      </c>
      <c r="M199" t="str">
        <f>IFERROR(AVERAGEIFS(timeseries_access_key_fqeas14oitk235763mntlb1c0brnk9w3fenzqbk313q5kvxyf52kukw1pa[Value.LME-ZNC],timeseries_access_key_fqeas14oitk235763mntlb1c0brnk9w3fenzqbk313q5kvxyf52kukw1pa[Month],MONTH(Data!$A199),timeseries_access_key_fqeas14oitk235763mntlb1c0brnk9w3fenzqbk313q5kvxyf52kukw1pa[Year],YEAR(Data!$A199)),"")</f>
        <v/>
      </c>
      <c r="N199" s="2" t="str">
        <f>IFERROR(AVERAGEIFS(timeseries_access_key_fqeas14oitk235763mntlb1c0brnk9w3fenzqbk313q5kvxyf52kukw1pa[Column1],timeseries_access_key_fqeas14oitk235763mntlb1c0brnk9w3fenzqbk313q5kvxyf52kukw1pa[Month],MONTH(Data!$A199),timeseries_access_key_fqeas14oitk235763mntlb1c0brnk9w3fenzqbk313q5kvxyf52kukw1pa[Year],YEAR(Data!$A199)),"")</f>
        <v/>
      </c>
      <c r="O199" s="8" t="str">
        <f>IFERROR(VLOOKUP($A199,Text_1_2[[Text.1.1.3]:[Text.1.3]],2,FALSE),"")</f>
        <v/>
      </c>
      <c r="P199" s="2"/>
    </row>
    <row r="200" spans="1:16" x14ac:dyDescent="0.25">
      <c r="A200" s="1">
        <v>27211</v>
      </c>
      <c r="B200" t="str">
        <f>HLOOKUP(Dashboard!$I$27,results,ROW(A200),FALSE)</f>
        <v/>
      </c>
      <c r="C200">
        <f>IFERROR(VLOOKUP(A200,observations_series_id_PCU22112222112243_api_key_ecc133893ea92a842ee685c73424608[],2,FALSE),"")</f>
        <v>31.7</v>
      </c>
      <c r="D200" s="2">
        <f>IFERROR(VLOOKUP(A200,observations_series_id_PCU22112222112243_api_key_ecc133893ea92a842ee685c73424608[],3,FALSE),"")</f>
        <v>0.45110410094637232</v>
      </c>
      <c r="E200" t="str">
        <f>IFERROR(VLOOKUP($A200,observations_series_id_WPU0613020T_api_key_ecc133893ea92a842ee685c734246086_file[],2,FALSE),"")</f>
        <v/>
      </c>
      <c r="F200" s="2" t="str">
        <f>IFERROR(VLOOKUP($A200,observations_series_id_WPU0613020T_api_key_ecc133893ea92a842ee685c734246086_file[],3,FALSE),"")</f>
        <v/>
      </c>
      <c r="G200" t="str">
        <f>IFERROR(VLOOKUP($A200,observations_series_id_PCU22122212_api_key_ecc133893ea92a842ee685c734246086_file[],2,FALSE),"")</f>
        <v/>
      </c>
      <c r="H200" s="2" t="str">
        <f>IFERROR(VLOOKUP($A200,observations_series_id_PCU22122212_api_key_ecc133893ea92a842ee685c734246086_file[],3,FALSE),"")</f>
        <v/>
      </c>
      <c r="I200">
        <f>IFERROR(VLOOKUP($A200,observations_series_id_PCU3241913241910_api_key_ecc133893ea92a842ee685c734246086[],2,FALSE),"")</f>
        <v>55.2</v>
      </c>
      <c r="J200" s="2">
        <f>IFERROR(VLOOKUP($A200,observations_series_id_PCU3241913241910_api_key_ecc133893ea92a842ee685c734246086[],3,FALSE),"")</f>
        <v>6.8840579710145011E-2</v>
      </c>
      <c r="K200">
        <f>IFERROR(VLOOKUP($A200,observations_series_id_EXJPUS_api_key_ecc133893ea92a842ee685c734246086_file_type[],2,FALSE),"")</f>
        <v>290.98</v>
      </c>
      <c r="L200" s="2">
        <f>IFERROR(VLOOKUP($A200,observations_series_id_EXJPUS_api_key_ecc133893ea92a842ee685c734246086_file_type[],3,FALSE),"")</f>
        <v>-0.23039384150113396</v>
      </c>
      <c r="M200" t="str">
        <f>IFERROR(AVERAGEIFS(timeseries_access_key_fqeas14oitk235763mntlb1c0brnk9w3fenzqbk313q5kvxyf52kukw1pa[Value.LME-ZNC],timeseries_access_key_fqeas14oitk235763mntlb1c0brnk9w3fenzqbk313q5kvxyf52kukw1pa[Month],MONTH(Data!$A200),timeseries_access_key_fqeas14oitk235763mntlb1c0brnk9w3fenzqbk313q5kvxyf52kukw1pa[Year],YEAR(Data!$A200)),"")</f>
        <v/>
      </c>
      <c r="N200" s="2" t="str">
        <f>IFERROR(AVERAGEIFS(timeseries_access_key_fqeas14oitk235763mntlb1c0brnk9w3fenzqbk313q5kvxyf52kukw1pa[Column1],timeseries_access_key_fqeas14oitk235763mntlb1c0brnk9w3fenzqbk313q5kvxyf52kukw1pa[Month],MONTH(Data!$A200),timeseries_access_key_fqeas14oitk235763mntlb1c0brnk9w3fenzqbk313q5kvxyf52kukw1pa[Year],YEAR(Data!$A200)),"")</f>
        <v/>
      </c>
      <c r="O200" s="8" t="str">
        <f>IFERROR(VLOOKUP($A200,Text_1_2[[Text.1.1.3]:[Text.1.3]],2,FALSE),"")</f>
        <v/>
      </c>
      <c r="P200" s="2"/>
    </row>
    <row r="201" spans="1:16" x14ac:dyDescent="0.25">
      <c r="A201" s="1">
        <v>27242</v>
      </c>
      <c r="B201" t="str">
        <f>HLOOKUP(Dashboard!$I$27,results,ROW(A201),FALSE)</f>
        <v/>
      </c>
      <c r="C201">
        <f>IFERROR(VLOOKUP(A201,observations_series_id_PCU22112222112243_api_key_ecc133893ea92a842ee685c73424608[],2,FALSE),"")</f>
        <v>32.4</v>
      </c>
      <c r="D201" s="2">
        <f>IFERROR(VLOOKUP(A201,observations_series_id_PCU22112222112243_api_key_ecc133893ea92a842ee685c73424608[],3,FALSE),"")</f>
        <v>0.46296296296296302</v>
      </c>
      <c r="E201" t="str">
        <f>IFERROR(VLOOKUP($A201,observations_series_id_WPU0613020T_api_key_ecc133893ea92a842ee685c734246086_file[],2,FALSE),"")</f>
        <v/>
      </c>
      <c r="F201" s="2" t="str">
        <f>IFERROR(VLOOKUP($A201,observations_series_id_WPU0613020T_api_key_ecc133893ea92a842ee685c734246086_file[],3,FALSE),"")</f>
        <v/>
      </c>
      <c r="G201" t="str">
        <f>IFERROR(VLOOKUP($A201,observations_series_id_PCU22122212_api_key_ecc133893ea92a842ee685c734246086_file[],2,FALSE),"")</f>
        <v/>
      </c>
      <c r="H201" s="2" t="str">
        <f>IFERROR(VLOOKUP($A201,observations_series_id_PCU22122212_api_key_ecc133893ea92a842ee685c734246086_file[],3,FALSE),"")</f>
        <v/>
      </c>
      <c r="I201">
        <f>IFERROR(VLOOKUP($A201,observations_series_id_PCU3241913241910_api_key_ecc133893ea92a842ee685c734246086[],2,FALSE),"")</f>
        <v>55.2</v>
      </c>
      <c r="J201" s="2">
        <f>IFERROR(VLOOKUP($A201,observations_series_id_PCU3241913241910_api_key_ecc133893ea92a842ee685c734246086[],3,FALSE),"")</f>
        <v>6.8840579710145011E-2</v>
      </c>
      <c r="K201">
        <f>IFERROR(VLOOKUP($A201,observations_series_id_EXJPUS_api_key_ecc133893ea92a842ee685c734246086_file_type[],2,FALSE),"")</f>
        <v>302.28359999999998</v>
      </c>
      <c r="L201" s="2">
        <f>IFERROR(VLOOKUP($A201,observations_series_id_EXJPUS_api_key_ecc133893ea92a842ee685c734246086_file_type[],3,FALSE),"")</f>
        <v>-0.18438446544900211</v>
      </c>
      <c r="M201" t="str">
        <f>IFERROR(AVERAGEIFS(timeseries_access_key_fqeas14oitk235763mntlb1c0brnk9w3fenzqbk313q5kvxyf52kukw1pa[Value.LME-ZNC],timeseries_access_key_fqeas14oitk235763mntlb1c0brnk9w3fenzqbk313q5kvxyf52kukw1pa[Month],MONTH(Data!$A201),timeseries_access_key_fqeas14oitk235763mntlb1c0brnk9w3fenzqbk313q5kvxyf52kukw1pa[Year],YEAR(Data!$A201)),"")</f>
        <v/>
      </c>
      <c r="N201" s="2" t="str">
        <f>IFERROR(AVERAGEIFS(timeseries_access_key_fqeas14oitk235763mntlb1c0brnk9w3fenzqbk313q5kvxyf52kukw1pa[Column1],timeseries_access_key_fqeas14oitk235763mntlb1c0brnk9w3fenzqbk313q5kvxyf52kukw1pa[Month],MONTH(Data!$A201),timeseries_access_key_fqeas14oitk235763mntlb1c0brnk9w3fenzqbk313q5kvxyf52kukw1pa[Year],YEAR(Data!$A201)),"")</f>
        <v/>
      </c>
      <c r="O201" s="8" t="str">
        <f>IFERROR(VLOOKUP($A201,Text_1_2[[Text.1.1.3]:[Text.1.3]],2,FALSE),"")</f>
        <v/>
      </c>
      <c r="P201" s="2"/>
    </row>
    <row r="202" spans="1:16" x14ac:dyDescent="0.25">
      <c r="A202" s="1">
        <v>27273</v>
      </c>
      <c r="B202" t="str">
        <f>HLOOKUP(Dashboard!$I$27,results,ROW(A202),FALSE)</f>
        <v/>
      </c>
      <c r="C202">
        <f>IFERROR(VLOOKUP(A202,observations_series_id_PCU22112222112243_api_key_ecc133893ea92a842ee685c73424608[],2,FALSE),"")</f>
        <v>32.9</v>
      </c>
      <c r="D202" s="2">
        <f>IFERROR(VLOOKUP(A202,observations_series_id_PCU22112222112243_api_key_ecc133893ea92a842ee685c73424608[],3,FALSE),"")</f>
        <v>0.47112462006079026</v>
      </c>
      <c r="E202" t="str">
        <f>IFERROR(VLOOKUP($A202,observations_series_id_WPU0613020T_api_key_ecc133893ea92a842ee685c734246086_file[],2,FALSE),"")</f>
        <v/>
      </c>
      <c r="F202" s="2" t="str">
        <f>IFERROR(VLOOKUP($A202,observations_series_id_WPU0613020T_api_key_ecc133893ea92a842ee685c734246086_file[],3,FALSE),"")</f>
        <v/>
      </c>
      <c r="G202" t="str">
        <f>IFERROR(VLOOKUP($A202,observations_series_id_PCU22122212_api_key_ecc133893ea92a842ee685c734246086_file[],2,FALSE),"")</f>
        <v/>
      </c>
      <c r="H202" s="2" t="str">
        <f>IFERROR(VLOOKUP($A202,observations_series_id_PCU22122212_api_key_ecc133893ea92a842ee685c734246086_file[],3,FALSE),"")</f>
        <v/>
      </c>
      <c r="I202">
        <f>IFERROR(VLOOKUP($A202,observations_series_id_PCU3241913241910_api_key_ecc133893ea92a842ee685c734246086[],2,FALSE),"")</f>
        <v>55.6</v>
      </c>
      <c r="J202" s="2">
        <f>IFERROR(VLOOKUP($A202,observations_series_id_PCU3241913241910_api_key_ecc133893ea92a842ee685c734246086[],3,FALSE),"")</f>
        <v>7.5539568345323826E-2</v>
      </c>
      <c r="K202">
        <f>IFERROR(VLOOKUP($A202,observations_series_id_EXJPUS_api_key_ecc133893ea92a842ee685c734246086_file_type[],2,FALSE),"")</f>
        <v>299.084</v>
      </c>
      <c r="L202" s="2">
        <f>IFERROR(VLOOKUP($A202,observations_series_id_EXJPUS_api_key_ecc133893ea92a842ee685c734246086_file_type[],3,FALSE),"")</f>
        <v>-0.19705500795763053</v>
      </c>
      <c r="M202" t="str">
        <f>IFERROR(AVERAGEIFS(timeseries_access_key_fqeas14oitk235763mntlb1c0brnk9w3fenzqbk313q5kvxyf52kukw1pa[Value.LME-ZNC],timeseries_access_key_fqeas14oitk235763mntlb1c0brnk9w3fenzqbk313q5kvxyf52kukw1pa[Month],MONTH(Data!$A202),timeseries_access_key_fqeas14oitk235763mntlb1c0brnk9w3fenzqbk313q5kvxyf52kukw1pa[Year],YEAR(Data!$A202)),"")</f>
        <v/>
      </c>
      <c r="N202" s="2" t="str">
        <f>IFERROR(AVERAGEIFS(timeseries_access_key_fqeas14oitk235763mntlb1c0brnk9w3fenzqbk313q5kvxyf52kukw1pa[Column1],timeseries_access_key_fqeas14oitk235763mntlb1c0brnk9w3fenzqbk313q5kvxyf52kukw1pa[Month],MONTH(Data!$A202),timeseries_access_key_fqeas14oitk235763mntlb1c0brnk9w3fenzqbk313q5kvxyf52kukw1pa[Year],YEAR(Data!$A202)),"")</f>
        <v/>
      </c>
      <c r="O202" s="8" t="str">
        <f>IFERROR(VLOOKUP($A202,Text_1_2[[Text.1.1.3]:[Text.1.3]],2,FALSE),"")</f>
        <v/>
      </c>
      <c r="P202" s="2"/>
    </row>
    <row r="203" spans="1:16" x14ac:dyDescent="0.25">
      <c r="A203" s="1">
        <v>27303</v>
      </c>
      <c r="B203" t="str">
        <f>HLOOKUP(Dashboard!$I$27,results,ROW(A203),FALSE)</f>
        <v/>
      </c>
      <c r="C203">
        <f>IFERROR(VLOOKUP(A203,observations_series_id_PCU22112222112243_api_key_ecc133893ea92a842ee685c73424608[],2,FALSE),"")</f>
        <v>33.9</v>
      </c>
      <c r="D203" s="2">
        <f>IFERROR(VLOOKUP(A203,observations_series_id_PCU22112222112243_api_key_ecc133893ea92a842ee685c73424608[],3,FALSE),"")</f>
        <v>0.48672566371681414</v>
      </c>
      <c r="E203" t="str">
        <f>IFERROR(VLOOKUP($A203,observations_series_id_WPU0613020T_api_key_ecc133893ea92a842ee685c734246086_file[],2,FALSE),"")</f>
        <v/>
      </c>
      <c r="F203" s="2" t="str">
        <f>IFERROR(VLOOKUP($A203,observations_series_id_WPU0613020T_api_key_ecc133893ea92a842ee685c734246086_file[],3,FALSE),"")</f>
        <v/>
      </c>
      <c r="G203" t="str">
        <f>IFERROR(VLOOKUP($A203,observations_series_id_PCU22122212_api_key_ecc133893ea92a842ee685c734246086_file[],2,FALSE),"")</f>
        <v/>
      </c>
      <c r="H203" s="2" t="str">
        <f>IFERROR(VLOOKUP($A203,observations_series_id_PCU22122212_api_key_ecc133893ea92a842ee685c734246086_file[],3,FALSE),"")</f>
        <v/>
      </c>
      <c r="I203">
        <f>IFERROR(VLOOKUP($A203,observations_series_id_PCU3241913241910_api_key_ecc133893ea92a842ee685c734246086[],2,FALSE),"")</f>
        <v>55.4</v>
      </c>
      <c r="J203" s="2">
        <f>IFERROR(VLOOKUP($A203,observations_series_id_PCU3241913241910_api_key_ecc133893ea92a842ee685c734246086[],3,FALSE),"")</f>
        <v>7.2202166064981976E-2</v>
      </c>
      <c r="K203">
        <f>IFERROR(VLOOKUP($A203,observations_series_id_EXJPUS_api_key_ecc133893ea92a842ee685c734246086_file_type[],2,FALSE),"")</f>
        <v>299.36450000000002</v>
      </c>
      <c r="L203" s="2">
        <f>IFERROR(VLOOKUP($A203,observations_series_id_EXJPUS_api_key_ecc133893ea92a842ee685c734246086_file_type[],3,FALSE),"")</f>
        <v>-0.19593338555506734</v>
      </c>
      <c r="M203" t="str">
        <f>IFERROR(AVERAGEIFS(timeseries_access_key_fqeas14oitk235763mntlb1c0brnk9w3fenzqbk313q5kvxyf52kukw1pa[Value.LME-ZNC],timeseries_access_key_fqeas14oitk235763mntlb1c0brnk9w3fenzqbk313q5kvxyf52kukw1pa[Month],MONTH(Data!$A203),timeseries_access_key_fqeas14oitk235763mntlb1c0brnk9w3fenzqbk313q5kvxyf52kukw1pa[Year],YEAR(Data!$A203)),"")</f>
        <v/>
      </c>
      <c r="N203" s="2" t="str">
        <f>IFERROR(AVERAGEIFS(timeseries_access_key_fqeas14oitk235763mntlb1c0brnk9w3fenzqbk313q5kvxyf52kukw1pa[Column1],timeseries_access_key_fqeas14oitk235763mntlb1c0brnk9w3fenzqbk313q5kvxyf52kukw1pa[Month],MONTH(Data!$A203),timeseries_access_key_fqeas14oitk235763mntlb1c0brnk9w3fenzqbk313q5kvxyf52kukw1pa[Year],YEAR(Data!$A203)),"")</f>
        <v/>
      </c>
      <c r="O203" s="8" t="str">
        <f>IFERROR(VLOOKUP($A203,Text_1_2[[Text.1.1.3]:[Text.1.3]],2,FALSE),"")</f>
        <v/>
      </c>
      <c r="P203" s="2"/>
    </row>
    <row r="204" spans="1:16" x14ac:dyDescent="0.25">
      <c r="A204" s="1">
        <v>27334</v>
      </c>
      <c r="B204" t="str">
        <f>HLOOKUP(Dashboard!$I$27,results,ROW(A204),FALSE)</f>
        <v/>
      </c>
      <c r="C204">
        <f>IFERROR(VLOOKUP(A204,observations_series_id_PCU22112222112243_api_key_ecc133893ea92a842ee685c73424608[],2,FALSE),"")</f>
        <v>34.299999999999997</v>
      </c>
      <c r="D204" s="2">
        <f>IFERROR(VLOOKUP(A204,observations_series_id_PCU22112222112243_api_key_ecc133893ea92a842ee685c73424608[],3,FALSE),"")</f>
        <v>0.49271137026239065</v>
      </c>
      <c r="E204" t="str">
        <f>IFERROR(VLOOKUP($A204,observations_series_id_WPU0613020T_api_key_ecc133893ea92a842ee685c734246086_file[],2,FALSE),"")</f>
        <v/>
      </c>
      <c r="F204" s="2" t="str">
        <f>IFERROR(VLOOKUP($A204,observations_series_id_WPU0613020T_api_key_ecc133893ea92a842ee685c734246086_file[],3,FALSE),"")</f>
        <v/>
      </c>
      <c r="G204" t="str">
        <f>IFERROR(VLOOKUP($A204,observations_series_id_PCU22122212_api_key_ecc133893ea92a842ee685c734246086_file[],2,FALSE),"")</f>
        <v/>
      </c>
      <c r="H204" s="2" t="str">
        <f>IFERROR(VLOOKUP($A204,observations_series_id_PCU22122212_api_key_ecc133893ea92a842ee685c734246086_file[],3,FALSE),"")</f>
        <v/>
      </c>
      <c r="I204">
        <f>IFERROR(VLOOKUP($A204,observations_series_id_PCU3241913241910_api_key_ecc133893ea92a842ee685c734246086[],2,FALSE),"")</f>
        <v>55.4</v>
      </c>
      <c r="J204" s="2">
        <f>IFERROR(VLOOKUP($A204,observations_series_id_PCU3241913241910_api_key_ecc133893ea92a842ee685c734246086[],3,FALSE),"")</f>
        <v>7.2202166064981976E-2</v>
      </c>
      <c r="K204">
        <f>IFERROR(VLOOKUP($A204,observations_series_id_EXJPUS_api_key_ecc133893ea92a842ee685c734246086_file_type[],2,FALSE),"")</f>
        <v>300.07499999999999</v>
      </c>
      <c r="L204" s="2">
        <f>IFERROR(VLOOKUP($A204,observations_series_id_EXJPUS_api_key_ecc133893ea92a842ee685c734246086_file_type[],3,FALSE),"")</f>
        <v>-0.19310172456885777</v>
      </c>
      <c r="M204" t="str">
        <f>IFERROR(AVERAGEIFS(timeseries_access_key_fqeas14oitk235763mntlb1c0brnk9w3fenzqbk313q5kvxyf52kukw1pa[Value.LME-ZNC],timeseries_access_key_fqeas14oitk235763mntlb1c0brnk9w3fenzqbk313q5kvxyf52kukw1pa[Month],MONTH(Data!$A204),timeseries_access_key_fqeas14oitk235763mntlb1c0brnk9w3fenzqbk313q5kvxyf52kukw1pa[Year],YEAR(Data!$A204)),"")</f>
        <v/>
      </c>
      <c r="N204" s="2" t="str">
        <f>IFERROR(AVERAGEIFS(timeseries_access_key_fqeas14oitk235763mntlb1c0brnk9w3fenzqbk313q5kvxyf52kukw1pa[Column1],timeseries_access_key_fqeas14oitk235763mntlb1c0brnk9w3fenzqbk313q5kvxyf52kukw1pa[Month],MONTH(Data!$A204),timeseries_access_key_fqeas14oitk235763mntlb1c0brnk9w3fenzqbk313q5kvxyf52kukw1pa[Year],YEAR(Data!$A204)),"")</f>
        <v/>
      </c>
      <c r="O204" s="8" t="str">
        <f>IFERROR(VLOOKUP($A204,Text_1_2[[Text.1.1.3]:[Text.1.3]],2,FALSE),"")</f>
        <v/>
      </c>
      <c r="P204" s="2"/>
    </row>
    <row r="205" spans="1:16" x14ac:dyDescent="0.25">
      <c r="A205" s="1">
        <v>27364</v>
      </c>
      <c r="B205" t="str">
        <f>HLOOKUP(Dashboard!$I$27,results,ROW(A205),FALSE)</f>
        <v/>
      </c>
      <c r="C205">
        <f>IFERROR(VLOOKUP(A205,observations_series_id_PCU22112222112243_api_key_ecc133893ea92a842ee685c73424608[],2,FALSE),"")</f>
        <v>34.700000000000003</v>
      </c>
      <c r="D205" s="2">
        <f>IFERROR(VLOOKUP(A205,observations_series_id_PCU22112222112243_api_key_ecc133893ea92a842ee685c73424608[],3,FALSE),"")</f>
        <v>0.49855907780979836</v>
      </c>
      <c r="E205" t="str">
        <f>IFERROR(VLOOKUP($A205,observations_series_id_WPU0613020T_api_key_ecc133893ea92a842ee685c734246086_file[],2,FALSE),"")</f>
        <v/>
      </c>
      <c r="F205" s="2" t="str">
        <f>IFERROR(VLOOKUP($A205,observations_series_id_WPU0613020T_api_key_ecc133893ea92a842ee685c734246086_file[],3,FALSE),"")</f>
        <v/>
      </c>
      <c r="G205" t="str">
        <f>IFERROR(VLOOKUP($A205,observations_series_id_PCU22122212_api_key_ecc133893ea92a842ee685c734246086_file[],2,FALSE),"")</f>
        <v/>
      </c>
      <c r="H205" s="2" t="str">
        <f>IFERROR(VLOOKUP($A205,observations_series_id_PCU22122212_api_key_ecc133893ea92a842ee685c734246086_file[],3,FALSE),"")</f>
        <v/>
      </c>
      <c r="I205">
        <f>IFERROR(VLOOKUP($A205,observations_series_id_PCU3241913241910_api_key_ecc133893ea92a842ee685c734246086[],2,FALSE),"")</f>
        <v>55.4</v>
      </c>
      <c r="J205" s="2">
        <f>IFERROR(VLOOKUP($A205,observations_series_id_PCU3241913241910_api_key_ecc133893ea92a842ee685c734246086[],3,FALSE),"")</f>
        <v>7.2202166064981976E-2</v>
      </c>
      <c r="K205">
        <f>IFERROR(VLOOKUP($A205,observations_series_id_EXJPUS_api_key_ecc133893ea92a842ee685c734246086_file_type[],2,FALSE),"")</f>
        <v>300.41140000000001</v>
      </c>
      <c r="L205" s="2">
        <f>IFERROR(VLOOKUP($A205,observations_series_id_EXJPUS_api_key_ecc133893ea92a842ee685c734246086_file_type[],3,FALSE),"")</f>
        <v>-0.19176569198106308</v>
      </c>
      <c r="M205" t="str">
        <f>IFERROR(AVERAGEIFS(timeseries_access_key_fqeas14oitk235763mntlb1c0brnk9w3fenzqbk313q5kvxyf52kukw1pa[Value.LME-ZNC],timeseries_access_key_fqeas14oitk235763mntlb1c0brnk9w3fenzqbk313q5kvxyf52kukw1pa[Month],MONTH(Data!$A205),timeseries_access_key_fqeas14oitk235763mntlb1c0brnk9w3fenzqbk313q5kvxyf52kukw1pa[Year],YEAR(Data!$A205)),"")</f>
        <v/>
      </c>
      <c r="N205" s="2" t="str">
        <f>IFERROR(AVERAGEIFS(timeseries_access_key_fqeas14oitk235763mntlb1c0brnk9w3fenzqbk313q5kvxyf52kukw1pa[Column1],timeseries_access_key_fqeas14oitk235763mntlb1c0brnk9w3fenzqbk313q5kvxyf52kukw1pa[Month],MONTH(Data!$A205),timeseries_access_key_fqeas14oitk235763mntlb1c0brnk9w3fenzqbk313q5kvxyf52kukw1pa[Year],YEAR(Data!$A205)),"")</f>
        <v/>
      </c>
      <c r="O205" s="8" t="str">
        <f>IFERROR(VLOOKUP($A205,Text_1_2[[Text.1.1.3]:[Text.1.3]],2,FALSE),"")</f>
        <v/>
      </c>
      <c r="P205" s="2"/>
    </row>
    <row r="206" spans="1:16" x14ac:dyDescent="0.25">
      <c r="A206" s="1">
        <v>27395</v>
      </c>
      <c r="B206" t="str">
        <f>HLOOKUP(Dashboard!$I$27,results,ROW(A206),FALSE)</f>
        <v/>
      </c>
      <c r="C206">
        <f>IFERROR(VLOOKUP(A206,observations_series_id_PCU22112222112243_api_key_ecc133893ea92a842ee685c73424608[],2,FALSE),"")</f>
        <v>35.200000000000003</v>
      </c>
      <c r="D206" s="2">
        <f>IFERROR(VLOOKUP(A206,observations_series_id_PCU22112222112243_api_key_ecc133893ea92a842ee685c73424608[],3,FALSE),"")</f>
        <v>0.50568181818181834</v>
      </c>
      <c r="E206" t="str">
        <f>IFERROR(VLOOKUP($A206,observations_series_id_WPU0613020T_api_key_ecc133893ea92a842ee685c734246086_file[],2,FALSE),"")</f>
        <v/>
      </c>
      <c r="F206" s="2" t="str">
        <f>IFERROR(VLOOKUP($A206,observations_series_id_WPU0613020T_api_key_ecc133893ea92a842ee685c734246086_file[],3,FALSE),"")</f>
        <v/>
      </c>
      <c r="G206" t="str">
        <f>IFERROR(VLOOKUP($A206,observations_series_id_PCU22122212_api_key_ecc133893ea92a842ee685c734246086_file[],2,FALSE),"")</f>
        <v/>
      </c>
      <c r="H206" s="2" t="str">
        <f>IFERROR(VLOOKUP($A206,observations_series_id_PCU22122212_api_key_ecc133893ea92a842ee685c734246086_file[],3,FALSE),"")</f>
        <v/>
      </c>
      <c r="I206">
        <f>IFERROR(VLOOKUP($A206,observations_series_id_PCU3241913241910_api_key_ecc133893ea92a842ee685c734246086[],2,FALSE),"")</f>
        <v>55.4</v>
      </c>
      <c r="J206" s="2">
        <f>IFERROR(VLOOKUP($A206,observations_series_id_PCU3241913241910_api_key_ecc133893ea92a842ee685c734246086[],3,FALSE),"")</f>
        <v>7.2202166064981976E-2</v>
      </c>
      <c r="K206">
        <f>IFERROR(VLOOKUP($A206,observations_series_id_EXJPUS_api_key_ecc133893ea92a842ee685c734246086_file_type[],2,FALSE),"")</f>
        <v>299.68450000000001</v>
      </c>
      <c r="L206" s="2">
        <f>IFERROR(VLOOKUP($A206,observations_series_id_EXJPUS_api_key_ecc133893ea92a842ee685c734246086_file_type[],3,FALSE),"")</f>
        <v>-0.19465638029327503</v>
      </c>
      <c r="M206" t="str">
        <f>IFERROR(AVERAGEIFS(timeseries_access_key_fqeas14oitk235763mntlb1c0brnk9w3fenzqbk313q5kvxyf52kukw1pa[Value.LME-ZNC],timeseries_access_key_fqeas14oitk235763mntlb1c0brnk9w3fenzqbk313q5kvxyf52kukw1pa[Month],MONTH(Data!$A206),timeseries_access_key_fqeas14oitk235763mntlb1c0brnk9w3fenzqbk313q5kvxyf52kukw1pa[Year],YEAR(Data!$A206)),"")</f>
        <v/>
      </c>
      <c r="N206" s="2" t="str">
        <f>IFERROR(AVERAGEIFS(timeseries_access_key_fqeas14oitk235763mntlb1c0brnk9w3fenzqbk313q5kvxyf52kukw1pa[Column1],timeseries_access_key_fqeas14oitk235763mntlb1c0brnk9w3fenzqbk313q5kvxyf52kukw1pa[Month],MONTH(Data!$A206),timeseries_access_key_fqeas14oitk235763mntlb1c0brnk9w3fenzqbk313q5kvxyf52kukw1pa[Year],YEAR(Data!$A206)),"")</f>
        <v/>
      </c>
      <c r="O206" s="8" t="str">
        <f>IFERROR(VLOOKUP($A206,Text_1_2[[Text.1.1.3]:[Text.1.3]],2,FALSE),"")</f>
        <v/>
      </c>
      <c r="P206" s="2"/>
    </row>
    <row r="207" spans="1:16" x14ac:dyDescent="0.25">
      <c r="A207" s="1">
        <v>27426</v>
      </c>
      <c r="B207" t="str">
        <f>HLOOKUP(Dashboard!$I$27,results,ROW(A207),FALSE)</f>
        <v/>
      </c>
      <c r="C207">
        <f>IFERROR(VLOOKUP(A207,observations_series_id_PCU22112222112243_api_key_ecc133893ea92a842ee685c73424608[],2,FALSE),"")</f>
        <v>36</v>
      </c>
      <c r="D207" s="2">
        <f>IFERROR(VLOOKUP(A207,observations_series_id_PCU22112222112243_api_key_ecc133893ea92a842ee685c73424608[],3,FALSE),"")</f>
        <v>0.51666666666666672</v>
      </c>
      <c r="E207" t="str">
        <f>IFERROR(VLOOKUP($A207,observations_series_id_WPU0613020T_api_key_ecc133893ea92a842ee685c734246086_file[],2,FALSE),"")</f>
        <v/>
      </c>
      <c r="F207" s="2" t="str">
        <f>IFERROR(VLOOKUP($A207,observations_series_id_WPU0613020T_api_key_ecc133893ea92a842ee685c734246086_file[],3,FALSE),"")</f>
        <v/>
      </c>
      <c r="G207" t="str">
        <f>IFERROR(VLOOKUP($A207,observations_series_id_PCU22122212_api_key_ecc133893ea92a842ee685c734246086_file[],2,FALSE),"")</f>
        <v/>
      </c>
      <c r="H207" s="2" t="str">
        <f>IFERROR(VLOOKUP($A207,observations_series_id_PCU22122212_api_key_ecc133893ea92a842ee685c734246086_file[],3,FALSE),"")</f>
        <v/>
      </c>
      <c r="I207">
        <f>IFERROR(VLOOKUP($A207,observations_series_id_PCU3241913241910_api_key_ecc133893ea92a842ee685c734246086[],2,FALSE),"")</f>
        <v>54.9</v>
      </c>
      <c r="J207" s="2">
        <f>IFERROR(VLOOKUP($A207,observations_series_id_PCU3241913241910_api_key_ecc133893ea92a842ee685c734246086[],3,FALSE),"")</f>
        <v>6.3752276867030999E-2</v>
      </c>
      <c r="K207">
        <f>IFERROR(VLOOKUP($A207,observations_series_id_EXJPUS_api_key_ecc133893ea92a842ee685c734246086_file_type[],2,FALSE),"")</f>
        <v>291.6583</v>
      </c>
      <c r="L207" s="2">
        <f>IFERROR(VLOOKUP($A207,observations_series_id_EXJPUS_api_key_ecc133893ea92a842ee685c734246086_file_type[],3,FALSE),"")</f>
        <v>-0.22753235549956918</v>
      </c>
      <c r="M207" t="str">
        <f>IFERROR(AVERAGEIFS(timeseries_access_key_fqeas14oitk235763mntlb1c0brnk9w3fenzqbk313q5kvxyf52kukw1pa[Value.LME-ZNC],timeseries_access_key_fqeas14oitk235763mntlb1c0brnk9w3fenzqbk313q5kvxyf52kukw1pa[Month],MONTH(Data!$A207),timeseries_access_key_fqeas14oitk235763mntlb1c0brnk9w3fenzqbk313q5kvxyf52kukw1pa[Year],YEAR(Data!$A207)),"")</f>
        <v/>
      </c>
      <c r="N207" s="2" t="str">
        <f>IFERROR(AVERAGEIFS(timeseries_access_key_fqeas14oitk235763mntlb1c0brnk9w3fenzqbk313q5kvxyf52kukw1pa[Column1],timeseries_access_key_fqeas14oitk235763mntlb1c0brnk9w3fenzqbk313q5kvxyf52kukw1pa[Month],MONTH(Data!$A207),timeseries_access_key_fqeas14oitk235763mntlb1c0brnk9w3fenzqbk313q5kvxyf52kukw1pa[Year],YEAR(Data!$A207)),"")</f>
        <v/>
      </c>
      <c r="O207" s="8" t="str">
        <f>IFERROR(VLOOKUP($A207,Text_1_2[[Text.1.1.3]:[Text.1.3]],2,FALSE),"")</f>
        <v/>
      </c>
      <c r="P207" s="2"/>
    </row>
    <row r="208" spans="1:16" x14ac:dyDescent="0.25">
      <c r="A208" s="1">
        <v>27454</v>
      </c>
      <c r="B208" t="str">
        <f>HLOOKUP(Dashboard!$I$27,results,ROW(A208),FALSE)</f>
        <v/>
      </c>
      <c r="C208">
        <f>IFERROR(VLOOKUP(A208,observations_series_id_PCU22112222112243_api_key_ecc133893ea92a842ee685c73424608[],2,FALSE),"")</f>
        <v>37</v>
      </c>
      <c r="D208" s="2">
        <f>IFERROR(VLOOKUP(A208,observations_series_id_PCU22112222112243_api_key_ecc133893ea92a842ee685c73424608[],3,FALSE),"")</f>
        <v>0.52972972972972976</v>
      </c>
      <c r="E208" t="str">
        <f>IFERROR(VLOOKUP($A208,observations_series_id_WPU0613020T_api_key_ecc133893ea92a842ee685c734246086_file[],2,FALSE),"")</f>
        <v/>
      </c>
      <c r="F208" s="2" t="str">
        <f>IFERROR(VLOOKUP($A208,observations_series_id_WPU0613020T_api_key_ecc133893ea92a842ee685c734246086_file[],3,FALSE),"")</f>
        <v/>
      </c>
      <c r="G208" t="str">
        <f>IFERROR(VLOOKUP($A208,observations_series_id_PCU22122212_api_key_ecc133893ea92a842ee685c734246086_file[],2,FALSE),"")</f>
        <v/>
      </c>
      <c r="H208" s="2" t="str">
        <f>IFERROR(VLOOKUP($A208,observations_series_id_PCU22122212_api_key_ecc133893ea92a842ee685c734246086_file[],3,FALSE),"")</f>
        <v/>
      </c>
      <c r="I208">
        <f>IFERROR(VLOOKUP($A208,observations_series_id_PCU3241913241910_api_key_ecc133893ea92a842ee685c734246086[],2,FALSE),"")</f>
        <v>54.9</v>
      </c>
      <c r="J208" s="2">
        <f>IFERROR(VLOOKUP($A208,observations_series_id_PCU3241913241910_api_key_ecc133893ea92a842ee685c734246086[],3,FALSE),"")</f>
        <v>6.3752276867030999E-2</v>
      </c>
      <c r="K208">
        <f>IFERROR(VLOOKUP($A208,observations_series_id_EXJPUS_api_key_ecc133893ea92a842ee685c734246086_file_type[],2,FALSE),"")</f>
        <v>287.9486</v>
      </c>
      <c r="L208" s="2">
        <f>IFERROR(VLOOKUP($A208,observations_series_id_EXJPUS_api_key_ecc133893ea92a842ee685c734246086_file_type[],3,FALSE),"")</f>
        <v>-0.2433469028847508</v>
      </c>
      <c r="M208" t="str">
        <f>IFERROR(AVERAGEIFS(timeseries_access_key_fqeas14oitk235763mntlb1c0brnk9w3fenzqbk313q5kvxyf52kukw1pa[Value.LME-ZNC],timeseries_access_key_fqeas14oitk235763mntlb1c0brnk9w3fenzqbk313q5kvxyf52kukw1pa[Month],MONTH(Data!$A208),timeseries_access_key_fqeas14oitk235763mntlb1c0brnk9w3fenzqbk313q5kvxyf52kukw1pa[Year],YEAR(Data!$A208)),"")</f>
        <v/>
      </c>
      <c r="N208" s="2" t="str">
        <f>IFERROR(AVERAGEIFS(timeseries_access_key_fqeas14oitk235763mntlb1c0brnk9w3fenzqbk313q5kvxyf52kukw1pa[Column1],timeseries_access_key_fqeas14oitk235763mntlb1c0brnk9w3fenzqbk313q5kvxyf52kukw1pa[Month],MONTH(Data!$A208),timeseries_access_key_fqeas14oitk235763mntlb1c0brnk9w3fenzqbk313q5kvxyf52kukw1pa[Year],YEAR(Data!$A208)),"")</f>
        <v/>
      </c>
      <c r="O208" s="8" t="str">
        <f>IFERROR(VLOOKUP($A208,Text_1_2[[Text.1.1.3]:[Text.1.3]],2,FALSE),"")</f>
        <v/>
      </c>
      <c r="P208" s="2"/>
    </row>
    <row r="209" spans="1:16" x14ac:dyDescent="0.25">
      <c r="A209" s="1">
        <v>27485</v>
      </c>
      <c r="B209" t="str">
        <f>HLOOKUP(Dashboard!$I$27,results,ROW(A209),FALSE)</f>
        <v/>
      </c>
      <c r="C209">
        <f>IFERROR(VLOOKUP(A209,observations_series_id_PCU22112222112243_api_key_ecc133893ea92a842ee685c73424608[],2,FALSE),"")</f>
        <v>37.799999999999997</v>
      </c>
      <c r="D209" s="2">
        <f>IFERROR(VLOOKUP(A209,observations_series_id_PCU22112222112243_api_key_ecc133893ea92a842ee685c73424608[],3,FALSE),"")</f>
        <v>0.53968253968253976</v>
      </c>
      <c r="E209" t="str">
        <f>IFERROR(VLOOKUP($A209,observations_series_id_WPU0613020T_api_key_ecc133893ea92a842ee685c734246086_file[],2,FALSE),"")</f>
        <v/>
      </c>
      <c r="F209" s="2" t="str">
        <f>IFERROR(VLOOKUP($A209,observations_series_id_WPU0613020T_api_key_ecc133893ea92a842ee685c734246086_file[],3,FALSE),"")</f>
        <v/>
      </c>
      <c r="G209" t="str">
        <f>IFERROR(VLOOKUP($A209,observations_series_id_PCU22122212_api_key_ecc133893ea92a842ee685c734246086_file[],2,FALSE),"")</f>
        <v/>
      </c>
      <c r="H209" s="2" t="str">
        <f>IFERROR(VLOOKUP($A209,observations_series_id_PCU22122212_api_key_ecc133893ea92a842ee685c734246086_file[],3,FALSE),"")</f>
        <v/>
      </c>
      <c r="I209">
        <f>IFERROR(VLOOKUP($A209,observations_series_id_PCU3241913241910_api_key_ecc133893ea92a842ee685c734246086[],2,FALSE),"")</f>
        <v>54.5</v>
      </c>
      <c r="J209" s="2">
        <f>IFERROR(VLOOKUP($A209,observations_series_id_PCU3241913241910_api_key_ecc133893ea92a842ee685c734246086[],3,FALSE),"")</f>
        <v>5.6880733944954187E-2</v>
      </c>
      <c r="K209">
        <f>IFERROR(VLOOKUP($A209,observations_series_id_EXJPUS_api_key_ecc133893ea92a842ee685c734246086_file_type[],2,FALSE),"")</f>
        <v>292.1968</v>
      </c>
      <c r="L209" s="2">
        <f>IFERROR(VLOOKUP($A209,observations_series_id_EXJPUS_api_key_ecc133893ea92a842ee685c734246086_file_type[],3,FALSE),"")</f>
        <v>-0.22527009193803615</v>
      </c>
      <c r="M209" t="str">
        <f>IFERROR(AVERAGEIFS(timeseries_access_key_fqeas14oitk235763mntlb1c0brnk9w3fenzqbk313q5kvxyf52kukw1pa[Value.LME-ZNC],timeseries_access_key_fqeas14oitk235763mntlb1c0brnk9w3fenzqbk313q5kvxyf52kukw1pa[Month],MONTH(Data!$A209),timeseries_access_key_fqeas14oitk235763mntlb1c0brnk9w3fenzqbk313q5kvxyf52kukw1pa[Year],YEAR(Data!$A209)),"")</f>
        <v/>
      </c>
      <c r="N209" s="2" t="str">
        <f>IFERROR(AVERAGEIFS(timeseries_access_key_fqeas14oitk235763mntlb1c0brnk9w3fenzqbk313q5kvxyf52kukw1pa[Column1],timeseries_access_key_fqeas14oitk235763mntlb1c0brnk9w3fenzqbk313q5kvxyf52kukw1pa[Month],MONTH(Data!$A209),timeseries_access_key_fqeas14oitk235763mntlb1c0brnk9w3fenzqbk313q5kvxyf52kukw1pa[Year],YEAR(Data!$A209)),"")</f>
        <v/>
      </c>
      <c r="O209" s="8" t="str">
        <f>IFERROR(VLOOKUP($A209,Text_1_2[[Text.1.1.3]:[Text.1.3]],2,FALSE),"")</f>
        <v/>
      </c>
      <c r="P209" s="2"/>
    </row>
    <row r="210" spans="1:16" x14ac:dyDescent="0.25">
      <c r="A210" s="1">
        <v>27515</v>
      </c>
      <c r="B210" t="str">
        <f>HLOOKUP(Dashboard!$I$27,results,ROW(A210),FALSE)</f>
        <v/>
      </c>
      <c r="C210">
        <f>IFERROR(VLOOKUP(A210,observations_series_id_PCU22112222112243_api_key_ecc133893ea92a842ee685c73424608[],2,FALSE),"")</f>
        <v>37.1</v>
      </c>
      <c r="D210" s="2">
        <f>IFERROR(VLOOKUP(A210,observations_series_id_PCU22112222112243_api_key_ecc133893ea92a842ee685c73424608[],3,FALSE),"")</f>
        <v>0.53099730458221028</v>
      </c>
      <c r="E210" t="str">
        <f>IFERROR(VLOOKUP($A210,observations_series_id_WPU0613020T_api_key_ecc133893ea92a842ee685c734246086_file[],2,FALSE),"")</f>
        <v/>
      </c>
      <c r="F210" s="2" t="str">
        <f>IFERROR(VLOOKUP($A210,observations_series_id_WPU0613020T_api_key_ecc133893ea92a842ee685c734246086_file[],3,FALSE),"")</f>
        <v/>
      </c>
      <c r="G210" t="str">
        <f>IFERROR(VLOOKUP($A210,observations_series_id_PCU22122212_api_key_ecc133893ea92a842ee685c734246086_file[],2,FALSE),"")</f>
        <v/>
      </c>
      <c r="H210" s="2" t="str">
        <f>IFERROR(VLOOKUP($A210,observations_series_id_PCU22122212_api_key_ecc133893ea92a842ee685c734246086_file[],3,FALSE),"")</f>
        <v/>
      </c>
      <c r="I210">
        <f>IFERROR(VLOOKUP($A210,observations_series_id_PCU3241913241910_api_key_ecc133893ea92a842ee685c734246086[],2,FALSE),"")</f>
        <v>54.5</v>
      </c>
      <c r="J210" s="2">
        <f>IFERROR(VLOOKUP($A210,observations_series_id_PCU3241913241910_api_key_ecc133893ea92a842ee685c734246086[],3,FALSE),"")</f>
        <v>5.6880733944954187E-2</v>
      </c>
      <c r="K210">
        <f>IFERROR(VLOOKUP($A210,observations_series_id_EXJPUS_api_key_ecc133893ea92a842ee685c734246086_file_type[],2,FALSE),"")</f>
        <v>291.43049999999999</v>
      </c>
      <c r="L210" s="2">
        <f>IFERROR(VLOOKUP($A210,observations_series_id_EXJPUS_api_key_ecc133893ea92a842ee685c734246086_file_type[],3,FALSE),"")</f>
        <v>-0.22849187027438789</v>
      </c>
      <c r="M210" t="str">
        <f>IFERROR(AVERAGEIFS(timeseries_access_key_fqeas14oitk235763mntlb1c0brnk9w3fenzqbk313q5kvxyf52kukw1pa[Value.LME-ZNC],timeseries_access_key_fqeas14oitk235763mntlb1c0brnk9w3fenzqbk313q5kvxyf52kukw1pa[Month],MONTH(Data!$A210),timeseries_access_key_fqeas14oitk235763mntlb1c0brnk9w3fenzqbk313q5kvxyf52kukw1pa[Year],YEAR(Data!$A210)),"")</f>
        <v/>
      </c>
      <c r="N210" s="2" t="str">
        <f>IFERROR(AVERAGEIFS(timeseries_access_key_fqeas14oitk235763mntlb1c0brnk9w3fenzqbk313q5kvxyf52kukw1pa[Column1],timeseries_access_key_fqeas14oitk235763mntlb1c0brnk9w3fenzqbk313q5kvxyf52kukw1pa[Month],MONTH(Data!$A210),timeseries_access_key_fqeas14oitk235763mntlb1c0brnk9w3fenzqbk313q5kvxyf52kukw1pa[Year],YEAR(Data!$A210)),"")</f>
        <v/>
      </c>
      <c r="O210" s="8" t="str">
        <f>IFERROR(VLOOKUP($A210,Text_1_2[[Text.1.1.3]:[Text.1.3]],2,FALSE),"")</f>
        <v/>
      </c>
      <c r="P210" s="2"/>
    </row>
    <row r="211" spans="1:16" x14ac:dyDescent="0.25">
      <c r="A211" s="1">
        <v>27546</v>
      </c>
      <c r="B211" t="str">
        <f>HLOOKUP(Dashboard!$I$27,results,ROW(A211),FALSE)</f>
        <v/>
      </c>
      <c r="C211">
        <f>IFERROR(VLOOKUP(A211,observations_series_id_PCU22112222112243_api_key_ecc133893ea92a842ee685c73424608[],2,FALSE),"")</f>
        <v>36.6</v>
      </c>
      <c r="D211" s="2">
        <f>IFERROR(VLOOKUP(A211,observations_series_id_PCU22112222112243_api_key_ecc133893ea92a842ee685c73424608[],3,FALSE),"")</f>
        <v>0.52459016393442637</v>
      </c>
      <c r="E211" t="str">
        <f>IFERROR(VLOOKUP($A211,observations_series_id_WPU0613020T_api_key_ecc133893ea92a842ee685c734246086_file[],2,FALSE),"")</f>
        <v/>
      </c>
      <c r="F211" s="2" t="str">
        <f>IFERROR(VLOOKUP($A211,observations_series_id_WPU0613020T_api_key_ecc133893ea92a842ee685c734246086_file[],3,FALSE),"")</f>
        <v/>
      </c>
      <c r="G211" t="str">
        <f>IFERROR(VLOOKUP($A211,observations_series_id_PCU22122212_api_key_ecc133893ea92a842ee685c734246086_file[],2,FALSE),"")</f>
        <v/>
      </c>
      <c r="H211" s="2" t="str">
        <f>IFERROR(VLOOKUP($A211,observations_series_id_PCU22122212_api_key_ecc133893ea92a842ee685c734246086_file[],3,FALSE),"")</f>
        <v/>
      </c>
      <c r="I211">
        <f>IFERROR(VLOOKUP($A211,observations_series_id_PCU3241913241910_api_key_ecc133893ea92a842ee685c734246086[],2,FALSE),"")</f>
        <v>54.5</v>
      </c>
      <c r="J211" s="2">
        <f>IFERROR(VLOOKUP($A211,observations_series_id_PCU3241913241910_api_key_ecc133893ea92a842ee685c734246086[],3,FALSE),"")</f>
        <v>5.6880733944954187E-2</v>
      </c>
      <c r="K211">
        <f>IFERROR(VLOOKUP($A211,observations_series_id_EXJPUS_api_key_ecc133893ea92a842ee685c734246086_file_type[],2,FALSE),"")</f>
        <v>293.46620000000001</v>
      </c>
      <c r="L211" s="2">
        <f>IFERROR(VLOOKUP($A211,observations_series_id_EXJPUS_api_key_ecc133893ea92a842ee685c734246086_file_type[],3,FALSE),"")</f>
        <v>-0.21997013625419193</v>
      </c>
      <c r="M211" t="str">
        <f>IFERROR(AVERAGEIFS(timeseries_access_key_fqeas14oitk235763mntlb1c0brnk9w3fenzqbk313q5kvxyf52kukw1pa[Value.LME-ZNC],timeseries_access_key_fqeas14oitk235763mntlb1c0brnk9w3fenzqbk313q5kvxyf52kukw1pa[Month],MONTH(Data!$A211),timeseries_access_key_fqeas14oitk235763mntlb1c0brnk9w3fenzqbk313q5kvxyf52kukw1pa[Year],YEAR(Data!$A211)),"")</f>
        <v/>
      </c>
      <c r="N211" s="2" t="str">
        <f>IFERROR(AVERAGEIFS(timeseries_access_key_fqeas14oitk235763mntlb1c0brnk9w3fenzqbk313q5kvxyf52kukw1pa[Column1],timeseries_access_key_fqeas14oitk235763mntlb1c0brnk9w3fenzqbk313q5kvxyf52kukw1pa[Month],MONTH(Data!$A211),timeseries_access_key_fqeas14oitk235763mntlb1c0brnk9w3fenzqbk313q5kvxyf52kukw1pa[Year],YEAR(Data!$A211)),"")</f>
        <v/>
      </c>
      <c r="O211" s="8" t="str">
        <f>IFERROR(VLOOKUP($A211,Text_1_2[[Text.1.1.3]:[Text.1.3]],2,FALSE),"")</f>
        <v/>
      </c>
      <c r="P211" s="2"/>
    </row>
    <row r="212" spans="1:16" x14ac:dyDescent="0.25">
      <c r="A212" s="1">
        <v>27576</v>
      </c>
      <c r="B212" t="str">
        <f>HLOOKUP(Dashboard!$I$27,results,ROW(A212),FALSE)</f>
        <v/>
      </c>
      <c r="C212">
        <f>IFERROR(VLOOKUP(A212,observations_series_id_PCU22112222112243_api_key_ecc133893ea92a842ee685c73424608[],2,FALSE),"")</f>
        <v>36.9</v>
      </c>
      <c r="D212" s="2">
        <f>IFERROR(VLOOKUP(A212,observations_series_id_PCU22112222112243_api_key_ecc133893ea92a842ee685c73424608[],3,FALSE),"")</f>
        <v>0.52845528455284563</v>
      </c>
      <c r="E212" t="str">
        <f>IFERROR(VLOOKUP($A212,observations_series_id_WPU0613020T_api_key_ecc133893ea92a842ee685c734246086_file[],2,FALSE),"")</f>
        <v/>
      </c>
      <c r="F212" s="2" t="str">
        <f>IFERROR(VLOOKUP($A212,observations_series_id_WPU0613020T_api_key_ecc133893ea92a842ee685c734246086_file[],3,FALSE),"")</f>
        <v/>
      </c>
      <c r="G212" t="str">
        <f>IFERROR(VLOOKUP($A212,observations_series_id_PCU22122212_api_key_ecc133893ea92a842ee685c734246086_file[],2,FALSE),"")</f>
        <v/>
      </c>
      <c r="H212" s="2" t="str">
        <f>IFERROR(VLOOKUP($A212,observations_series_id_PCU22122212_api_key_ecc133893ea92a842ee685c734246086_file[],3,FALSE),"")</f>
        <v/>
      </c>
      <c r="I212">
        <f>IFERROR(VLOOKUP($A212,observations_series_id_PCU3241913241910_api_key_ecc133893ea92a842ee685c734246086[],2,FALSE),"")</f>
        <v>55.1</v>
      </c>
      <c r="J212" s="2">
        <f>IFERROR(VLOOKUP($A212,observations_series_id_PCU3241913241910_api_key_ecc133893ea92a842ee685c734246086[],3,FALSE),"")</f>
        <v>6.7150635208711451E-2</v>
      </c>
      <c r="K212">
        <f>IFERROR(VLOOKUP($A212,observations_series_id_EXJPUS_api_key_ecc133893ea92a842ee685c734246086_file_type[],2,FALSE),"")</f>
        <v>296.3741</v>
      </c>
      <c r="L212" s="2">
        <f>IFERROR(VLOOKUP($A212,observations_series_id_EXJPUS_api_key_ecc133893ea92a842ee685c734246086_file_type[],3,FALSE),"")</f>
        <v>-0.2080002942227408</v>
      </c>
      <c r="M212" t="str">
        <f>IFERROR(AVERAGEIFS(timeseries_access_key_fqeas14oitk235763mntlb1c0brnk9w3fenzqbk313q5kvxyf52kukw1pa[Value.LME-ZNC],timeseries_access_key_fqeas14oitk235763mntlb1c0brnk9w3fenzqbk313q5kvxyf52kukw1pa[Month],MONTH(Data!$A212),timeseries_access_key_fqeas14oitk235763mntlb1c0brnk9w3fenzqbk313q5kvxyf52kukw1pa[Year],YEAR(Data!$A212)),"")</f>
        <v/>
      </c>
      <c r="N212" s="2" t="str">
        <f>IFERROR(AVERAGEIFS(timeseries_access_key_fqeas14oitk235763mntlb1c0brnk9w3fenzqbk313q5kvxyf52kukw1pa[Column1],timeseries_access_key_fqeas14oitk235763mntlb1c0brnk9w3fenzqbk313q5kvxyf52kukw1pa[Month],MONTH(Data!$A212),timeseries_access_key_fqeas14oitk235763mntlb1c0brnk9w3fenzqbk313q5kvxyf52kukw1pa[Year],YEAR(Data!$A212)),"")</f>
        <v/>
      </c>
      <c r="O212" s="8" t="str">
        <f>IFERROR(VLOOKUP($A212,Text_1_2[[Text.1.1.3]:[Text.1.3]],2,FALSE),"")</f>
        <v/>
      </c>
      <c r="P212" s="2"/>
    </row>
    <row r="213" spans="1:16" x14ac:dyDescent="0.25">
      <c r="A213" s="1">
        <v>27607</v>
      </c>
      <c r="B213" t="str">
        <f>HLOOKUP(Dashboard!$I$27,results,ROW(A213),FALSE)</f>
        <v/>
      </c>
      <c r="C213">
        <f>IFERROR(VLOOKUP(A213,observations_series_id_PCU22112222112243_api_key_ecc133893ea92a842ee685c73424608[],2,FALSE),"")</f>
        <v>37.4</v>
      </c>
      <c r="D213" s="2">
        <f>IFERROR(VLOOKUP(A213,observations_series_id_PCU22112222112243_api_key_ecc133893ea92a842ee685c73424608[],3,FALSE),"")</f>
        <v>0.53475935828877008</v>
      </c>
      <c r="E213" t="str">
        <f>IFERROR(VLOOKUP($A213,observations_series_id_WPU0613020T_api_key_ecc133893ea92a842ee685c734246086_file[],2,FALSE),"")</f>
        <v/>
      </c>
      <c r="F213" s="2" t="str">
        <f>IFERROR(VLOOKUP($A213,observations_series_id_WPU0613020T_api_key_ecc133893ea92a842ee685c734246086_file[],3,FALSE),"")</f>
        <v/>
      </c>
      <c r="G213" t="str">
        <f>IFERROR(VLOOKUP($A213,observations_series_id_PCU22122212_api_key_ecc133893ea92a842ee685c734246086_file[],2,FALSE),"")</f>
        <v/>
      </c>
      <c r="H213" s="2" t="str">
        <f>IFERROR(VLOOKUP($A213,observations_series_id_PCU22122212_api_key_ecc133893ea92a842ee685c734246086_file[],3,FALSE),"")</f>
        <v/>
      </c>
      <c r="I213">
        <f>IFERROR(VLOOKUP($A213,observations_series_id_PCU3241913241910_api_key_ecc133893ea92a842ee685c734246086[],2,FALSE),"")</f>
        <v>55.1</v>
      </c>
      <c r="J213" s="2">
        <f>IFERROR(VLOOKUP($A213,observations_series_id_PCU3241913241910_api_key_ecc133893ea92a842ee685c734246086[],3,FALSE),"")</f>
        <v>6.7150635208711451E-2</v>
      </c>
      <c r="K213">
        <f>IFERROR(VLOOKUP($A213,observations_series_id_EXJPUS_api_key_ecc133893ea92a842ee685c734246086_file_type[],2,FALSE),"")</f>
        <v>297.97620000000001</v>
      </c>
      <c r="L213" s="2">
        <f>IFERROR(VLOOKUP($A213,observations_series_id_EXJPUS_api_key_ecc133893ea92a842ee685c734246086_file_type[],3,FALSE),"")</f>
        <v>-0.2015053551256778</v>
      </c>
      <c r="M213" t="str">
        <f>IFERROR(AVERAGEIFS(timeseries_access_key_fqeas14oitk235763mntlb1c0brnk9w3fenzqbk313q5kvxyf52kukw1pa[Value.LME-ZNC],timeseries_access_key_fqeas14oitk235763mntlb1c0brnk9w3fenzqbk313q5kvxyf52kukw1pa[Month],MONTH(Data!$A213),timeseries_access_key_fqeas14oitk235763mntlb1c0brnk9w3fenzqbk313q5kvxyf52kukw1pa[Year],YEAR(Data!$A213)),"")</f>
        <v/>
      </c>
      <c r="N213" s="2" t="str">
        <f>IFERROR(AVERAGEIFS(timeseries_access_key_fqeas14oitk235763mntlb1c0brnk9w3fenzqbk313q5kvxyf52kukw1pa[Column1],timeseries_access_key_fqeas14oitk235763mntlb1c0brnk9w3fenzqbk313q5kvxyf52kukw1pa[Month],MONTH(Data!$A213),timeseries_access_key_fqeas14oitk235763mntlb1c0brnk9w3fenzqbk313q5kvxyf52kukw1pa[Year],YEAR(Data!$A213)),"")</f>
        <v/>
      </c>
      <c r="O213" s="8" t="str">
        <f>IFERROR(VLOOKUP($A213,Text_1_2[[Text.1.1.3]:[Text.1.3]],2,FALSE),"")</f>
        <v/>
      </c>
      <c r="P213" s="2"/>
    </row>
    <row r="214" spans="1:16" x14ac:dyDescent="0.25">
      <c r="A214" s="1">
        <v>27638</v>
      </c>
      <c r="B214" t="str">
        <f>HLOOKUP(Dashboard!$I$27,results,ROW(A214),FALSE)</f>
        <v/>
      </c>
      <c r="C214">
        <f>IFERROR(VLOOKUP(A214,observations_series_id_PCU22112222112243_api_key_ecc133893ea92a842ee685c73424608[],2,FALSE),"")</f>
        <v>38</v>
      </c>
      <c r="D214" s="2">
        <f>IFERROR(VLOOKUP(A214,observations_series_id_PCU22112222112243_api_key_ecc133893ea92a842ee685c73424608[],3,FALSE),"")</f>
        <v>0.54210526315789476</v>
      </c>
      <c r="E214" t="str">
        <f>IFERROR(VLOOKUP($A214,observations_series_id_WPU0613020T_api_key_ecc133893ea92a842ee685c734246086_file[],2,FALSE),"")</f>
        <v/>
      </c>
      <c r="F214" s="2" t="str">
        <f>IFERROR(VLOOKUP($A214,observations_series_id_WPU0613020T_api_key_ecc133893ea92a842ee685c734246086_file[],3,FALSE),"")</f>
        <v/>
      </c>
      <c r="G214" t="str">
        <f>IFERROR(VLOOKUP($A214,observations_series_id_PCU22122212_api_key_ecc133893ea92a842ee685c734246086_file[],2,FALSE),"")</f>
        <v/>
      </c>
      <c r="H214" s="2" t="str">
        <f>IFERROR(VLOOKUP($A214,observations_series_id_PCU22122212_api_key_ecc133893ea92a842ee685c734246086_file[],3,FALSE),"")</f>
        <v/>
      </c>
      <c r="I214">
        <f>IFERROR(VLOOKUP($A214,observations_series_id_PCU3241913241910_api_key_ecc133893ea92a842ee685c734246086[],2,FALSE),"")</f>
        <v>55.1</v>
      </c>
      <c r="J214" s="2">
        <f>IFERROR(VLOOKUP($A214,observations_series_id_PCU3241913241910_api_key_ecc133893ea92a842ee685c734246086[],3,FALSE),"")</f>
        <v>6.7150635208711451E-2</v>
      </c>
      <c r="K214">
        <f>IFERROR(VLOOKUP($A214,observations_series_id_EXJPUS_api_key_ecc133893ea92a842ee685c734246086_file_type[],2,FALSE),"")</f>
        <v>299.90899999999999</v>
      </c>
      <c r="L214" s="2">
        <f>IFERROR(VLOOKUP($A214,observations_series_id_EXJPUS_api_key_ecc133893ea92a842ee685c734246086_file_type[],3,FALSE),"")</f>
        <v>-0.19376210783937786</v>
      </c>
      <c r="M214" t="str">
        <f>IFERROR(AVERAGEIFS(timeseries_access_key_fqeas14oitk235763mntlb1c0brnk9w3fenzqbk313q5kvxyf52kukw1pa[Value.LME-ZNC],timeseries_access_key_fqeas14oitk235763mntlb1c0brnk9w3fenzqbk313q5kvxyf52kukw1pa[Month],MONTH(Data!$A214),timeseries_access_key_fqeas14oitk235763mntlb1c0brnk9w3fenzqbk313q5kvxyf52kukw1pa[Year],YEAR(Data!$A214)),"")</f>
        <v/>
      </c>
      <c r="N214" s="2" t="str">
        <f>IFERROR(AVERAGEIFS(timeseries_access_key_fqeas14oitk235763mntlb1c0brnk9w3fenzqbk313q5kvxyf52kukw1pa[Column1],timeseries_access_key_fqeas14oitk235763mntlb1c0brnk9w3fenzqbk313q5kvxyf52kukw1pa[Month],MONTH(Data!$A214),timeseries_access_key_fqeas14oitk235763mntlb1c0brnk9w3fenzqbk313q5kvxyf52kukw1pa[Year],YEAR(Data!$A214)),"")</f>
        <v/>
      </c>
      <c r="O214" s="8" t="str">
        <f>IFERROR(VLOOKUP($A214,Text_1_2[[Text.1.1.3]:[Text.1.3]],2,FALSE),"")</f>
        <v/>
      </c>
      <c r="P214" s="2"/>
    </row>
    <row r="215" spans="1:16" x14ac:dyDescent="0.25">
      <c r="A215" s="1">
        <v>27668</v>
      </c>
      <c r="B215" t="str">
        <f>HLOOKUP(Dashboard!$I$27,results,ROW(A215),FALSE)</f>
        <v/>
      </c>
      <c r="C215">
        <f>IFERROR(VLOOKUP(A215,observations_series_id_PCU22112222112243_api_key_ecc133893ea92a842ee685c73424608[],2,FALSE),"")</f>
        <v>38.4</v>
      </c>
      <c r="D215" s="2">
        <f>IFERROR(VLOOKUP(A215,observations_series_id_PCU22112222112243_api_key_ecc133893ea92a842ee685c73424608[],3,FALSE),"")</f>
        <v>0.546875</v>
      </c>
      <c r="E215" t="str">
        <f>IFERROR(VLOOKUP($A215,observations_series_id_WPU0613020T_api_key_ecc133893ea92a842ee685c734246086_file[],2,FALSE),"")</f>
        <v/>
      </c>
      <c r="F215" s="2" t="str">
        <f>IFERROR(VLOOKUP($A215,observations_series_id_WPU0613020T_api_key_ecc133893ea92a842ee685c734246086_file[],3,FALSE),"")</f>
        <v/>
      </c>
      <c r="G215" t="str">
        <f>IFERROR(VLOOKUP($A215,observations_series_id_PCU22122212_api_key_ecc133893ea92a842ee685c734246086_file[],2,FALSE),"")</f>
        <v/>
      </c>
      <c r="H215" s="2" t="str">
        <f>IFERROR(VLOOKUP($A215,observations_series_id_PCU22122212_api_key_ecc133893ea92a842ee685c734246086_file[],3,FALSE),"")</f>
        <v/>
      </c>
      <c r="I215">
        <f>IFERROR(VLOOKUP($A215,observations_series_id_PCU3241913241910_api_key_ecc133893ea92a842ee685c734246086[],2,FALSE),"")</f>
        <v>55.1</v>
      </c>
      <c r="J215" s="2">
        <f>IFERROR(VLOOKUP($A215,observations_series_id_PCU3241913241910_api_key_ecc133893ea92a842ee685c734246086[],3,FALSE),"")</f>
        <v>6.7150635208711451E-2</v>
      </c>
      <c r="K215">
        <f>IFERROR(VLOOKUP($A215,observations_series_id_EXJPUS_api_key_ecc133893ea92a842ee685c734246086_file_type[],2,FALSE),"")</f>
        <v>302.33640000000003</v>
      </c>
      <c r="L215" s="2">
        <f>IFERROR(VLOOKUP($A215,observations_series_id_EXJPUS_api_key_ecc133893ea92a842ee685c734246086_file_type[],3,FALSE),"")</f>
        <v>-0.18417762465915444</v>
      </c>
      <c r="M215" t="str">
        <f>IFERROR(AVERAGEIFS(timeseries_access_key_fqeas14oitk235763mntlb1c0brnk9w3fenzqbk313q5kvxyf52kukw1pa[Value.LME-ZNC],timeseries_access_key_fqeas14oitk235763mntlb1c0brnk9w3fenzqbk313q5kvxyf52kukw1pa[Month],MONTH(Data!$A215),timeseries_access_key_fqeas14oitk235763mntlb1c0brnk9w3fenzqbk313q5kvxyf52kukw1pa[Year],YEAR(Data!$A215)),"")</f>
        <v/>
      </c>
      <c r="N215" s="2" t="str">
        <f>IFERROR(AVERAGEIFS(timeseries_access_key_fqeas14oitk235763mntlb1c0brnk9w3fenzqbk313q5kvxyf52kukw1pa[Column1],timeseries_access_key_fqeas14oitk235763mntlb1c0brnk9w3fenzqbk313q5kvxyf52kukw1pa[Month],MONTH(Data!$A215),timeseries_access_key_fqeas14oitk235763mntlb1c0brnk9w3fenzqbk313q5kvxyf52kukw1pa[Year],YEAR(Data!$A215)),"")</f>
        <v/>
      </c>
      <c r="O215" s="8" t="str">
        <f>IFERROR(VLOOKUP($A215,Text_1_2[[Text.1.1.3]:[Text.1.3]],2,FALSE),"")</f>
        <v/>
      </c>
      <c r="P215" s="2"/>
    </row>
    <row r="216" spans="1:16" x14ac:dyDescent="0.25">
      <c r="A216" s="1">
        <v>27699</v>
      </c>
      <c r="B216" t="str">
        <f>HLOOKUP(Dashboard!$I$27,results,ROW(A216),FALSE)</f>
        <v/>
      </c>
      <c r="C216">
        <f>IFERROR(VLOOKUP(A216,observations_series_id_PCU22112222112243_api_key_ecc133893ea92a842ee685c73424608[],2,FALSE),"")</f>
        <v>38.6</v>
      </c>
      <c r="D216" s="2">
        <f>IFERROR(VLOOKUP(A216,observations_series_id_PCU22112222112243_api_key_ecc133893ea92a842ee685c73424608[],3,FALSE),"")</f>
        <v>0.5492227979274612</v>
      </c>
      <c r="E216" t="str">
        <f>IFERROR(VLOOKUP($A216,observations_series_id_WPU0613020T_api_key_ecc133893ea92a842ee685c734246086_file[],2,FALSE),"")</f>
        <v/>
      </c>
      <c r="F216" s="2" t="str">
        <f>IFERROR(VLOOKUP($A216,observations_series_id_WPU0613020T_api_key_ecc133893ea92a842ee685c734246086_file[],3,FALSE),"")</f>
        <v/>
      </c>
      <c r="G216" t="str">
        <f>IFERROR(VLOOKUP($A216,observations_series_id_PCU22122212_api_key_ecc133893ea92a842ee685c734246086_file[],2,FALSE),"")</f>
        <v/>
      </c>
      <c r="H216" s="2" t="str">
        <f>IFERROR(VLOOKUP($A216,observations_series_id_PCU22122212_api_key_ecc133893ea92a842ee685c734246086_file[],3,FALSE),"")</f>
        <v/>
      </c>
      <c r="I216">
        <f>IFERROR(VLOOKUP($A216,observations_series_id_PCU3241913241910_api_key_ecc133893ea92a842ee685c734246086[],2,FALSE),"")</f>
        <v>55.7</v>
      </c>
      <c r="J216" s="2">
        <f>IFERROR(VLOOKUP($A216,observations_series_id_PCU3241913241910_api_key_ecc133893ea92a842ee685c734246086[],3,FALSE),"")</f>
        <v>7.7199281867145531E-2</v>
      </c>
      <c r="K216">
        <f>IFERROR(VLOOKUP($A216,observations_series_id_EXJPUS_api_key_ecc133893ea92a842ee685c734246086_file_type[],2,FALSE),"")</f>
        <v>302.5453</v>
      </c>
      <c r="L216" s="2">
        <f>IFERROR(VLOOKUP($A216,observations_series_id_EXJPUS_api_key_ecc133893ea92a842ee685c734246086_file_type[],3,FALSE),"")</f>
        <v>-0.18335997948075877</v>
      </c>
      <c r="M216" t="str">
        <f>IFERROR(AVERAGEIFS(timeseries_access_key_fqeas14oitk235763mntlb1c0brnk9w3fenzqbk313q5kvxyf52kukw1pa[Value.LME-ZNC],timeseries_access_key_fqeas14oitk235763mntlb1c0brnk9w3fenzqbk313q5kvxyf52kukw1pa[Month],MONTH(Data!$A216),timeseries_access_key_fqeas14oitk235763mntlb1c0brnk9w3fenzqbk313q5kvxyf52kukw1pa[Year],YEAR(Data!$A216)),"")</f>
        <v/>
      </c>
      <c r="N216" s="2" t="str">
        <f>IFERROR(AVERAGEIFS(timeseries_access_key_fqeas14oitk235763mntlb1c0brnk9w3fenzqbk313q5kvxyf52kukw1pa[Column1],timeseries_access_key_fqeas14oitk235763mntlb1c0brnk9w3fenzqbk313q5kvxyf52kukw1pa[Month],MONTH(Data!$A216),timeseries_access_key_fqeas14oitk235763mntlb1c0brnk9w3fenzqbk313q5kvxyf52kukw1pa[Year],YEAR(Data!$A216)),"")</f>
        <v/>
      </c>
      <c r="O216" s="8" t="str">
        <f>IFERROR(VLOOKUP($A216,Text_1_2[[Text.1.1.3]:[Text.1.3]],2,FALSE),"")</f>
        <v/>
      </c>
      <c r="P216" s="2"/>
    </row>
    <row r="217" spans="1:16" x14ac:dyDescent="0.25">
      <c r="A217" s="1">
        <v>27729</v>
      </c>
      <c r="B217" t="str">
        <f>HLOOKUP(Dashboard!$I$27,results,ROW(A217),FALSE)</f>
        <v/>
      </c>
      <c r="C217">
        <f>IFERROR(VLOOKUP(A217,observations_series_id_PCU22112222112243_api_key_ecc133893ea92a842ee685c73424608[],2,FALSE),"")</f>
        <v>38.200000000000003</v>
      </c>
      <c r="D217" s="2">
        <f>IFERROR(VLOOKUP(A217,observations_series_id_PCU22112222112243_api_key_ecc133893ea92a842ee685c73424608[],3,FALSE),"")</f>
        <v>0.54450261780104725</v>
      </c>
      <c r="E217" t="str">
        <f>IFERROR(VLOOKUP($A217,observations_series_id_WPU0613020T_api_key_ecc133893ea92a842ee685c734246086_file[],2,FALSE),"")</f>
        <v/>
      </c>
      <c r="F217" s="2" t="str">
        <f>IFERROR(VLOOKUP($A217,observations_series_id_WPU0613020T_api_key_ecc133893ea92a842ee685c734246086_file[],3,FALSE),"")</f>
        <v/>
      </c>
      <c r="G217" t="str">
        <f>IFERROR(VLOOKUP($A217,observations_series_id_PCU22122212_api_key_ecc133893ea92a842ee685c734246086_file[],2,FALSE),"")</f>
        <v/>
      </c>
      <c r="H217" s="2" t="str">
        <f>IFERROR(VLOOKUP($A217,observations_series_id_PCU22122212_api_key_ecc133893ea92a842ee685c734246086_file[],3,FALSE),"")</f>
        <v/>
      </c>
      <c r="I217">
        <f>IFERROR(VLOOKUP($A217,observations_series_id_PCU3241913241910_api_key_ecc133893ea92a842ee685c734246086[],2,FALSE),"")</f>
        <v>55.7</v>
      </c>
      <c r="J217" s="2">
        <f>IFERROR(VLOOKUP($A217,observations_series_id_PCU3241913241910_api_key_ecc133893ea92a842ee685c734246086[],3,FALSE),"")</f>
        <v>7.7199281867145531E-2</v>
      </c>
      <c r="K217">
        <f>IFERROR(VLOOKUP($A217,observations_series_id_EXJPUS_api_key_ecc133893ea92a842ee685c734246086_file_type[],2,FALSE),"")</f>
        <v>305.67</v>
      </c>
      <c r="L217" s="2">
        <f>IFERROR(VLOOKUP($A217,observations_series_id_EXJPUS_api_key_ecc133893ea92a842ee685c734246086_file_type[],3,FALSE),"")</f>
        <v>-0.17126312690156031</v>
      </c>
      <c r="M217" t="str">
        <f>IFERROR(AVERAGEIFS(timeseries_access_key_fqeas14oitk235763mntlb1c0brnk9w3fenzqbk313q5kvxyf52kukw1pa[Value.LME-ZNC],timeseries_access_key_fqeas14oitk235763mntlb1c0brnk9w3fenzqbk313q5kvxyf52kukw1pa[Month],MONTH(Data!$A217),timeseries_access_key_fqeas14oitk235763mntlb1c0brnk9w3fenzqbk313q5kvxyf52kukw1pa[Year],YEAR(Data!$A217)),"")</f>
        <v/>
      </c>
      <c r="N217" s="2" t="str">
        <f>IFERROR(AVERAGEIFS(timeseries_access_key_fqeas14oitk235763mntlb1c0brnk9w3fenzqbk313q5kvxyf52kukw1pa[Column1],timeseries_access_key_fqeas14oitk235763mntlb1c0brnk9w3fenzqbk313q5kvxyf52kukw1pa[Month],MONTH(Data!$A217),timeseries_access_key_fqeas14oitk235763mntlb1c0brnk9w3fenzqbk313q5kvxyf52kukw1pa[Year],YEAR(Data!$A217)),"")</f>
        <v/>
      </c>
      <c r="O217" s="8" t="str">
        <f>IFERROR(VLOOKUP($A217,Text_1_2[[Text.1.1.3]:[Text.1.3]],2,FALSE),"")</f>
        <v/>
      </c>
      <c r="P217" s="2"/>
    </row>
    <row r="218" spans="1:16" x14ac:dyDescent="0.25">
      <c r="A218" s="1">
        <v>27760</v>
      </c>
      <c r="B218" t="str">
        <f>HLOOKUP(Dashboard!$I$27,results,ROW(A218),FALSE)</f>
        <v/>
      </c>
      <c r="C218">
        <f>IFERROR(VLOOKUP(A218,observations_series_id_PCU22112222112243_api_key_ecc133893ea92a842ee685c73424608[],2,FALSE),"")</f>
        <v>38.5</v>
      </c>
      <c r="D218" s="2">
        <f>IFERROR(VLOOKUP(A218,observations_series_id_PCU22112222112243_api_key_ecc133893ea92a842ee685c73424608[],3,FALSE),"")</f>
        <v>0.54805194805194812</v>
      </c>
      <c r="E218" t="str">
        <f>IFERROR(VLOOKUP($A218,observations_series_id_WPU0613020T_api_key_ecc133893ea92a842ee685c734246086_file[],2,FALSE),"")</f>
        <v/>
      </c>
      <c r="F218" s="2" t="str">
        <f>IFERROR(VLOOKUP($A218,observations_series_id_WPU0613020T_api_key_ecc133893ea92a842ee685c734246086_file[],3,FALSE),"")</f>
        <v/>
      </c>
      <c r="G218" t="str">
        <f>IFERROR(VLOOKUP($A218,observations_series_id_PCU22122212_api_key_ecc133893ea92a842ee685c734246086_file[],2,FALSE),"")</f>
        <v/>
      </c>
      <c r="H218" s="2" t="str">
        <f>IFERROR(VLOOKUP($A218,observations_series_id_PCU22122212_api_key_ecc133893ea92a842ee685c734246086_file[],3,FALSE),"")</f>
        <v/>
      </c>
      <c r="I218">
        <f>IFERROR(VLOOKUP($A218,observations_series_id_PCU3241913241910_api_key_ecc133893ea92a842ee685c734246086[],2,FALSE),"")</f>
        <v>54.8</v>
      </c>
      <c r="J218" s="2">
        <f>IFERROR(VLOOKUP($A218,observations_series_id_PCU3241913241910_api_key_ecc133893ea92a842ee685c734246086[],3,FALSE),"")</f>
        <v>6.2043795620437936E-2</v>
      </c>
      <c r="K218">
        <f>IFERROR(VLOOKUP($A218,observations_series_id_EXJPUS_api_key_ecc133893ea92a842ee685c734246086_file_type[],2,FALSE),"")</f>
        <v>304.63569999999999</v>
      </c>
      <c r="L218" s="2">
        <f>IFERROR(VLOOKUP($A218,observations_series_id_EXJPUS_api_key_ecc133893ea92a842ee685c734246086_file_type[],3,FALSE),"")</f>
        <v>-0.17523980282022089</v>
      </c>
      <c r="M218" t="str">
        <f>IFERROR(AVERAGEIFS(timeseries_access_key_fqeas14oitk235763mntlb1c0brnk9w3fenzqbk313q5kvxyf52kukw1pa[Value.LME-ZNC],timeseries_access_key_fqeas14oitk235763mntlb1c0brnk9w3fenzqbk313q5kvxyf52kukw1pa[Month],MONTH(Data!$A218),timeseries_access_key_fqeas14oitk235763mntlb1c0brnk9w3fenzqbk313q5kvxyf52kukw1pa[Year],YEAR(Data!$A218)),"")</f>
        <v/>
      </c>
      <c r="N218" s="2" t="str">
        <f>IFERROR(AVERAGEIFS(timeseries_access_key_fqeas14oitk235763mntlb1c0brnk9w3fenzqbk313q5kvxyf52kukw1pa[Column1],timeseries_access_key_fqeas14oitk235763mntlb1c0brnk9w3fenzqbk313q5kvxyf52kukw1pa[Month],MONTH(Data!$A218),timeseries_access_key_fqeas14oitk235763mntlb1c0brnk9w3fenzqbk313q5kvxyf52kukw1pa[Year],YEAR(Data!$A218)),"")</f>
        <v/>
      </c>
      <c r="O218" s="8" t="str">
        <f>IFERROR(VLOOKUP($A218,Text_1_2[[Text.1.1.3]:[Text.1.3]],2,FALSE),"")</f>
        <v/>
      </c>
      <c r="P218" s="2"/>
    </row>
    <row r="219" spans="1:16" x14ac:dyDescent="0.25">
      <c r="A219" s="1">
        <v>27791</v>
      </c>
      <c r="B219" t="str">
        <f>HLOOKUP(Dashboard!$I$27,results,ROW(A219),FALSE)</f>
        <v/>
      </c>
      <c r="C219">
        <f>IFERROR(VLOOKUP(A219,observations_series_id_PCU22112222112243_api_key_ecc133893ea92a842ee685c73424608[],2,FALSE),"")</f>
        <v>38.700000000000003</v>
      </c>
      <c r="D219" s="2">
        <f>IFERROR(VLOOKUP(A219,observations_series_id_PCU22112222112243_api_key_ecc133893ea92a842ee685c73424608[],3,FALSE),"")</f>
        <v>0.5503875968992249</v>
      </c>
      <c r="E219" t="str">
        <f>IFERROR(VLOOKUP($A219,observations_series_id_WPU0613020T_api_key_ecc133893ea92a842ee685c734246086_file[],2,FALSE),"")</f>
        <v/>
      </c>
      <c r="F219" s="2" t="str">
        <f>IFERROR(VLOOKUP($A219,observations_series_id_WPU0613020T_api_key_ecc133893ea92a842ee685c734246086_file[],3,FALSE),"")</f>
        <v/>
      </c>
      <c r="G219" t="str">
        <f>IFERROR(VLOOKUP($A219,observations_series_id_PCU22122212_api_key_ecc133893ea92a842ee685c734246086_file[],2,FALSE),"")</f>
        <v/>
      </c>
      <c r="H219" s="2" t="str">
        <f>IFERROR(VLOOKUP($A219,observations_series_id_PCU22122212_api_key_ecc133893ea92a842ee685c734246086_file[],3,FALSE),"")</f>
        <v/>
      </c>
      <c r="I219">
        <f>IFERROR(VLOOKUP($A219,observations_series_id_PCU3241913241910_api_key_ecc133893ea92a842ee685c734246086[],2,FALSE),"")</f>
        <v>54.8</v>
      </c>
      <c r="J219" s="2">
        <f>IFERROR(VLOOKUP($A219,observations_series_id_PCU3241913241910_api_key_ecc133893ea92a842ee685c734246086[],3,FALSE),"")</f>
        <v>6.2043795620437936E-2</v>
      </c>
      <c r="K219">
        <f>IFERROR(VLOOKUP($A219,observations_series_id_EXJPUS_api_key_ecc133893ea92a842ee685c734246086_file_type[],2,FALSE),"")</f>
        <v>301.59440000000001</v>
      </c>
      <c r="L219" s="2">
        <f>IFERROR(VLOOKUP($A219,observations_series_id_EXJPUS_api_key_ecc133893ea92a842ee685c734246086_file_type[],3,FALSE),"")</f>
        <v>-0.18709100699482484</v>
      </c>
      <c r="M219" t="str">
        <f>IFERROR(AVERAGEIFS(timeseries_access_key_fqeas14oitk235763mntlb1c0brnk9w3fenzqbk313q5kvxyf52kukw1pa[Value.LME-ZNC],timeseries_access_key_fqeas14oitk235763mntlb1c0brnk9w3fenzqbk313q5kvxyf52kukw1pa[Month],MONTH(Data!$A219),timeseries_access_key_fqeas14oitk235763mntlb1c0brnk9w3fenzqbk313q5kvxyf52kukw1pa[Year],YEAR(Data!$A219)),"")</f>
        <v/>
      </c>
      <c r="N219" s="2" t="str">
        <f>IFERROR(AVERAGEIFS(timeseries_access_key_fqeas14oitk235763mntlb1c0brnk9w3fenzqbk313q5kvxyf52kukw1pa[Column1],timeseries_access_key_fqeas14oitk235763mntlb1c0brnk9w3fenzqbk313q5kvxyf52kukw1pa[Month],MONTH(Data!$A219),timeseries_access_key_fqeas14oitk235763mntlb1c0brnk9w3fenzqbk313q5kvxyf52kukw1pa[Year],YEAR(Data!$A219)),"")</f>
        <v/>
      </c>
      <c r="O219" s="8" t="str">
        <f>IFERROR(VLOOKUP($A219,Text_1_2[[Text.1.1.3]:[Text.1.3]],2,FALSE),"")</f>
        <v/>
      </c>
      <c r="P219" s="2"/>
    </row>
    <row r="220" spans="1:16" x14ac:dyDescent="0.25">
      <c r="A220" s="1">
        <v>27820</v>
      </c>
      <c r="B220" t="str">
        <f>HLOOKUP(Dashboard!$I$27,results,ROW(A220),FALSE)</f>
        <v/>
      </c>
      <c r="C220">
        <f>IFERROR(VLOOKUP(A220,observations_series_id_PCU22112222112243_api_key_ecc133893ea92a842ee685c73424608[],2,FALSE),"")</f>
        <v>39.200000000000003</v>
      </c>
      <c r="D220" s="2">
        <f>IFERROR(VLOOKUP(A220,observations_series_id_PCU22112222112243_api_key_ecc133893ea92a842ee685c73424608[],3,FALSE),"")</f>
        <v>0.55612244897959195</v>
      </c>
      <c r="E220" t="str">
        <f>IFERROR(VLOOKUP($A220,observations_series_id_WPU0613020T_api_key_ecc133893ea92a842ee685c734246086_file[],2,FALSE),"")</f>
        <v/>
      </c>
      <c r="F220" s="2" t="str">
        <f>IFERROR(VLOOKUP($A220,observations_series_id_WPU0613020T_api_key_ecc133893ea92a842ee685c734246086_file[],3,FALSE),"")</f>
        <v/>
      </c>
      <c r="G220" t="str">
        <f>IFERROR(VLOOKUP($A220,observations_series_id_PCU22122212_api_key_ecc133893ea92a842ee685c734246086_file[],2,FALSE),"")</f>
        <v/>
      </c>
      <c r="H220" s="2" t="str">
        <f>IFERROR(VLOOKUP($A220,observations_series_id_PCU22122212_api_key_ecc133893ea92a842ee685c734246086_file[],3,FALSE),"")</f>
        <v/>
      </c>
      <c r="I220">
        <f>IFERROR(VLOOKUP($A220,observations_series_id_PCU3241913241910_api_key_ecc133893ea92a842ee685c734246086[],2,FALSE),"")</f>
        <v>54.8</v>
      </c>
      <c r="J220" s="2">
        <f>IFERROR(VLOOKUP($A220,observations_series_id_PCU3241913241910_api_key_ecc133893ea92a842ee685c734246086[],3,FALSE),"")</f>
        <v>6.2043795620437936E-2</v>
      </c>
      <c r="K220">
        <f>IFERROR(VLOOKUP($A220,observations_series_id_EXJPUS_api_key_ecc133893ea92a842ee685c734246086_file_type[],2,FALSE),"")</f>
        <v>300.51830000000001</v>
      </c>
      <c r="L220" s="2">
        <f>IFERROR(VLOOKUP($A220,observations_series_id_EXJPUS_api_key_ecc133893ea92a842ee685c734246086_file_type[],3,FALSE),"")</f>
        <v>-0.19134175855513624</v>
      </c>
      <c r="M220" t="str">
        <f>IFERROR(AVERAGEIFS(timeseries_access_key_fqeas14oitk235763mntlb1c0brnk9w3fenzqbk313q5kvxyf52kukw1pa[Value.LME-ZNC],timeseries_access_key_fqeas14oitk235763mntlb1c0brnk9w3fenzqbk313q5kvxyf52kukw1pa[Month],MONTH(Data!$A220),timeseries_access_key_fqeas14oitk235763mntlb1c0brnk9w3fenzqbk313q5kvxyf52kukw1pa[Year],YEAR(Data!$A220)),"")</f>
        <v/>
      </c>
      <c r="N220" s="2" t="str">
        <f>IFERROR(AVERAGEIFS(timeseries_access_key_fqeas14oitk235763mntlb1c0brnk9w3fenzqbk313q5kvxyf52kukw1pa[Column1],timeseries_access_key_fqeas14oitk235763mntlb1c0brnk9w3fenzqbk313q5kvxyf52kukw1pa[Month],MONTH(Data!$A220),timeseries_access_key_fqeas14oitk235763mntlb1c0brnk9w3fenzqbk313q5kvxyf52kukw1pa[Year],YEAR(Data!$A220)),"")</f>
        <v/>
      </c>
      <c r="O220" s="8" t="str">
        <f>IFERROR(VLOOKUP($A220,Text_1_2[[Text.1.1.3]:[Text.1.3]],2,FALSE),"")</f>
        <v/>
      </c>
      <c r="P220" s="2"/>
    </row>
    <row r="221" spans="1:16" x14ac:dyDescent="0.25">
      <c r="A221" s="1">
        <v>27851</v>
      </c>
      <c r="B221" t="str">
        <f>HLOOKUP(Dashboard!$I$27,results,ROW(A221),FALSE)</f>
        <v/>
      </c>
      <c r="C221">
        <f>IFERROR(VLOOKUP(A221,observations_series_id_PCU22112222112243_api_key_ecc133893ea92a842ee685c73424608[],2,FALSE),"")</f>
        <v>39.9</v>
      </c>
      <c r="D221" s="2">
        <f>IFERROR(VLOOKUP(A221,observations_series_id_PCU22112222112243_api_key_ecc133893ea92a842ee685c73424608[],3,FALSE),"")</f>
        <v>0.56390977443609025</v>
      </c>
      <c r="E221" t="str">
        <f>IFERROR(VLOOKUP($A221,observations_series_id_WPU0613020T_api_key_ecc133893ea92a842ee685c734246086_file[],2,FALSE),"")</f>
        <v/>
      </c>
      <c r="F221" s="2" t="str">
        <f>IFERROR(VLOOKUP($A221,observations_series_id_WPU0613020T_api_key_ecc133893ea92a842ee685c734246086_file[],3,FALSE),"")</f>
        <v/>
      </c>
      <c r="G221" t="str">
        <f>IFERROR(VLOOKUP($A221,observations_series_id_PCU22122212_api_key_ecc133893ea92a842ee685c734246086_file[],2,FALSE),"")</f>
        <v/>
      </c>
      <c r="H221" s="2" t="str">
        <f>IFERROR(VLOOKUP($A221,observations_series_id_PCU22122212_api_key_ecc133893ea92a842ee685c734246086_file[],3,FALSE),"")</f>
        <v/>
      </c>
      <c r="I221">
        <f>IFERROR(VLOOKUP($A221,observations_series_id_PCU3241913241910_api_key_ecc133893ea92a842ee685c734246086[],2,FALSE),"")</f>
        <v>54.2</v>
      </c>
      <c r="J221" s="2">
        <f>IFERROR(VLOOKUP($A221,observations_series_id_PCU3241913241910_api_key_ecc133893ea92a842ee685c734246086[],3,FALSE),"")</f>
        <v>5.1660516605166129E-2</v>
      </c>
      <c r="K221">
        <f>IFERROR(VLOOKUP($A221,observations_series_id_EXJPUS_api_key_ecc133893ea92a842ee685c734246086_file_type[],2,FALSE),"")</f>
        <v>299.10860000000002</v>
      </c>
      <c r="L221" s="2">
        <f>IFERROR(VLOOKUP($A221,observations_series_id_EXJPUS_api_key_ecc133893ea92a842ee685c734246086_file_type[],3,FALSE),"")</f>
        <v>-0.19695655691611669</v>
      </c>
      <c r="M221" t="str">
        <f>IFERROR(AVERAGEIFS(timeseries_access_key_fqeas14oitk235763mntlb1c0brnk9w3fenzqbk313q5kvxyf52kukw1pa[Value.LME-ZNC],timeseries_access_key_fqeas14oitk235763mntlb1c0brnk9w3fenzqbk313q5kvxyf52kukw1pa[Month],MONTH(Data!$A221),timeseries_access_key_fqeas14oitk235763mntlb1c0brnk9w3fenzqbk313q5kvxyf52kukw1pa[Year],YEAR(Data!$A221)),"")</f>
        <v/>
      </c>
      <c r="N221" s="2" t="str">
        <f>IFERROR(AVERAGEIFS(timeseries_access_key_fqeas14oitk235763mntlb1c0brnk9w3fenzqbk313q5kvxyf52kukw1pa[Column1],timeseries_access_key_fqeas14oitk235763mntlb1c0brnk9w3fenzqbk313q5kvxyf52kukw1pa[Month],MONTH(Data!$A221),timeseries_access_key_fqeas14oitk235763mntlb1c0brnk9w3fenzqbk313q5kvxyf52kukw1pa[Year],YEAR(Data!$A221)),"")</f>
        <v/>
      </c>
      <c r="O221" s="8" t="str">
        <f>IFERROR(VLOOKUP($A221,Text_1_2[[Text.1.1.3]:[Text.1.3]],2,FALSE),"")</f>
        <v/>
      </c>
      <c r="P221" s="2"/>
    </row>
    <row r="222" spans="1:16" x14ac:dyDescent="0.25">
      <c r="A222" s="1">
        <v>27881</v>
      </c>
      <c r="B222" t="str">
        <f>HLOOKUP(Dashboard!$I$27,results,ROW(A222),FALSE)</f>
        <v/>
      </c>
      <c r="C222">
        <f>IFERROR(VLOOKUP(A222,observations_series_id_PCU22112222112243_api_key_ecc133893ea92a842ee685c73424608[],2,FALSE),"")</f>
        <v>39.799999999999997</v>
      </c>
      <c r="D222" s="2">
        <f>IFERROR(VLOOKUP(A222,observations_series_id_PCU22112222112243_api_key_ecc133893ea92a842ee685c73424608[],3,FALSE),"")</f>
        <v>0.56281407035175879</v>
      </c>
      <c r="E222" t="str">
        <f>IFERROR(VLOOKUP($A222,observations_series_id_WPU0613020T_api_key_ecc133893ea92a842ee685c734246086_file[],2,FALSE),"")</f>
        <v/>
      </c>
      <c r="F222" s="2" t="str">
        <f>IFERROR(VLOOKUP($A222,observations_series_id_WPU0613020T_api_key_ecc133893ea92a842ee685c734246086_file[],3,FALSE),"")</f>
        <v/>
      </c>
      <c r="G222" t="str">
        <f>IFERROR(VLOOKUP($A222,observations_series_id_PCU22122212_api_key_ecc133893ea92a842ee685c734246086_file[],2,FALSE),"")</f>
        <v/>
      </c>
      <c r="H222" s="2" t="str">
        <f>IFERROR(VLOOKUP($A222,observations_series_id_PCU22122212_api_key_ecc133893ea92a842ee685c734246086_file[],3,FALSE),"")</f>
        <v/>
      </c>
      <c r="I222">
        <f>IFERROR(VLOOKUP($A222,observations_series_id_PCU3241913241910_api_key_ecc133893ea92a842ee685c734246086[],2,FALSE),"")</f>
        <v>52.9</v>
      </c>
      <c r="J222" s="2">
        <f>IFERROR(VLOOKUP($A222,observations_series_id_PCU3241913241910_api_key_ecc133893ea92a842ee685c734246086[],3,FALSE),"")</f>
        <v>2.8355387523629538E-2</v>
      </c>
      <c r="K222">
        <f>IFERROR(VLOOKUP($A222,observations_series_id_EXJPUS_api_key_ecc133893ea92a842ee685c734246086_file_type[],2,FALSE),"")</f>
        <v>299.00400000000002</v>
      </c>
      <c r="L222" s="2">
        <f>IFERROR(VLOOKUP($A222,observations_series_id_EXJPUS_api_key_ecc133893ea92a842ee685c734246086_file_type[],3,FALSE),"")</f>
        <v>-0.19737528594935161</v>
      </c>
      <c r="M222" t="str">
        <f>IFERROR(AVERAGEIFS(timeseries_access_key_fqeas14oitk235763mntlb1c0brnk9w3fenzqbk313q5kvxyf52kukw1pa[Value.LME-ZNC],timeseries_access_key_fqeas14oitk235763mntlb1c0brnk9w3fenzqbk313q5kvxyf52kukw1pa[Month],MONTH(Data!$A222),timeseries_access_key_fqeas14oitk235763mntlb1c0brnk9w3fenzqbk313q5kvxyf52kukw1pa[Year],YEAR(Data!$A222)),"")</f>
        <v/>
      </c>
      <c r="N222" s="2" t="str">
        <f>IFERROR(AVERAGEIFS(timeseries_access_key_fqeas14oitk235763mntlb1c0brnk9w3fenzqbk313q5kvxyf52kukw1pa[Column1],timeseries_access_key_fqeas14oitk235763mntlb1c0brnk9w3fenzqbk313q5kvxyf52kukw1pa[Month],MONTH(Data!$A222),timeseries_access_key_fqeas14oitk235763mntlb1c0brnk9w3fenzqbk313q5kvxyf52kukw1pa[Year],YEAR(Data!$A222)),"")</f>
        <v/>
      </c>
      <c r="O222" s="8" t="str">
        <f>IFERROR(VLOOKUP($A222,Text_1_2[[Text.1.1.3]:[Text.1.3]],2,FALSE),"")</f>
        <v/>
      </c>
      <c r="P222" s="2"/>
    </row>
    <row r="223" spans="1:16" x14ac:dyDescent="0.25">
      <c r="A223" s="1">
        <v>27912</v>
      </c>
      <c r="B223" t="str">
        <f>HLOOKUP(Dashboard!$I$27,results,ROW(A223),FALSE)</f>
        <v/>
      </c>
      <c r="C223">
        <f>IFERROR(VLOOKUP(A223,observations_series_id_PCU22112222112243_api_key_ecc133893ea92a842ee685c73424608[],2,FALSE),"")</f>
        <v>40</v>
      </c>
      <c r="D223" s="2">
        <f>IFERROR(VLOOKUP(A223,observations_series_id_PCU22112222112243_api_key_ecc133893ea92a842ee685c73424608[],3,FALSE),"")</f>
        <v>0.56500000000000006</v>
      </c>
      <c r="E223" t="str">
        <f>IFERROR(VLOOKUP($A223,observations_series_id_WPU0613020T_api_key_ecc133893ea92a842ee685c734246086_file[],2,FALSE),"")</f>
        <v/>
      </c>
      <c r="F223" s="2" t="str">
        <f>IFERROR(VLOOKUP($A223,observations_series_id_WPU0613020T_api_key_ecc133893ea92a842ee685c734246086_file[],3,FALSE),"")</f>
        <v/>
      </c>
      <c r="G223" t="str">
        <f>IFERROR(VLOOKUP($A223,observations_series_id_PCU22122212_api_key_ecc133893ea92a842ee685c734246086_file[],2,FALSE),"")</f>
        <v/>
      </c>
      <c r="H223" s="2" t="str">
        <f>IFERROR(VLOOKUP($A223,observations_series_id_PCU22122212_api_key_ecc133893ea92a842ee685c734246086_file[],3,FALSE),"")</f>
        <v/>
      </c>
      <c r="I223">
        <f>IFERROR(VLOOKUP($A223,observations_series_id_PCU3241913241910_api_key_ecc133893ea92a842ee685c734246086[],2,FALSE),"")</f>
        <v>52.5</v>
      </c>
      <c r="J223" s="2">
        <f>IFERROR(VLOOKUP($A223,observations_series_id_PCU3241913241910_api_key_ecc133893ea92a842ee685c734246086[],3,FALSE),"")</f>
        <v>2.0952380952380945E-2</v>
      </c>
      <c r="K223">
        <f>IFERROR(VLOOKUP($A223,observations_series_id_EXJPUS_api_key_ecc133893ea92a842ee685c734246086_file_type[],2,FALSE),"")</f>
        <v>299.1909</v>
      </c>
      <c r="L223" s="2">
        <f>IFERROR(VLOOKUP($A223,observations_series_id_EXJPUS_api_key_ecc133893ea92a842ee685c734246086_file_type[],3,FALSE),"")</f>
        <v>-0.19662730383845228</v>
      </c>
      <c r="M223" t="str">
        <f>IFERROR(AVERAGEIFS(timeseries_access_key_fqeas14oitk235763mntlb1c0brnk9w3fenzqbk313q5kvxyf52kukw1pa[Value.LME-ZNC],timeseries_access_key_fqeas14oitk235763mntlb1c0brnk9w3fenzqbk313q5kvxyf52kukw1pa[Month],MONTH(Data!$A223),timeseries_access_key_fqeas14oitk235763mntlb1c0brnk9w3fenzqbk313q5kvxyf52kukw1pa[Year],YEAR(Data!$A223)),"")</f>
        <v/>
      </c>
      <c r="N223" s="2" t="str">
        <f>IFERROR(AVERAGEIFS(timeseries_access_key_fqeas14oitk235763mntlb1c0brnk9w3fenzqbk313q5kvxyf52kukw1pa[Column1],timeseries_access_key_fqeas14oitk235763mntlb1c0brnk9w3fenzqbk313q5kvxyf52kukw1pa[Month],MONTH(Data!$A223),timeseries_access_key_fqeas14oitk235763mntlb1c0brnk9w3fenzqbk313q5kvxyf52kukw1pa[Year],YEAR(Data!$A223)),"")</f>
        <v/>
      </c>
      <c r="O223" s="8" t="str">
        <f>IFERROR(VLOOKUP($A223,Text_1_2[[Text.1.1.3]:[Text.1.3]],2,FALSE),"")</f>
        <v/>
      </c>
      <c r="P223" s="2"/>
    </row>
    <row r="224" spans="1:16" x14ac:dyDescent="0.25">
      <c r="A224" s="1">
        <v>27942</v>
      </c>
      <c r="B224" t="str">
        <f>HLOOKUP(Dashboard!$I$27,results,ROW(A224),FALSE)</f>
        <v/>
      </c>
      <c r="C224">
        <f>IFERROR(VLOOKUP(A224,observations_series_id_PCU22112222112243_api_key_ecc133893ea92a842ee685c73424608[],2,FALSE),"")</f>
        <v>40.700000000000003</v>
      </c>
      <c r="D224" s="2">
        <f>IFERROR(VLOOKUP(A224,observations_series_id_PCU22112222112243_api_key_ecc133893ea92a842ee685c73424608[],3,FALSE),"")</f>
        <v>0.57248157248157261</v>
      </c>
      <c r="E224" t="str">
        <f>IFERROR(VLOOKUP($A224,observations_series_id_WPU0613020T_api_key_ecc133893ea92a842ee685c734246086_file[],2,FALSE),"")</f>
        <v/>
      </c>
      <c r="F224" s="2" t="str">
        <f>IFERROR(VLOOKUP($A224,observations_series_id_WPU0613020T_api_key_ecc133893ea92a842ee685c734246086_file[],3,FALSE),"")</f>
        <v/>
      </c>
      <c r="G224" t="str">
        <f>IFERROR(VLOOKUP($A224,observations_series_id_PCU22122212_api_key_ecc133893ea92a842ee685c734246086_file[],2,FALSE),"")</f>
        <v/>
      </c>
      <c r="H224" s="2" t="str">
        <f>IFERROR(VLOOKUP($A224,observations_series_id_PCU22122212_api_key_ecc133893ea92a842ee685c734246086_file[],3,FALSE),"")</f>
        <v/>
      </c>
      <c r="I224">
        <f>IFERROR(VLOOKUP($A224,observations_series_id_PCU3241913241910_api_key_ecc133893ea92a842ee685c734246086[],2,FALSE),"")</f>
        <v>52.6</v>
      </c>
      <c r="J224" s="2">
        <f>IFERROR(VLOOKUP($A224,observations_series_id_PCU3241913241910_api_key_ecc133893ea92a842ee685c734246086[],3,FALSE),"")</f>
        <v>2.2813688212927841E-2</v>
      </c>
      <c r="K224">
        <f>IFERROR(VLOOKUP($A224,observations_series_id_EXJPUS_api_key_ecc133893ea92a842ee685c734246086_file_type[],2,FALSE),"")</f>
        <v>294.64100000000002</v>
      </c>
      <c r="L224" s="2">
        <f>IFERROR(VLOOKUP($A224,observations_series_id_EXJPUS_api_key_ecc133893ea92a842ee685c734246086_file_type[],3,FALSE),"")</f>
        <v>-0.21510584066711669</v>
      </c>
      <c r="M224" t="str">
        <f>IFERROR(AVERAGEIFS(timeseries_access_key_fqeas14oitk235763mntlb1c0brnk9w3fenzqbk313q5kvxyf52kukw1pa[Value.LME-ZNC],timeseries_access_key_fqeas14oitk235763mntlb1c0brnk9w3fenzqbk313q5kvxyf52kukw1pa[Month],MONTH(Data!$A224),timeseries_access_key_fqeas14oitk235763mntlb1c0brnk9w3fenzqbk313q5kvxyf52kukw1pa[Year],YEAR(Data!$A224)),"")</f>
        <v/>
      </c>
      <c r="N224" s="2" t="str">
        <f>IFERROR(AVERAGEIFS(timeseries_access_key_fqeas14oitk235763mntlb1c0brnk9w3fenzqbk313q5kvxyf52kukw1pa[Column1],timeseries_access_key_fqeas14oitk235763mntlb1c0brnk9w3fenzqbk313q5kvxyf52kukw1pa[Month],MONTH(Data!$A224),timeseries_access_key_fqeas14oitk235763mntlb1c0brnk9w3fenzqbk313q5kvxyf52kukw1pa[Year],YEAR(Data!$A224)),"")</f>
        <v/>
      </c>
      <c r="O224" s="8" t="str">
        <f>IFERROR(VLOOKUP($A224,Text_1_2[[Text.1.1.3]:[Text.1.3]],2,FALSE),"")</f>
        <v/>
      </c>
      <c r="P224" s="2"/>
    </row>
    <row r="225" spans="1:16" x14ac:dyDescent="0.25">
      <c r="A225" s="1">
        <v>27973</v>
      </c>
      <c r="B225" t="str">
        <f>HLOOKUP(Dashboard!$I$27,results,ROW(A225),FALSE)</f>
        <v/>
      </c>
      <c r="C225">
        <f>IFERROR(VLOOKUP(A225,observations_series_id_PCU22112222112243_api_key_ecc133893ea92a842ee685c73424608[],2,FALSE),"")</f>
        <v>41.2</v>
      </c>
      <c r="D225" s="2">
        <f>IFERROR(VLOOKUP(A225,observations_series_id_PCU22112222112243_api_key_ecc133893ea92a842ee685c73424608[],3,FALSE),"")</f>
        <v>0.57766990291262144</v>
      </c>
      <c r="E225" t="str">
        <f>IFERROR(VLOOKUP($A225,observations_series_id_WPU0613020T_api_key_ecc133893ea92a842ee685c734246086_file[],2,FALSE),"")</f>
        <v/>
      </c>
      <c r="F225" s="2" t="str">
        <f>IFERROR(VLOOKUP($A225,observations_series_id_WPU0613020T_api_key_ecc133893ea92a842ee685c734246086_file[],3,FALSE),"")</f>
        <v/>
      </c>
      <c r="G225" t="str">
        <f>IFERROR(VLOOKUP($A225,observations_series_id_PCU22122212_api_key_ecc133893ea92a842ee685c734246086_file[],2,FALSE),"")</f>
        <v/>
      </c>
      <c r="H225" s="2" t="str">
        <f>IFERROR(VLOOKUP($A225,observations_series_id_PCU22122212_api_key_ecc133893ea92a842ee685c734246086_file[],3,FALSE),"")</f>
        <v/>
      </c>
      <c r="I225">
        <f>IFERROR(VLOOKUP($A225,observations_series_id_PCU3241913241910_api_key_ecc133893ea92a842ee685c734246086[],2,FALSE),"")</f>
        <v>52.9</v>
      </c>
      <c r="J225" s="2">
        <f>IFERROR(VLOOKUP($A225,observations_series_id_PCU3241913241910_api_key_ecc133893ea92a842ee685c734246086[],3,FALSE),"")</f>
        <v>2.8355387523629538E-2</v>
      </c>
      <c r="K225">
        <f>IFERROR(VLOOKUP($A225,observations_series_id_EXJPUS_api_key_ecc133893ea92a842ee685c734246086_file_type[],2,FALSE),"")</f>
        <v>290.6259</v>
      </c>
      <c r="L225" s="2">
        <f>IFERROR(VLOOKUP($A225,observations_series_id_EXJPUS_api_key_ecc133893ea92a842ee685c734246086_file_type[],3,FALSE),"")</f>
        <v>-0.23189295929922271</v>
      </c>
      <c r="M225" t="str">
        <f>IFERROR(AVERAGEIFS(timeseries_access_key_fqeas14oitk235763mntlb1c0brnk9w3fenzqbk313q5kvxyf52kukw1pa[Value.LME-ZNC],timeseries_access_key_fqeas14oitk235763mntlb1c0brnk9w3fenzqbk313q5kvxyf52kukw1pa[Month],MONTH(Data!$A225),timeseries_access_key_fqeas14oitk235763mntlb1c0brnk9w3fenzqbk313q5kvxyf52kukw1pa[Year],YEAR(Data!$A225)),"")</f>
        <v/>
      </c>
      <c r="N225" s="2" t="str">
        <f>IFERROR(AVERAGEIFS(timeseries_access_key_fqeas14oitk235763mntlb1c0brnk9w3fenzqbk313q5kvxyf52kukw1pa[Column1],timeseries_access_key_fqeas14oitk235763mntlb1c0brnk9w3fenzqbk313q5kvxyf52kukw1pa[Month],MONTH(Data!$A225),timeseries_access_key_fqeas14oitk235763mntlb1c0brnk9w3fenzqbk313q5kvxyf52kukw1pa[Year],YEAR(Data!$A225)),"")</f>
        <v/>
      </c>
      <c r="O225" s="8" t="str">
        <f>IFERROR(VLOOKUP($A225,Text_1_2[[Text.1.1.3]:[Text.1.3]],2,FALSE),"")</f>
        <v/>
      </c>
      <c r="P225" s="2"/>
    </row>
    <row r="226" spans="1:16" x14ac:dyDescent="0.25">
      <c r="A226" s="1">
        <v>28004</v>
      </c>
      <c r="B226" t="str">
        <f>HLOOKUP(Dashboard!$I$27,results,ROW(A226),FALSE)</f>
        <v/>
      </c>
      <c r="C226">
        <f>IFERROR(VLOOKUP(A226,observations_series_id_PCU22112222112243_api_key_ecc133893ea92a842ee685c73424608[],2,FALSE),"")</f>
        <v>41.6</v>
      </c>
      <c r="D226" s="2">
        <f>IFERROR(VLOOKUP(A226,observations_series_id_PCU22112222112243_api_key_ecc133893ea92a842ee685c73424608[],3,FALSE),"")</f>
        <v>0.58173076923076927</v>
      </c>
      <c r="E226" t="str">
        <f>IFERROR(VLOOKUP($A226,observations_series_id_WPU0613020T_api_key_ecc133893ea92a842ee685c734246086_file[],2,FALSE),"")</f>
        <v/>
      </c>
      <c r="F226" s="2" t="str">
        <f>IFERROR(VLOOKUP($A226,observations_series_id_WPU0613020T_api_key_ecc133893ea92a842ee685c734246086_file[],3,FALSE),"")</f>
        <v/>
      </c>
      <c r="G226" t="str">
        <f>IFERROR(VLOOKUP($A226,observations_series_id_PCU22122212_api_key_ecc133893ea92a842ee685c734246086_file[],2,FALSE),"")</f>
        <v/>
      </c>
      <c r="H226" s="2" t="str">
        <f>IFERROR(VLOOKUP($A226,observations_series_id_PCU22122212_api_key_ecc133893ea92a842ee685c734246086_file[],3,FALSE),"")</f>
        <v/>
      </c>
      <c r="I226">
        <f>IFERROR(VLOOKUP($A226,observations_series_id_PCU3241913241910_api_key_ecc133893ea92a842ee685c734246086[],2,FALSE),"")</f>
        <v>54.1</v>
      </c>
      <c r="J226" s="2">
        <f>IFERROR(VLOOKUP($A226,observations_series_id_PCU3241913241910_api_key_ecc133893ea92a842ee685c734246086[],3,FALSE),"")</f>
        <v>4.9907578558225585E-2</v>
      </c>
      <c r="K226">
        <f>IFERROR(VLOOKUP($A226,observations_series_id_EXJPUS_api_key_ecc133893ea92a842ee685c734246086_file_type[],2,FALSE),"")</f>
        <v>287.36099999999999</v>
      </c>
      <c r="L226" s="2">
        <f>IFERROR(VLOOKUP($A226,observations_series_id_EXJPUS_api_key_ecc133893ea92a842ee685c734246086_file_type[],3,FALSE),"")</f>
        <v>-0.24588931692192051</v>
      </c>
      <c r="M226" t="str">
        <f>IFERROR(AVERAGEIFS(timeseries_access_key_fqeas14oitk235763mntlb1c0brnk9w3fenzqbk313q5kvxyf52kukw1pa[Value.LME-ZNC],timeseries_access_key_fqeas14oitk235763mntlb1c0brnk9w3fenzqbk313q5kvxyf52kukw1pa[Month],MONTH(Data!$A226),timeseries_access_key_fqeas14oitk235763mntlb1c0brnk9w3fenzqbk313q5kvxyf52kukw1pa[Year],YEAR(Data!$A226)),"")</f>
        <v/>
      </c>
      <c r="N226" s="2" t="str">
        <f>IFERROR(AVERAGEIFS(timeseries_access_key_fqeas14oitk235763mntlb1c0brnk9w3fenzqbk313q5kvxyf52kukw1pa[Column1],timeseries_access_key_fqeas14oitk235763mntlb1c0brnk9w3fenzqbk313q5kvxyf52kukw1pa[Month],MONTH(Data!$A226),timeseries_access_key_fqeas14oitk235763mntlb1c0brnk9w3fenzqbk313q5kvxyf52kukw1pa[Year],YEAR(Data!$A226)),"")</f>
        <v/>
      </c>
      <c r="O226" s="8" t="str">
        <f>IFERROR(VLOOKUP($A226,Text_1_2[[Text.1.1.3]:[Text.1.3]],2,FALSE),"")</f>
        <v/>
      </c>
      <c r="P226" s="2"/>
    </row>
    <row r="227" spans="1:16" x14ac:dyDescent="0.25">
      <c r="A227" s="1">
        <v>28034</v>
      </c>
      <c r="B227" t="str">
        <f>HLOOKUP(Dashboard!$I$27,results,ROW(A227),FALSE)</f>
        <v/>
      </c>
      <c r="C227">
        <f>IFERROR(VLOOKUP(A227,observations_series_id_PCU22112222112243_api_key_ecc133893ea92a842ee685c73424608[],2,FALSE),"")</f>
        <v>41.2</v>
      </c>
      <c r="D227" s="2">
        <f>IFERROR(VLOOKUP(A227,observations_series_id_PCU22112222112243_api_key_ecc133893ea92a842ee685c73424608[],3,FALSE),"")</f>
        <v>0.57766990291262144</v>
      </c>
      <c r="E227" t="str">
        <f>IFERROR(VLOOKUP($A227,observations_series_id_WPU0613020T_api_key_ecc133893ea92a842ee685c734246086_file[],2,FALSE),"")</f>
        <v/>
      </c>
      <c r="F227" s="2" t="str">
        <f>IFERROR(VLOOKUP($A227,observations_series_id_WPU0613020T_api_key_ecc133893ea92a842ee685c734246086_file[],3,FALSE),"")</f>
        <v/>
      </c>
      <c r="G227" t="str">
        <f>IFERROR(VLOOKUP($A227,observations_series_id_PCU22122212_api_key_ecc133893ea92a842ee685c734246086_file[],2,FALSE),"")</f>
        <v/>
      </c>
      <c r="H227" s="2" t="str">
        <f>IFERROR(VLOOKUP($A227,observations_series_id_PCU22122212_api_key_ecc133893ea92a842ee685c734246086_file[],3,FALSE),"")</f>
        <v/>
      </c>
      <c r="I227">
        <f>IFERROR(VLOOKUP($A227,observations_series_id_PCU3241913241910_api_key_ecc133893ea92a842ee685c734246086[],2,FALSE),"")</f>
        <v>54.6</v>
      </c>
      <c r="J227" s="2">
        <f>IFERROR(VLOOKUP($A227,observations_series_id_PCU3241913241910_api_key_ecc133893ea92a842ee685c734246086[],3,FALSE),"")</f>
        <v>5.8608058608058622E-2</v>
      </c>
      <c r="K227">
        <f>IFERROR(VLOOKUP($A227,observations_series_id_EXJPUS_api_key_ecc133893ea92a842ee685c734246086_file_type[],2,FALSE),"")</f>
        <v>291.18900000000002</v>
      </c>
      <c r="L227" s="2">
        <f>IFERROR(VLOOKUP($A227,observations_series_id_EXJPUS_api_key_ecc133893ea92a842ee685c734246086_file_type[],3,FALSE),"")</f>
        <v>-0.22951073014433909</v>
      </c>
      <c r="M227" t="str">
        <f>IFERROR(AVERAGEIFS(timeseries_access_key_fqeas14oitk235763mntlb1c0brnk9w3fenzqbk313q5kvxyf52kukw1pa[Value.LME-ZNC],timeseries_access_key_fqeas14oitk235763mntlb1c0brnk9w3fenzqbk313q5kvxyf52kukw1pa[Month],MONTH(Data!$A227),timeseries_access_key_fqeas14oitk235763mntlb1c0brnk9w3fenzqbk313q5kvxyf52kukw1pa[Year],YEAR(Data!$A227)),"")</f>
        <v/>
      </c>
      <c r="N227" s="2" t="str">
        <f>IFERROR(AVERAGEIFS(timeseries_access_key_fqeas14oitk235763mntlb1c0brnk9w3fenzqbk313q5kvxyf52kukw1pa[Column1],timeseries_access_key_fqeas14oitk235763mntlb1c0brnk9w3fenzqbk313q5kvxyf52kukw1pa[Month],MONTH(Data!$A227),timeseries_access_key_fqeas14oitk235763mntlb1c0brnk9w3fenzqbk313q5kvxyf52kukw1pa[Year],YEAR(Data!$A227)),"")</f>
        <v/>
      </c>
      <c r="O227" s="8" t="str">
        <f>IFERROR(VLOOKUP($A227,Text_1_2[[Text.1.1.3]:[Text.1.3]],2,FALSE),"")</f>
        <v/>
      </c>
      <c r="P227" s="2"/>
    </row>
    <row r="228" spans="1:16" x14ac:dyDescent="0.25">
      <c r="A228" s="1">
        <v>28065</v>
      </c>
      <c r="B228" t="str">
        <f>HLOOKUP(Dashboard!$I$27,results,ROW(A228),FALSE)</f>
        <v/>
      </c>
      <c r="C228">
        <f>IFERROR(VLOOKUP(A228,observations_series_id_PCU22112222112243_api_key_ecc133893ea92a842ee685c73424608[],2,FALSE),"")</f>
        <v>41.5</v>
      </c>
      <c r="D228" s="2">
        <f>IFERROR(VLOOKUP(A228,observations_series_id_PCU22112222112243_api_key_ecc133893ea92a842ee685c73424608[],3,FALSE),"")</f>
        <v>0.58072289156626511</v>
      </c>
      <c r="E228" t="str">
        <f>IFERROR(VLOOKUP($A228,observations_series_id_WPU0613020T_api_key_ecc133893ea92a842ee685c734246086_file[],2,FALSE),"")</f>
        <v/>
      </c>
      <c r="F228" s="2" t="str">
        <f>IFERROR(VLOOKUP($A228,observations_series_id_WPU0613020T_api_key_ecc133893ea92a842ee685c734246086_file[],3,FALSE),"")</f>
        <v/>
      </c>
      <c r="G228" t="str">
        <f>IFERROR(VLOOKUP($A228,observations_series_id_PCU22122212_api_key_ecc133893ea92a842ee685c734246086_file[],2,FALSE),"")</f>
        <v/>
      </c>
      <c r="H228" s="2" t="str">
        <f>IFERROR(VLOOKUP($A228,observations_series_id_PCU22122212_api_key_ecc133893ea92a842ee685c734246086_file[],3,FALSE),"")</f>
        <v/>
      </c>
      <c r="I228">
        <f>IFERROR(VLOOKUP($A228,observations_series_id_PCU3241913241910_api_key_ecc133893ea92a842ee685c734246086[],2,FALSE),"")</f>
        <v>54.9</v>
      </c>
      <c r="J228" s="2">
        <f>IFERROR(VLOOKUP($A228,observations_series_id_PCU3241913241910_api_key_ecc133893ea92a842ee685c734246086[],3,FALSE),"")</f>
        <v>6.3752276867030999E-2</v>
      </c>
      <c r="K228">
        <f>IFERROR(VLOOKUP($A228,observations_series_id_EXJPUS_api_key_ecc133893ea92a842ee685c734246086_file_type[],2,FALSE),"")</f>
        <v>295.1653</v>
      </c>
      <c r="L228" s="2">
        <f>IFERROR(VLOOKUP($A228,observations_series_id_EXJPUS_api_key_ecc133893ea92a842ee685c734246086_file_type[],3,FALSE),"")</f>
        <v>-0.21294745689957462</v>
      </c>
      <c r="M228" t="str">
        <f>IFERROR(AVERAGEIFS(timeseries_access_key_fqeas14oitk235763mntlb1c0brnk9w3fenzqbk313q5kvxyf52kukw1pa[Value.LME-ZNC],timeseries_access_key_fqeas14oitk235763mntlb1c0brnk9w3fenzqbk313q5kvxyf52kukw1pa[Month],MONTH(Data!$A228),timeseries_access_key_fqeas14oitk235763mntlb1c0brnk9w3fenzqbk313q5kvxyf52kukw1pa[Year],YEAR(Data!$A228)),"")</f>
        <v/>
      </c>
      <c r="N228" s="2" t="str">
        <f>IFERROR(AVERAGEIFS(timeseries_access_key_fqeas14oitk235763mntlb1c0brnk9w3fenzqbk313q5kvxyf52kukw1pa[Column1],timeseries_access_key_fqeas14oitk235763mntlb1c0brnk9w3fenzqbk313q5kvxyf52kukw1pa[Month],MONTH(Data!$A228),timeseries_access_key_fqeas14oitk235763mntlb1c0brnk9w3fenzqbk313q5kvxyf52kukw1pa[Year],YEAR(Data!$A228)),"")</f>
        <v/>
      </c>
      <c r="O228" s="8" t="str">
        <f>IFERROR(VLOOKUP($A228,Text_1_2[[Text.1.1.3]:[Text.1.3]],2,FALSE),"")</f>
        <v/>
      </c>
      <c r="P228" s="2"/>
    </row>
    <row r="229" spans="1:16" x14ac:dyDescent="0.25">
      <c r="A229" s="1">
        <v>28095</v>
      </c>
      <c r="B229" t="str">
        <f>HLOOKUP(Dashboard!$I$27,results,ROW(A229),FALSE)</f>
        <v/>
      </c>
      <c r="C229">
        <f>IFERROR(VLOOKUP(A229,observations_series_id_PCU22112222112243_api_key_ecc133893ea92a842ee685c73424608[],2,FALSE),"")</f>
        <v>41.3</v>
      </c>
      <c r="D229" s="2">
        <f>IFERROR(VLOOKUP(A229,observations_series_id_PCU22112222112243_api_key_ecc133893ea92a842ee685c73424608[],3,FALSE),"")</f>
        <v>0.57869249394673128</v>
      </c>
      <c r="E229" t="str">
        <f>IFERROR(VLOOKUP($A229,observations_series_id_WPU0613020T_api_key_ecc133893ea92a842ee685c734246086_file[],2,FALSE),"")</f>
        <v/>
      </c>
      <c r="F229" s="2" t="str">
        <f>IFERROR(VLOOKUP($A229,observations_series_id_WPU0613020T_api_key_ecc133893ea92a842ee685c734246086_file[],3,FALSE),"")</f>
        <v/>
      </c>
      <c r="G229" t="str">
        <f>IFERROR(VLOOKUP($A229,observations_series_id_PCU22122212_api_key_ecc133893ea92a842ee685c734246086_file[],2,FALSE),"")</f>
        <v/>
      </c>
      <c r="H229" s="2" t="str">
        <f>IFERROR(VLOOKUP($A229,observations_series_id_PCU22122212_api_key_ecc133893ea92a842ee685c734246086_file[],3,FALSE),"")</f>
        <v/>
      </c>
      <c r="I229">
        <f>IFERROR(VLOOKUP($A229,observations_series_id_PCU3241913241910_api_key_ecc133893ea92a842ee685c734246086[],2,FALSE),"")</f>
        <v>55.1</v>
      </c>
      <c r="J229" s="2">
        <f>IFERROR(VLOOKUP($A229,observations_series_id_PCU3241913241910_api_key_ecc133893ea92a842ee685c734246086[],3,FALSE),"")</f>
        <v>6.7150635208711451E-2</v>
      </c>
      <c r="K229">
        <f>IFERROR(VLOOKUP($A229,observations_series_id_EXJPUS_api_key_ecc133893ea92a842ee685c734246086_file_type[],2,FALSE),"")</f>
        <v>294.70170000000002</v>
      </c>
      <c r="L229" s="2">
        <f>IFERROR(VLOOKUP($A229,observations_series_id_EXJPUS_api_key_ecc133893ea92a842ee685c734246086_file_type[],3,FALSE),"")</f>
        <v>-0.21485556411788576</v>
      </c>
      <c r="M229" t="str">
        <f>IFERROR(AVERAGEIFS(timeseries_access_key_fqeas14oitk235763mntlb1c0brnk9w3fenzqbk313q5kvxyf52kukw1pa[Value.LME-ZNC],timeseries_access_key_fqeas14oitk235763mntlb1c0brnk9w3fenzqbk313q5kvxyf52kukw1pa[Month],MONTH(Data!$A229),timeseries_access_key_fqeas14oitk235763mntlb1c0brnk9w3fenzqbk313q5kvxyf52kukw1pa[Year],YEAR(Data!$A229)),"")</f>
        <v/>
      </c>
      <c r="N229" s="2" t="str">
        <f>IFERROR(AVERAGEIFS(timeseries_access_key_fqeas14oitk235763mntlb1c0brnk9w3fenzqbk313q5kvxyf52kukw1pa[Column1],timeseries_access_key_fqeas14oitk235763mntlb1c0brnk9w3fenzqbk313q5kvxyf52kukw1pa[Month],MONTH(Data!$A229),timeseries_access_key_fqeas14oitk235763mntlb1c0brnk9w3fenzqbk313q5kvxyf52kukw1pa[Year],YEAR(Data!$A229)),"")</f>
        <v/>
      </c>
      <c r="O229" s="8" t="str">
        <f>IFERROR(VLOOKUP($A229,Text_1_2[[Text.1.1.3]:[Text.1.3]],2,FALSE),"")</f>
        <v/>
      </c>
      <c r="P229" s="2"/>
    </row>
    <row r="230" spans="1:16" x14ac:dyDescent="0.25">
      <c r="A230" s="1">
        <v>28126</v>
      </c>
      <c r="B230" t="str">
        <f>HLOOKUP(Dashboard!$I$27,results,ROW(A230),FALSE)</f>
        <v/>
      </c>
      <c r="C230">
        <f>IFERROR(VLOOKUP(A230,observations_series_id_PCU22112222112243_api_key_ecc133893ea92a842ee685c73424608[],2,FALSE),"")</f>
        <v>41.7</v>
      </c>
      <c r="D230" s="2">
        <f>IFERROR(VLOOKUP(A230,observations_series_id_PCU22112222112243_api_key_ecc133893ea92a842ee685c73424608[],3,FALSE),"")</f>
        <v>0.58273381294964033</v>
      </c>
      <c r="E230" t="str">
        <f>IFERROR(VLOOKUP($A230,observations_series_id_WPU0613020T_api_key_ecc133893ea92a842ee685c734246086_file[],2,FALSE),"")</f>
        <v/>
      </c>
      <c r="F230" s="2" t="str">
        <f>IFERROR(VLOOKUP($A230,observations_series_id_WPU0613020T_api_key_ecc133893ea92a842ee685c734246086_file[],3,FALSE),"")</f>
        <v/>
      </c>
      <c r="G230" t="str">
        <f>IFERROR(VLOOKUP($A230,observations_series_id_PCU22122212_api_key_ecc133893ea92a842ee685c734246086_file[],2,FALSE),"")</f>
        <v/>
      </c>
      <c r="H230" s="2" t="str">
        <f>IFERROR(VLOOKUP($A230,observations_series_id_PCU22122212_api_key_ecc133893ea92a842ee685c734246086_file[],3,FALSE),"")</f>
        <v/>
      </c>
      <c r="I230">
        <f>IFERROR(VLOOKUP($A230,observations_series_id_PCU3241913241910_api_key_ecc133893ea92a842ee685c734246086[],2,FALSE),"")</f>
        <v>55.6</v>
      </c>
      <c r="J230" s="2">
        <f>IFERROR(VLOOKUP($A230,observations_series_id_PCU3241913241910_api_key_ecc133893ea92a842ee685c734246086[],3,FALSE),"")</f>
        <v>7.5539568345323826E-2</v>
      </c>
      <c r="K230">
        <f>IFERROR(VLOOKUP($A230,observations_series_id_EXJPUS_api_key_ecc133893ea92a842ee685c734246086_file_type[],2,FALSE),"")</f>
        <v>291.05239999999998</v>
      </c>
      <c r="L230" s="2">
        <f>IFERROR(VLOOKUP($A230,observations_series_id_EXJPUS_api_key_ecc133893ea92a842ee685c734246086_file_type[],3,FALSE),"")</f>
        <v>-0.23008777800835856</v>
      </c>
      <c r="M230" t="str">
        <f>IFERROR(AVERAGEIFS(timeseries_access_key_fqeas14oitk235763mntlb1c0brnk9w3fenzqbk313q5kvxyf52kukw1pa[Value.LME-ZNC],timeseries_access_key_fqeas14oitk235763mntlb1c0brnk9w3fenzqbk313q5kvxyf52kukw1pa[Month],MONTH(Data!$A230),timeseries_access_key_fqeas14oitk235763mntlb1c0brnk9w3fenzqbk313q5kvxyf52kukw1pa[Year],YEAR(Data!$A230)),"")</f>
        <v/>
      </c>
      <c r="N230" s="2" t="str">
        <f>IFERROR(AVERAGEIFS(timeseries_access_key_fqeas14oitk235763mntlb1c0brnk9w3fenzqbk313q5kvxyf52kukw1pa[Column1],timeseries_access_key_fqeas14oitk235763mntlb1c0brnk9w3fenzqbk313q5kvxyf52kukw1pa[Month],MONTH(Data!$A230),timeseries_access_key_fqeas14oitk235763mntlb1c0brnk9w3fenzqbk313q5kvxyf52kukw1pa[Year],YEAR(Data!$A230)),"")</f>
        <v/>
      </c>
      <c r="O230" s="8" t="str">
        <f>IFERROR(VLOOKUP($A230,Text_1_2[[Text.1.1.3]:[Text.1.3]],2,FALSE),"")</f>
        <v/>
      </c>
      <c r="P230" s="2"/>
    </row>
    <row r="231" spans="1:16" x14ac:dyDescent="0.25">
      <c r="A231" s="1">
        <v>28157</v>
      </c>
      <c r="B231" t="str">
        <f>HLOOKUP(Dashboard!$I$27,results,ROW(A231),FALSE)</f>
        <v/>
      </c>
      <c r="C231">
        <f>IFERROR(VLOOKUP(A231,observations_series_id_PCU22112222112243_api_key_ecc133893ea92a842ee685c73424608[],2,FALSE),"")</f>
        <v>43</v>
      </c>
      <c r="D231" s="2">
        <f>IFERROR(VLOOKUP(A231,observations_series_id_PCU22112222112243_api_key_ecc133893ea92a842ee685c73424608[],3,FALSE),"")</f>
        <v>0.59534883720930232</v>
      </c>
      <c r="E231" t="str">
        <f>IFERROR(VLOOKUP($A231,observations_series_id_WPU0613020T_api_key_ecc133893ea92a842ee685c734246086_file[],2,FALSE),"")</f>
        <v/>
      </c>
      <c r="F231" s="2" t="str">
        <f>IFERROR(VLOOKUP($A231,observations_series_id_WPU0613020T_api_key_ecc133893ea92a842ee685c734246086_file[],3,FALSE),"")</f>
        <v/>
      </c>
      <c r="G231" t="str">
        <f>IFERROR(VLOOKUP($A231,observations_series_id_PCU22122212_api_key_ecc133893ea92a842ee685c734246086_file[],2,FALSE),"")</f>
        <v/>
      </c>
      <c r="H231" s="2" t="str">
        <f>IFERROR(VLOOKUP($A231,observations_series_id_PCU22122212_api_key_ecc133893ea92a842ee685c734246086_file[],3,FALSE),"")</f>
        <v/>
      </c>
      <c r="I231">
        <f>IFERROR(VLOOKUP($A231,observations_series_id_PCU3241913241910_api_key_ecc133893ea92a842ee685c734246086[],2,FALSE),"")</f>
        <v>56.4</v>
      </c>
      <c r="J231" s="2">
        <f>IFERROR(VLOOKUP($A231,observations_series_id_PCU3241913241910_api_key_ecc133893ea92a842ee685c734246086[],3,FALSE),"")</f>
        <v>8.8652482269503508E-2</v>
      </c>
      <c r="K231">
        <f>IFERROR(VLOOKUP($A231,observations_series_id_EXJPUS_api_key_ecc133893ea92a842ee685c734246086_file_type[],2,FALSE),"")</f>
        <v>285.02210000000002</v>
      </c>
      <c r="L231" s="2">
        <f>IFERROR(VLOOKUP($A231,observations_series_id_EXJPUS_api_key_ecc133893ea92a842ee685c734246086_file_type[],3,FALSE),"")</f>
        <v>-0.25611312245611817</v>
      </c>
      <c r="M231" t="str">
        <f>IFERROR(AVERAGEIFS(timeseries_access_key_fqeas14oitk235763mntlb1c0brnk9w3fenzqbk313q5kvxyf52kukw1pa[Value.LME-ZNC],timeseries_access_key_fqeas14oitk235763mntlb1c0brnk9w3fenzqbk313q5kvxyf52kukw1pa[Month],MONTH(Data!$A231),timeseries_access_key_fqeas14oitk235763mntlb1c0brnk9w3fenzqbk313q5kvxyf52kukw1pa[Year],YEAR(Data!$A231)),"")</f>
        <v/>
      </c>
      <c r="N231" s="2" t="str">
        <f>IFERROR(AVERAGEIFS(timeseries_access_key_fqeas14oitk235763mntlb1c0brnk9w3fenzqbk313q5kvxyf52kukw1pa[Column1],timeseries_access_key_fqeas14oitk235763mntlb1c0brnk9w3fenzqbk313q5kvxyf52kukw1pa[Month],MONTH(Data!$A231),timeseries_access_key_fqeas14oitk235763mntlb1c0brnk9w3fenzqbk313q5kvxyf52kukw1pa[Year],YEAR(Data!$A231)),"")</f>
        <v/>
      </c>
      <c r="O231" s="8" t="str">
        <f>IFERROR(VLOOKUP($A231,Text_1_2[[Text.1.1.3]:[Text.1.3]],2,FALSE),"")</f>
        <v/>
      </c>
      <c r="P231" s="2"/>
    </row>
    <row r="232" spans="1:16" x14ac:dyDescent="0.25">
      <c r="A232" s="1">
        <v>28185</v>
      </c>
      <c r="B232" t="str">
        <f>HLOOKUP(Dashboard!$I$27,results,ROW(A232),FALSE)</f>
        <v/>
      </c>
      <c r="C232">
        <f>IFERROR(VLOOKUP(A232,observations_series_id_PCU22112222112243_api_key_ecc133893ea92a842ee685c73424608[],2,FALSE),"")</f>
        <v>44.1</v>
      </c>
      <c r="D232" s="2">
        <f>IFERROR(VLOOKUP(A232,observations_series_id_PCU22112222112243_api_key_ecc133893ea92a842ee685c73424608[],3,FALSE),"")</f>
        <v>0.60544217687074831</v>
      </c>
      <c r="E232" t="str">
        <f>IFERROR(VLOOKUP($A232,observations_series_id_WPU0613020T_api_key_ecc133893ea92a842ee685c734246086_file[],2,FALSE),"")</f>
        <v/>
      </c>
      <c r="F232" s="2" t="str">
        <f>IFERROR(VLOOKUP($A232,observations_series_id_WPU0613020T_api_key_ecc133893ea92a842ee685c734246086_file[],3,FALSE),"")</f>
        <v/>
      </c>
      <c r="G232" t="str">
        <f>IFERROR(VLOOKUP($A232,observations_series_id_PCU22122212_api_key_ecc133893ea92a842ee685c734246086_file[],2,FALSE),"")</f>
        <v/>
      </c>
      <c r="H232" s="2" t="str">
        <f>IFERROR(VLOOKUP($A232,observations_series_id_PCU22122212_api_key_ecc133893ea92a842ee685c734246086_file[],3,FALSE),"")</f>
        <v/>
      </c>
      <c r="I232">
        <f>IFERROR(VLOOKUP($A232,observations_series_id_PCU3241913241910_api_key_ecc133893ea92a842ee685c734246086[],2,FALSE),"")</f>
        <v>56.9</v>
      </c>
      <c r="J232" s="2">
        <f>IFERROR(VLOOKUP($A232,observations_series_id_PCU3241913241910_api_key_ecc133893ea92a842ee685c734246086[],3,FALSE),"")</f>
        <v>9.6660808435852341E-2</v>
      </c>
      <c r="K232">
        <f>IFERROR(VLOOKUP($A232,observations_series_id_EXJPUS_api_key_ecc133893ea92a842ee685c734246086_file_type[],2,FALSE),"")</f>
        <v>280.22649999999999</v>
      </c>
      <c r="L232" s="2">
        <f>IFERROR(VLOOKUP($A232,observations_series_id_EXJPUS_api_key_ecc133893ea92a842ee685c734246086_file_type[],3,FALSE),"")</f>
        <v>-0.27760936242646572</v>
      </c>
      <c r="M232" t="str">
        <f>IFERROR(AVERAGEIFS(timeseries_access_key_fqeas14oitk235763mntlb1c0brnk9w3fenzqbk313q5kvxyf52kukw1pa[Value.LME-ZNC],timeseries_access_key_fqeas14oitk235763mntlb1c0brnk9w3fenzqbk313q5kvxyf52kukw1pa[Month],MONTH(Data!$A232),timeseries_access_key_fqeas14oitk235763mntlb1c0brnk9w3fenzqbk313q5kvxyf52kukw1pa[Year],YEAR(Data!$A232)),"")</f>
        <v/>
      </c>
      <c r="N232" s="2" t="str">
        <f>IFERROR(AVERAGEIFS(timeseries_access_key_fqeas14oitk235763mntlb1c0brnk9w3fenzqbk313q5kvxyf52kukw1pa[Column1],timeseries_access_key_fqeas14oitk235763mntlb1c0brnk9w3fenzqbk313q5kvxyf52kukw1pa[Month],MONTH(Data!$A232),timeseries_access_key_fqeas14oitk235763mntlb1c0brnk9w3fenzqbk313q5kvxyf52kukw1pa[Year],YEAR(Data!$A232)),"")</f>
        <v/>
      </c>
      <c r="O232" s="8" t="str">
        <f>IFERROR(VLOOKUP($A232,Text_1_2[[Text.1.1.3]:[Text.1.3]],2,FALSE),"")</f>
        <v/>
      </c>
      <c r="P232" s="2"/>
    </row>
    <row r="233" spans="1:16" x14ac:dyDescent="0.25">
      <c r="A233" s="1">
        <v>28216</v>
      </c>
      <c r="B233" t="str">
        <f>HLOOKUP(Dashboard!$I$27,results,ROW(A233),FALSE)</f>
        <v/>
      </c>
      <c r="C233">
        <f>IFERROR(VLOOKUP(A233,observations_series_id_PCU22112222112243_api_key_ecc133893ea92a842ee685c73424608[],2,FALSE),"")</f>
        <v>45.6</v>
      </c>
      <c r="D233" s="2">
        <f>IFERROR(VLOOKUP(A233,observations_series_id_PCU22112222112243_api_key_ecc133893ea92a842ee685c73424608[],3,FALSE),"")</f>
        <v>0.61842105263157898</v>
      </c>
      <c r="E233" t="str">
        <f>IFERROR(VLOOKUP($A233,observations_series_id_WPU0613020T_api_key_ecc133893ea92a842ee685c734246086_file[],2,FALSE),"")</f>
        <v/>
      </c>
      <c r="F233" s="2" t="str">
        <f>IFERROR(VLOOKUP($A233,observations_series_id_WPU0613020T_api_key_ecc133893ea92a842ee685c734246086_file[],3,FALSE),"")</f>
        <v/>
      </c>
      <c r="G233" t="str">
        <f>IFERROR(VLOOKUP($A233,observations_series_id_PCU22122212_api_key_ecc133893ea92a842ee685c734246086_file[],2,FALSE),"")</f>
        <v/>
      </c>
      <c r="H233" s="2" t="str">
        <f>IFERROR(VLOOKUP($A233,observations_series_id_PCU22122212_api_key_ecc133893ea92a842ee685c734246086_file[],3,FALSE),"")</f>
        <v/>
      </c>
      <c r="I233">
        <f>IFERROR(VLOOKUP($A233,observations_series_id_PCU3241913241910_api_key_ecc133893ea92a842ee685c734246086[],2,FALSE),"")</f>
        <v>56.9</v>
      </c>
      <c r="J233" s="2">
        <f>IFERROR(VLOOKUP($A233,observations_series_id_PCU3241913241910_api_key_ecc133893ea92a842ee685c734246086[],3,FALSE),"")</f>
        <v>9.6660808435852341E-2</v>
      </c>
      <c r="K233">
        <f>IFERROR(VLOOKUP($A233,observations_series_id_EXJPUS_api_key_ecc133893ea92a842ee685c734246086_file_type[],2,FALSE),"")</f>
        <v>275.20710000000003</v>
      </c>
      <c r="L233" s="2">
        <f>IFERROR(VLOOKUP($A233,observations_series_id_EXJPUS_api_key_ecc133893ea92a842ee685c734246086_file_type[],3,FALSE),"")</f>
        <v>-0.30091120468912291</v>
      </c>
      <c r="M233" t="str">
        <f>IFERROR(AVERAGEIFS(timeseries_access_key_fqeas14oitk235763mntlb1c0brnk9w3fenzqbk313q5kvxyf52kukw1pa[Value.LME-ZNC],timeseries_access_key_fqeas14oitk235763mntlb1c0brnk9w3fenzqbk313q5kvxyf52kukw1pa[Month],MONTH(Data!$A233),timeseries_access_key_fqeas14oitk235763mntlb1c0brnk9w3fenzqbk313q5kvxyf52kukw1pa[Year],YEAR(Data!$A233)),"")</f>
        <v/>
      </c>
      <c r="N233" s="2" t="str">
        <f>IFERROR(AVERAGEIFS(timeseries_access_key_fqeas14oitk235763mntlb1c0brnk9w3fenzqbk313q5kvxyf52kukw1pa[Column1],timeseries_access_key_fqeas14oitk235763mntlb1c0brnk9w3fenzqbk313q5kvxyf52kukw1pa[Month],MONTH(Data!$A233),timeseries_access_key_fqeas14oitk235763mntlb1c0brnk9w3fenzqbk313q5kvxyf52kukw1pa[Year],YEAR(Data!$A233)),"")</f>
        <v/>
      </c>
      <c r="O233" s="8" t="str">
        <f>IFERROR(VLOOKUP($A233,Text_1_2[[Text.1.1.3]:[Text.1.3]],2,FALSE),"")</f>
        <v/>
      </c>
      <c r="P233" s="2"/>
    </row>
    <row r="234" spans="1:16" x14ac:dyDescent="0.25">
      <c r="A234" s="1">
        <v>28246</v>
      </c>
      <c r="B234" t="str">
        <f>HLOOKUP(Dashboard!$I$27,results,ROW(A234),FALSE)</f>
        <v/>
      </c>
      <c r="C234">
        <f>IFERROR(VLOOKUP(A234,observations_series_id_PCU22112222112243_api_key_ecc133893ea92a842ee685c73424608[],2,FALSE),"")</f>
        <v>45.7</v>
      </c>
      <c r="D234" s="2">
        <f>IFERROR(VLOOKUP(A234,observations_series_id_PCU22112222112243_api_key_ecc133893ea92a842ee685c73424608[],3,FALSE),"")</f>
        <v>0.61925601750547044</v>
      </c>
      <c r="E234" t="str">
        <f>IFERROR(VLOOKUP($A234,observations_series_id_WPU0613020T_api_key_ecc133893ea92a842ee685c734246086_file[],2,FALSE),"")</f>
        <v/>
      </c>
      <c r="F234" s="2" t="str">
        <f>IFERROR(VLOOKUP($A234,observations_series_id_WPU0613020T_api_key_ecc133893ea92a842ee685c734246086_file[],3,FALSE),"")</f>
        <v/>
      </c>
      <c r="G234" t="str">
        <f>IFERROR(VLOOKUP($A234,observations_series_id_PCU22122212_api_key_ecc133893ea92a842ee685c734246086_file[],2,FALSE),"")</f>
        <v/>
      </c>
      <c r="H234" s="2" t="str">
        <f>IFERROR(VLOOKUP($A234,observations_series_id_PCU22122212_api_key_ecc133893ea92a842ee685c734246086_file[],3,FALSE),"")</f>
        <v/>
      </c>
      <c r="I234">
        <f>IFERROR(VLOOKUP($A234,observations_series_id_PCU3241913241910_api_key_ecc133893ea92a842ee685c734246086[],2,FALSE),"")</f>
        <v>57.3</v>
      </c>
      <c r="J234" s="2">
        <f>IFERROR(VLOOKUP($A234,observations_series_id_PCU3241913241910_api_key_ecc133893ea92a842ee685c734246086[],3,FALSE),"")</f>
        <v>0.10296684118673649</v>
      </c>
      <c r="K234">
        <f>IFERROR(VLOOKUP($A234,observations_series_id_EXJPUS_api_key_ecc133893ea92a842ee685c734246086_file_type[],2,FALSE),"")</f>
        <v>277.42619999999999</v>
      </c>
      <c r="L234" s="2">
        <f>IFERROR(VLOOKUP($A234,observations_series_id_EXJPUS_api_key_ecc133893ea92a842ee685c734246086_file_type[],3,FALSE),"")</f>
        <v>-0.29050536683269268</v>
      </c>
      <c r="M234" t="str">
        <f>IFERROR(AVERAGEIFS(timeseries_access_key_fqeas14oitk235763mntlb1c0brnk9w3fenzqbk313q5kvxyf52kukw1pa[Value.LME-ZNC],timeseries_access_key_fqeas14oitk235763mntlb1c0brnk9w3fenzqbk313q5kvxyf52kukw1pa[Month],MONTH(Data!$A234),timeseries_access_key_fqeas14oitk235763mntlb1c0brnk9w3fenzqbk313q5kvxyf52kukw1pa[Year],YEAR(Data!$A234)),"")</f>
        <v/>
      </c>
      <c r="N234" s="2" t="str">
        <f>IFERROR(AVERAGEIFS(timeseries_access_key_fqeas14oitk235763mntlb1c0brnk9w3fenzqbk313q5kvxyf52kukw1pa[Column1],timeseries_access_key_fqeas14oitk235763mntlb1c0brnk9w3fenzqbk313q5kvxyf52kukw1pa[Month],MONTH(Data!$A234),timeseries_access_key_fqeas14oitk235763mntlb1c0brnk9w3fenzqbk313q5kvxyf52kukw1pa[Year],YEAR(Data!$A234)),"")</f>
        <v/>
      </c>
      <c r="O234" s="8" t="str">
        <f>IFERROR(VLOOKUP($A234,Text_1_2[[Text.1.1.3]:[Text.1.3]],2,FALSE),"")</f>
        <v/>
      </c>
      <c r="P234" s="2"/>
    </row>
    <row r="235" spans="1:16" x14ac:dyDescent="0.25">
      <c r="A235" s="1">
        <v>28277</v>
      </c>
      <c r="B235" t="str">
        <f>HLOOKUP(Dashboard!$I$27,results,ROW(A235),FALSE)</f>
        <v/>
      </c>
      <c r="C235">
        <f>IFERROR(VLOOKUP(A235,observations_series_id_PCU22112222112243_api_key_ecc133893ea92a842ee685c73424608[],2,FALSE),"")</f>
        <v>45.5</v>
      </c>
      <c r="D235" s="2">
        <f>IFERROR(VLOOKUP(A235,observations_series_id_PCU22112222112243_api_key_ecc133893ea92a842ee685c73424608[],3,FALSE),"")</f>
        <v>0.61758241758241761</v>
      </c>
      <c r="E235" t="str">
        <f>IFERROR(VLOOKUP($A235,observations_series_id_WPU0613020T_api_key_ecc133893ea92a842ee685c734246086_file[],2,FALSE),"")</f>
        <v/>
      </c>
      <c r="F235" s="2" t="str">
        <f>IFERROR(VLOOKUP($A235,observations_series_id_WPU0613020T_api_key_ecc133893ea92a842ee685c734246086_file[],3,FALSE),"")</f>
        <v/>
      </c>
      <c r="G235" t="str">
        <f>IFERROR(VLOOKUP($A235,observations_series_id_PCU22122212_api_key_ecc133893ea92a842ee685c734246086_file[],2,FALSE),"")</f>
        <v/>
      </c>
      <c r="H235" s="2" t="str">
        <f>IFERROR(VLOOKUP($A235,observations_series_id_PCU22122212_api_key_ecc133893ea92a842ee685c734246086_file[],3,FALSE),"")</f>
        <v/>
      </c>
      <c r="I235">
        <f>IFERROR(VLOOKUP($A235,observations_series_id_PCU3241913241910_api_key_ecc133893ea92a842ee685c734246086[],2,FALSE),"")</f>
        <v>57.6</v>
      </c>
      <c r="J235" s="2">
        <f>IFERROR(VLOOKUP($A235,observations_series_id_PCU3241913241910_api_key_ecc133893ea92a842ee685c734246086[],3,FALSE),"")</f>
        <v>0.10763888888888895</v>
      </c>
      <c r="K235">
        <f>IFERROR(VLOOKUP($A235,observations_series_id_EXJPUS_api_key_ecc133893ea92a842ee685c734246086_file_type[],2,FALSE),"")</f>
        <v>272.86090000000002</v>
      </c>
      <c r="L235" s="2">
        <f>IFERROR(VLOOKUP($A235,observations_series_id_EXJPUS_api_key_ecc133893ea92a842ee685c734246086_file_type[],3,FALSE),"")</f>
        <v>-0.31209711614965707</v>
      </c>
      <c r="M235" t="str">
        <f>IFERROR(AVERAGEIFS(timeseries_access_key_fqeas14oitk235763mntlb1c0brnk9w3fenzqbk313q5kvxyf52kukw1pa[Value.LME-ZNC],timeseries_access_key_fqeas14oitk235763mntlb1c0brnk9w3fenzqbk313q5kvxyf52kukw1pa[Month],MONTH(Data!$A235),timeseries_access_key_fqeas14oitk235763mntlb1c0brnk9w3fenzqbk313q5kvxyf52kukw1pa[Year],YEAR(Data!$A235)),"")</f>
        <v/>
      </c>
      <c r="N235" s="2" t="str">
        <f>IFERROR(AVERAGEIFS(timeseries_access_key_fqeas14oitk235763mntlb1c0brnk9w3fenzqbk313q5kvxyf52kukw1pa[Column1],timeseries_access_key_fqeas14oitk235763mntlb1c0brnk9w3fenzqbk313q5kvxyf52kukw1pa[Month],MONTH(Data!$A235),timeseries_access_key_fqeas14oitk235763mntlb1c0brnk9w3fenzqbk313q5kvxyf52kukw1pa[Year],YEAR(Data!$A235)),"")</f>
        <v/>
      </c>
      <c r="O235" s="8" t="str">
        <f>IFERROR(VLOOKUP($A235,Text_1_2[[Text.1.1.3]:[Text.1.3]],2,FALSE),"")</f>
        <v/>
      </c>
      <c r="P235" s="2"/>
    </row>
    <row r="236" spans="1:16" x14ac:dyDescent="0.25">
      <c r="A236" s="1">
        <v>28307</v>
      </c>
      <c r="B236" t="str">
        <f>HLOOKUP(Dashboard!$I$27,results,ROW(A236),FALSE)</f>
        <v/>
      </c>
      <c r="C236">
        <f>IFERROR(VLOOKUP(A236,observations_series_id_PCU22112222112243_api_key_ecc133893ea92a842ee685c73424608[],2,FALSE),"")</f>
        <v>46.7</v>
      </c>
      <c r="D236" s="2">
        <f>IFERROR(VLOOKUP(A236,observations_series_id_PCU22112222112243_api_key_ecc133893ea92a842ee685c73424608[],3,FALSE),"")</f>
        <v>0.6274089935760172</v>
      </c>
      <c r="E236" t="str">
        <f>IFERROR(VLOOKUP($A236,observations_series_id_WPU0613020T_api_key_ecc133893ea92a842ee685c734246086_file[],2,FALSE),"")</f>
        <v/>
      </c>
      <c r="F236" s="2" t="str">
        <f>IFERROR(VLOOKUP($A236,observations_series_id_WPU0613020T_api_key_ecc133893ea92a842ee685c734246086_file[],3,FALSE),"")</f>
        <v/>
      </c>
      <c r="G236" t="str">
        <f>IFERROR(VLOOKUP($A236,observations_series_id_PCU22122212_api_key_ecc133893ea92a842ee685c734246086_file[],2,FALSE),"")</f>
        <v/>
      </c>
      <c r="H236" s="2" t="str">
        <f>IFERROR(VLOOKUP($A236,observations_series_id_PCU22122212_api_key_ecc133893ea92a842ee685c734246086_file[],3,FALSE),"")</f>
        <v/>
      </c>
      <c r="I236">
        <f>IFERROR(VLOOKUP($A236,observations_series_id_PCU3241913241910_api_key_ecc133893ea92a842ee685c734246086[],2,FALSE),"")</f>
        <v>58.2</v>
      </c>
      <c r="J236" s="2">
        <f>IFERROR(VLOOKUP($A236,observations_series_id_PCU3241913241910_api_key_ecc133893ea92a842ee685c734246086[],3,FALSE),"")</f>
        <v>0.11683848797250862</v>
      </c>
      <c r="K236">
        <f>IFERROR(VLOOKUP($A236,observations_series_id_EXJPUS_api_key_ecc133893ea92a842ee685c734246086_file_type[],2,FALSE),"")</f>
        <v>264.86320000000001</v>
      </c>
      <c r="L236" s="2">
        <f>IFERROR(VLOOKUP($A236,observations_series_id_EXJPUS_api_key_ecc133893ea92a842ee685c734246086_file_type[],3,FALSE),"")</f>
        <v>-0.35171665977002453</v>
      </c>
      <c r="M236" t="str">
        <f>IFERROR(AVERAGEIFS(timeseries_access_key_fqeas14oitk235763mntlb1c0brnk9w3fenzqbk313q5kvxyf52kukw1pa[Value.LME-ZNC],timeseries_access_key_fqeas14oitk235763mntlb1c0brnk9w3fenzqbk313q5kvxyf52kukw1pa[Month],MONTH(Data!$A236),timeseries_access_key_fqeas14oitk235763mntlb1c0brnk9w3fenzqbk313q5kvxyf52kukw1pa[Year],YEAR(Data!$A236)),"")</f>
        <v/>
      </c>
      <c r="N236" s="2" t="str">
        <f>IFERROR(AVERAGEIFS(timeseries_access_key_fqeas14oitk235763mntlb1c0brnk9w3fenzqbk313q5kvxyf52kukw1pa[Column1],timeseries_access_key_fqeas14oitk235763mntlb1c0brnk9w3fenzqbk313q5kvxyf52kukw1pa[Month],MONTH(Data!$A236),timeseries_access_key_fqeas14oitk235763mntlb1c0brnk9w3fenzqbk313q5kvxyf52kukw1pa[Year],YEAR(Data!$A236)),"")</f>
        <v/>
      </c>
      <c r="O236" s="8" t="str">
        <f>IFERROR(VLOOKUP($A236,Text_1_2[[Text.1.1.3]:[Text.1.3]],2,FALSE),"")</f>
        <v/>
      </c>
      <c r="P236" s="2"/>
    </row>
    <row r="237" spans="1:16" x14ac:dyDescent="0.25">
      <c r="A237" s="1">
        <v>28338</v>
      </c>
      <c r="B237" t="str">
        <f>HLOOKUP(Dashboard!$I$27,results,ROW(A237),FALSE)</f>
        <v/>
      </c>
      <c r="C237">
        <f>IFERROR(VLOOKUP(A237,observations_series_id_PCU22112222112243_api_key_ecc133893ea92a842ee685c73424608[],2,FALSE),"")</f>
        <v>47.8</v>
      </c>
      <c r="D237" s="2">
        <f>IFERROR(VLOOKUP(A237,observations_series_id_PCU22112222112243_api_key_ecc133893ea92a842ee685c73424608[],3,FALSE),"")</f>
        <v>0.63598326359832635</v>
      </c>
      <c r="E237" t="str">
        <f>IFERROR(VLOOKUP($A237,observations_series_id_WPU0613020T_api_key_ecc133893ea92a842ee685c734246086_file[],2,FALSE),"")</f>
        <v/>
      </c>
      <c r="F237" s="2" t="str">
        <f>IFERROR(VLOOKUP($A237,observations_series_id_WPU0613020T_api_key_ecc133893ea92a842ee685c734246086_file[],3,FALSE),"")</f>
        <v/>
      </c>
      <c r="G237" t="str">
        <f>IFERROR(VLOOKUP($A237,observations_series_id_PCU22122212_api_key_ecc133893ea92a842ee685c734246086_file[],2,FALSE),"")</f>
        <v/>
      </c>
      <c r="H237" s="2" t="str">
        <f>IFERROR(VLOOKUP($A237,observations_series_id_PCU22122212_api_key_ecc133893ea92a842ee685c734246086_file[],3,FALSE),"")</f>
        <v/>
      </c>
      <c r="I237">
        <f>IFERROR(VLOOKUP($A237,observations_series_id_PCU3241913241910_api_key_ecc133893ea92a842ee685c734246086[],2,FALSE),"")</f>
        <v>58.6</v>
      </c>
      <c r="J237" s="2">
        <f>IFERROR(VLOOKUP($A237,observations_series_id_PCU3241913241910_api_key_ecc133893ea92a842ee685c734246086[],3,FALSE),"")</f>
        <v>0.12286689419795227</v>
      </c>
      <c r="K237">
        <f>IFERROR(VLOOKUP($A237,observations_series_id_EXJPUS_api_key_ecc133893ea92a842ee685c734246086_file_type[],2,FALSE),"")</f>
        <v>266.67739999999998</v>
      </c>
      <c r="L237" s="2">
        <f>IFERROR(VLOOKUP($A237,observations_series_id_EXJPUS_api_key_ecc133893ea92a842ee685c734246086_file_type[],3,FALSE),"")</f>
        <v>-0.34252096353121786</v>
      </c>
      <c r="M237" t="str">
        <f>IFERROR(AVERAGEIFS(timeseries_access_key_fqeas14oitk235763mntlb1c0brnk9w3fenzqbk313q5kvxyf52kukw1pa[Value.LME-ZNC],timeseries_access_key_fqeas14oitk235763mntlb1c0brnk9w3fenzqbk313q5kvxyf52kukw1pa[Month],MONTH(Data!$A237),timeseries_access_key_fqeas14oitk235763mntlb1c0brnk9w3fenzqbk313q5kvxyf52kukw1pa[Year],YEAR(Data!$A237)),"")</f>
        <v/>
      </c>
      <c r="N237" s="2" t="str">
        <f>IFERROR(AVERAGEIFS(timeseries_access_key_fqeas14oitk235763mntlb1c0brnk9w3fenzqbk313q5kvxyf52kukw1pa[Column1],timeseries_access_key_fqeas14oitk235763mntlb1c0brnk9w3fenzqbk313q5kvxyf52kukw1pa[Month],MONTH(Data!$A237),timeseries_access_key_fqeas14oitk235763mntlb1c0brnk9w3fenzqbk313q5kvxyf52kukw1pa[Year],YEAR(Data!$A237)),"")</f>
        <v/>
      </c>
      <c r="O237" s="8" t="str">
        <f>IFERROR(VLOOKUP($A237,Text_1_2[[Text.1.1.3]:[Text.1.3]],2,FALSE),"")</f>
        <v/>
      </c>
      <c r="P237" s="2"/>
    </row>
    <row r="238" spans="1:16" x14ac:dyDescent="0.25">
      <c r="A238" s="1">
        <v>28369</v>
      </c>
      <c r="B238" t="str">
        <f>HLOOKUP(Dashboard!$I$27,results,ROW(A238),FALSE)</f>
        <v/>
      </c>
      <c r="C238">
        <f>IFERROR(VLOOKUP(A238,observations_series_id_PCU22112222112243_api_key_ecc133893ea92a842ee685c73424608[],2,FALSE),"")</f>
        <v>47.3</v>
      </c>
      <c r="D238" s="2">
        <f>IFERROR(VLOOKUP(A238,observations_series_id_PCU22112222112243_api_key_ecc133893ea92a842ee685c73424608[],3,FALSE),"")</f>
        <v>0.63213530655391126</v>
      </c>
      <c r="E238" t="str">
        <f>IFERROR(VLOOKUP($A238,observations_series_id_WPU0613020T_api_key_ecc133893ea92a842ee685c734246086_file[],2,FALSE),"")</f>
        <v/>
      </c>
      <c r="F238" s="2" t="str">
        <f>IFERROR(VLOOKUP($A238,observations_series_id_WPU0613020T_api_key_ecc133893ea92a842ee685c734246086_file[],3,FALSE),"")</f>
        <v/>
      </c>
      <c r="G238" t="str">
        <f>IFERROR(VLOOKUP($A238,observations_series_id_PCU22122212_api_key_ecc133893ea92a842ee685c734246086_file[],2,FALSE),"")</f>
        <v/>
      </c>
      <c r="H238" s="2" t="str">
        <f>IFERROR(VLOOKUP($A238,observations_series_id_PCU22122212_api_key_ecc133893ea92a842ee685c734246086_file[],3,FALSE),"")</f>
        <v/>
      </c>
      <c r="I238">
        <f>IFERROR(VLOOKUP($A238,observations_series_id_PCU3241913241910_api_key_ecc133893ea92a842ee685c734246086[],2,FALSE),"")</f>
        <v>59.6</v>
      </c>
      <c r="J238" s="2">
        <f>IFERROR(VLOOKUP($A238,observations_series_id_PCU3241913241910_api_key_ecc133893ea92a842ee685c734246086[],3,FALSE),"")</f>
        <v>0.13758389261744974</v>
      </c>
      <c r="K238">
        <f>IFERROR(VLOOKUP($A238,observations_series_id_EXJPUS_api_key_ecc133893ea92a842ee685c734246086_file_type[],2,FALSE),"")</f>
        <v>266.77</v>
      </c>
      <c r="L238" s="2">
        <f>IFERROR(VLOOKUP($A238,observations_series_id_EXJPUS_api_key_ecc133893ea92a842ee685c734246086_file_type[],3,FALSE),"")</f>
        <v>-0.34205495370543915</v>
      </c>
      <c r="M238" t="str">
        <f>IFERROR(AVERAGEIFS(timeseries_access_key_fqeas14oitk235763mntlb1c0brnk9w3fenzqbk313q5kvxyf52kukw1pa[Value.LME-ZNC],timeseries_access_key_fqeas14oitk235763mntlb1c0brnk9w3fenzqbk313q5kvxyf52kukw1pa[Month],MONTH(Data!$A238),timeseries_access_key_fqeas14oitk235763mntlb1c0brnk9w3fenzqbk313q5kvxyf52kukw1pa[Year],YEAR(Data!$A238)),"")</f>
        <v/>
      </c>
      <c r="N238" s="2" t="str">
        <f>IFERROR(AVERAGEIFS(timeseries_access_key_fqeas14oitk235763mntlb1c0brnk9w3fenzqbk313q5kvxyf52kukw1pa[Column1],timeseries_access_key_fqeas14oitk235763mntlb1c0brnk9w3fenzqbk313q5kvxyf52kukw1pa[Month],MONTH(Data!$A238),timeseries_access_key_fqeas14oitk235763mntlb1c0brnk9w3fenzqbk313q5kvxyf52kukw1pa[Year],YEAR(Data!$A238)),"")</f>
        <v/>
      </c>
      <c r="O238" s="8" t="str">
        <f>IFERROR(VLOOKUP($A238,Text_1_2[[Text.1.1.3]:[Text.1.3]],2,FALSE),"")</f>
        <v/>
      </c>
      <c r="P238" s="2"/>
    </row>
    <row r="239" spans="1:16" x14ac:dyDescent="0.25">
      <c r="A239" s="1">
        <v>28399</v>
      </c>
      <c r="B239" t="str">
        <f>HLOOKUP(Dashboard!$I$27,results,ROW(A239),FALSE)</f>
        <v/>
      </c>
      <c r="C239">
        <f>IFERROR(VLOOKUP(A239,observations_series_id_PCU22112222112243_api_key_ecc133893ea92a842ee685c73424608[],2,FALSE),"")</f>
        <v>47.5</v>
      </c>
      <c r="D239" s="2">
        <f>IFERROR(VLOOKUP(A239,observations_series_id_PCU22112222112243_api_key_ecc133893ea92a842ee685c73424608[],3,FALSE),"")</f>
        <v>0.63368421052631585</v>
      </c>
      <c r="E239" t="str">
        <f>IFERROR(VLOOKUP($A239,observations_series_id_WPU0613020T_api_key_ecc133893ea92a842ee685c734246086_file[],2,FALSE),"")</f>
        <v/>
      </c>
      <c r="F239" s="2" t="str">
        <f>IFERROR(VLOOKUP($A239,observations_series_id_WPU0613020T_api_key_ecc133893ea92a842ee685c734246086_file[],3,FALSE),"")</f>
        <v/>
      </c>
      <c r="G239" t="str">
        <f>IFERROR(VLOOKUP($A239,observations_series_id_PCU22122212_api_key_ecc133893ea92a842ee685c734246086_file[],2,FALSE),"")</f>
        <v/>
      </c>
      <c r="H239" s="2" t="str">
        <f>IFERROR(VLOOKUP($A239,observations_series_id_PCU22122212_api_key_ecc133893ea92a842ee685c734246086_file[],3,FALSE),"")</f>
        <v/>
      </c>
      <c r="I239">
        <f>IFERROR(VLOOKUP($A239,observations_series_id_PCU3241913241910_api_key_ecc133893ea92a842ee685c734246086[],2,FALSE),"")</f>
        <v>59.8</v>
      </c>
      <c r="J239" s="2">
        <f>IFERROR(VLOOKUP($A239,observations_series_id_PCU3241913241910_api_key_ecc133893ea92a842ee685c734246086[],3,FALSE),"")</f>
        <v>0.14046822742474918</v>
      </c>
      <c r="K239">
        <f>IFERROR(VLOOKUP($A239,observations_series_id_EXJPUS_api_key_ecc133893ea92a842ee685c734246086_file_type[],2,FALSE),"")</f>
        <v>254.74449999999999</v>
      </c>
      <c r="L239" s="2">
        <f>IFERROR(VLOOKUP($A239,observations_series_id_EXJPUS_api_key_ecc133893ea92a842ee685c734246086_file_type[],3,FALSE),"")</f>
        <v>-0.4054081638661482</v>
      </c>
      <c r="M239" t="str">
        <f>IFERROR(AVERAGEIFS(timeseries_access_key_fqeas14oitk235763mntlb1c0brnk9w3fenzqbk313q5kvxyf52kukw1pa[Value.LME-ZNC],timeseries_access_key_fqeas14oitk235763mntlb1c0brnk9w3fenzqbk313q5kvxyf52kukw1pa[Month],MONTH(Data!$A239),timeseries_access_key_fqeas14oitk235763mntlb1c0brnk9w3fenzqbk313q5kvxyf52kukw1pa[Year],YEAR(Data!$A239)),"")</f>
        <v/>
      </c>
      <c r="N239" s="2" t="str">
        <f>IFERROR(AVERAGEIFS(timeseries_access_key_fqeas14oitk235763mntlb1c0brnk9w3fenzqbk313q5kvxyf52kukw1pa[Column1],timeseries_access_key_fqeas14oitk235763mntlb1c0brnk9w3fenzqbk313q5kvxyf52kukw1pa[Month],MONTH(Data!$A239),timeseries_access_key_fqeas14oitk235763mntlb1c0brnk9w3fenzqbk313q5kvxyf52kukw1pa[Year],YEAR(Data!$A239)),"")</f>
        <v/>
      </c>
      <c r="O239" s="8" t="str">
        <f>IFERROR(VLOOKUP($A239,Text_1_2[[Text.1.1.3]:[Text.1.3]],2,FALSE),"")</f>
        <v/>
      </c>
      <c r="P239" s="2"/>
    </row>
    <row r="240" spans="1:16" x14ac:dyDescent="0.25">
      <c r="A240" s="1">
        <v>28430</v>
      </c>
      <c r="B240" t="str">
        <f>HLOOKUP(Dashboard!$I$27,results,ROW(A240),FALSE)</f>
        <v/>
      </c>
      <c r="C240">
        <f>IFERROR(VLOOKUP(A240,observations_series_id_PCU22112222112243_api_key_ecc133893ea92a842ee685c73424608[],2,FALSE),"")</f>
        <v>46.6</v>
      </c>
      <c r="D240" s="2">
        <f>IFERROR(VLOOKUP(A240,observations_series_id_PCU22112222112243_api_key_ecc133893ea92a842ee685c73424608[],3,FALSE),"")</f>
        <v>0.62660944206008584</v>
      </c>
      <c r="E240" t="str">
        <f>IFERROR(VLOOKUP($A240,observations_series_id_WPU0613020T_api_key_ecc133893ea92a842ee685c734246086_file[],2,FALSE),"")</f>
        <v/>
      </c>
      <c r="F240" s="2" t="str">
        <f>IFERROR(VLOOKUP($A240,observations_series_id_WPU0613020T_api_key_ecc133893ea92a842ee685c734246086_file[],3,FALSE),"")</f>
        <v/>
      </c>
      <c r="G240" t="str">
        <f>IFERROR(VLOOKUP($A240,observations_series_id_PCU22122212_api_key_ecc133893ea92a842ee685c734246086_file[],2,FALSE),"")</f>
        <v/>
      </c>
      <c r="H240" s="2" t="str">
        <f>IFERROR(VLOOKUP($A240,observations_series_id_PCU22122212_api_key_ecc133893ea92a842ee685c734246086_file[],3,FALSE),"")</f>
        <v/>
      </c>
      <c r="I240">
        <f>IFERROR(VLOOKUP($A240,observations_series_id_PCU3241913241910_api_key_ecc133893ea92a842ee685c734246086[],2,FALSE),"")</f>
        <v>60.8</v>
      </c>
      <c r="J240" s="2">
        <f>IFERROR(VLOOKUP($A240,observations_series_id_PCU3241913241910_api_key_ecc133893ea92a842ee685c734246086[],3,FALSE),"")</f>
        <v>0.15460526315789469</v>
      </c>
      <c r="K240">
        <f>IFERROR(VLOOKUP($A240,observations_series_id_EXJPUS_api_key_ecc133893ea92a842ee685c734246086_file_type[],2,FALSE),"")</f>
        <v>244.70259999999999</v>
      </c>
      <c r="L240" s="2">
        <f>IFERROR(VLOOKUP($A240,observations_series_id_EXJPUS_api_key_ecc133893ea92a842ee685c734246086_file_type[],3,FALSE),"")</f>
        <v>-0.46308212499581125</v>
      </c>
      <c r="M240" t="str">
        <f>IFERROR(AVERAGEIFS(timeseries_access_key_fqeas14oitk235763mntlb1c0brnk9w3fenzqbk313q5kvxyf52kukw1pa[Value.LME-ZNC],timeseries_access_key_fqeas14oitk235763mntlb1c0brnk9w3fenzqbk313q5kvxyf52kukw1pa[Month],MONTH(Data!$A240),timeseries_access_key_fqeas14oitk235763mntlb1c0brnk9w3fenzqbk313q5kvxyf52kukw1pa[Year],YEAR(Data!$A240)),"")</f>
        <v/>
      </c>
      <c r="N240" s="2" t="str">
        <f>IFERROR(AVERAGEIFS(timeseries_access_key_fqeas14oitk235763mntlb1c0brnk9w3fenzqbk313q5kvxyf52kukw1pa[Column1],timeseries_access_key_fqeas14oitk235763mntlb1c0brnk9w3fenzqbk313q5kvxyf52kukw1pa[Month],MONTH(Data!$A240),timeseries_access_key_fqeas14oitk235763mntlb1c0brnk9w3fenzqbk313q5kvxyf52kukw1pa[Year],YEAR(Data!$A240)),"")</f>
        <v/>
      </c>
      <c r="O240" s="8" t="str">
        <f>IFERROR(VLOOKUP($A240,Text_1_2[[Text.1.1.3]:[Text.1.3]],2,FALSE),"")</f>
        <v/>
      </c>
      <c r="P240" s="2"/>
    </row>
    <row r="241" spans="1:16" x14ac:dyDescent="0.25">
      <c r="A241" s="1">
        <v>28460</v>
      </c>
      <c r="B241" t="str">
        <f>HLOOKUP(Dashboard!$I$27,results,ROW(A241),FALSE)</f>
        <v/>
      </c>
      <c r="C241">
        <f>IFERROR(VLOOKUP(A241,observations_series_id_PCU22112222112243_api_key_ecc133893ea92a842ee685c73424608[],2,FALSE),"")</f>
        <v>46.6</v>
      </c>
      <c r="D241" s="2">
        <f>IFERROR(VLOOKUP(A241,observations_series_id_PCU22112222112243_api_key_ecc133893ea92a842ee685c73424608[],3,FALSE),"")</f>
        <v>0.62660944206008584</v>
      </c>
      <c r="E241" t="str">
        <f>IFERROR(VLOOKUP($A241,observations_series_id_WPU0613020T_api_key_ecc133893ea92a842ee685c734246086_file[],2,FALSE),"")</f>
        <v/>
      </c>
      <c r="F241" s="2" t="str">
        <f>IFERROR(VLOOKUP($A241,observations_series_id_WPU0613020T_api_key_ecc133893ea92a842ee685c734246086_file[],3,FALSE),"")</f>
        <v/>
      </c>
      <c r="G241" t="str">
        <f>IFERROR(VLOOKUP($A241,observations_series_id_PCU22122212_api_key_ecc133893ea92a842ee685c734246086_file[],2,FALSE),"")</f>
        <v/>
      </c>
      <c r="H241" s="2" t="str">
        <f>IFERROR(VLOOKUP($A241,observations_series_id_PCU22122212_api_key_ecc133893ea92a842ee685c734246086_file[],3,FALSE),"")</f>
        <v/>
      </c>
      <c r="I241">
        <f>IFERROR(VLOOKUP($A241,observations_series_id_PCU3241913241910_api_key_ecc133893ea92a842ee685c734246086[],2,FALSE),"")</f>
        <v>60.9</v>
      </c>
      <c r="J241" s="2">
        <f>IFERROR(VLOOKUP($A241,observations_series_id_PCU3241913241910_api_key_ecc133893ea92a842ee685c734246086[],3,FALSE),"")</f>
        <v>0.15599343185550085</v>
      </c>
      <c r="K241">
        <f>IFERROR(VLOOKUP($A241,observations_series_id_EXJPUS_api_key_ecc133893ea92a842ee685c734246086_file_type[],2,FALSE),"")</f>
        <v>241.02289999999999</v>
      </c>
      <c r="L241" s="2">
        <f>IFERROR(VLOOKUP($A241,observations_series_id_EXJPUS_api_key_ecc133893ea92a842ee685c734246086_file_type[],3,FALSE),"")</f>
        <v>-0.48541902035034834</v>
      </c>
      <c r="M241" t="str">
        <f>IFERROR(AVERAGEIFS(timeseries_access_key_fqeas14oitk235763mntlb1c0brnk9w3fenzqbk313q5kvxyf52kukw1pa[Value.LME-ZNC],timeseries_access_key_fqeas14oitk235763mntlb1c0brnk9w3fenzqbk313q5kvxyf52kukw1pa[Month],MONTH(Data!$A241),timeseries_access_key_fqeas14oitk235763mntlb1c0brnk9w3fenzqbk313q5kvxyf52kukw1pa[Year],YEAR(Data!$A241)),"")</f>
        <v/>
      </c>
      <c r="N241" s="2" t="str">
        <f>IFERROR(AVERAGEIFS(timeseries_access_key_fqeas14oitk235763mntlb1c0brnk9w3fenzqbk313q5kvxyf52kukw1pa[Column1],timeseries_access_key_fqeas14oitk235763mntlb1c0brnk9w3fenzqbk313q5kvxyf52kukw1pa[Month],MONTH(Data!$A241),timeseries_access_key_fqeas14oitk235763mntlb1c0brnk9w3fenzqbk313q5kvxyf52kukw1pa[Year],YEAR(Data!$A241)),"")</f>
        <v/>
      </c>
      <c r="O241" s="8" t="str">
        <f>IFERROR(VLOOKUP($A241,Text_1_2[[Text.1.1.3]:[Text.1.3]],2,FALSE),"")</f>
        <v/>
      </c>
      <c r="P241" s="2"/>
    </row>
    <row r="242" spans="1:16" x14ac:dyDescent="0.25">
      <c r="A242" s="1">
        <v>28491</v>
      </c>
      <c r="B242" t="str">
        <f>HLOOKUP(Dashboard!$I$27,results,ROW(A242),FALSE)</f>
        <v/>
      </c>
      <c r="C242">
        <f>IFERROR(VLOOKUP(A242,observations_series_id_PCU22112222112243_api_key_ecc133893ea92a842ee685c73424608[],2,FALSE),"")</f>
        <v>47.2</v>
      </c>
      <c r="D242" s="2">
        <f>IFERROR(VLOOKUP(A242,observations_series_id_PCU22112222112243_api_key_ecc133893ea92a842ee685c73424608[],3,FALSE),"")</f>
        <v>0.63135593220338992</v>
      </c>
      <c r="E242" t="str">
        <f>IFERROR(VLOOKUP($A242,observations_series_id_WPU0613020T_api_key_ecc133893ea92a842ee685c734246086_file[],2,FALSE),"")</f>
        <v/>
      </c>
      <c r="F242" s="2" t="str">
        <f>IFERROR(VLOOKUP($A242,observations_series_id_WPU0613020T_api_key_ecc133893ea92a842ee685c734246086_file[],3,FALSE),"")</f>
        <v/>
      </c>
      <c r="G242" t="str">
        <f>IFERROR(VLOOKUP($A242,observations_series_id_PCU22122212_api_key_ecc133893ea92a842ee685c734246086_file[],2,FALSE),"")</f>
        <v/>
      </c>
      <c r="H242" s="2" t="str">
        <f>IFERROR(VLOOKUP($A242,observations_series_id_PCU22122212_api_key_ecc133893ea92a842ee685c734246086_file[],3,FALSE),"")</f>
        <v/>
      </c>
      <c r="I242">
        <f>IFERROR(VLOOKUP($A242,observations_series_id_PCU3241913241910_api_key_ecc133893ea92a842ee685c734246086[],2,FALSE),"")</f>
        <v>60.9</v>
      </c>
      <c r="J242" s="2">
        <f>IFERROR(VLOOKUP($A242,observations_series_id_PCU3241913241910_api_key_ecc133893ea92a842ee685c734246086[],3,FALSE),"")</f>
        <v>0.15599343185550085</v>
      </c>
      <c r="K242">
        <f>IFERROR(VLOOKUP($A242,observations_series_id_EXJPUS_api_key_ecc133893ea92a842ee685c734246086_file_type[],2,FALSE),"")</f>
        <v>241.08099999999999</v>
      </c>
      <c r="L242" s="2">
        <f>IFERROR(VLOOKUP($A242,observations_series_id_EXJPUS_api_key_ecc133893ea92a842ee685c734246086_file_type[],3,FALSE),"")</f>
        <v>-0.48506103757658203</v>
      </c>
      <c r="M242" t="str">
        <f>IFERROR(AVERAGEIFS(timeseries_access_key_fqeas14oitk235763mntlb1c0brnk9w3fenzqbk313q5kvxyf52kukw1pa[Value.LME-ZNC],timeseries_access_key_fqeas14oitk235763mntlb1c0brnk9w3fenzqbk313q5kvxyf52kukw1pa[Month],MONTH(Data!$A242),timeseries_access_key_fqeas14oitk235763mntlb1c0brnk9w3fenzqbk313q5kvxyf52kukw1pa[Year],YEAR(Data!$A242)),"")</f>
        <v/>
      </c>
      <c r="N242" s="2" t="str">
        <f>IFERROR(AVERAGEIFS(timeseries_access_key_fqeas14oitk235763mntlb1c0brnk9w3fenzqbk313q5kvxyf52kukw1pa[Column1],timeseries_access_key_fqeas14oitk235763mntlb1c0brnk9w3fenzqbk313q5kvxyf52kukw1pa[Month],MONTH(Data!$A242),timeseries_access_key_fqeas14oitk235763mntlb1c0brnk9w3fenzqbk313q5kvxyf52kukw1pa[Year],YEAR(Data!$A242)),"")</f>
        <v/>
      </c>
      <c r="O242" s="8" t="str">
        <f>IFERROR(VLOOKUP($A242,Text_1_2[[Text.1.1.3]:[Text.1.3]],2,FALSE),"")</f>
        <v/>
      </c>
      <c r="P242" s="2"/>
    </row>
    <row r="243" spans="1:16" x14ac:dyDescent="0.25">
      <c r="A243" s="1">
        <v>28522</v>
      </c>
      <c r="B243" t="str">
        <f>HLOOKUP(Dashboard!$I$27,results,ROW(A243),FALSE)</f>
        <v/>
      </c>
      <c r="C243">
        <f>IFERROR(VLOOKUP(A243,observations_series_id_PCU22112222112243_api_key_ecc133893ea92a842ee685c73424608[],2,FALSE),"")</f>
        <v>47.8</v>
      </c>
      <c r="D243" s="2">
        <f>IFERROR(VLOOKUP(A243,observations_series_id_PCU22112222112243_api_key_ecc133893ea92a842ee685c73424608[],3,FALSE),"")</f>
        <v>0.63598326359832635</v>
      </c>
      <c r="E243" t="str">
        <f>IFERROR(VLOOKUP($A243,observations_series_id_WPU0613020T_api_key_ecc133893ea92a842ee685c734246086_file[],2,FALSE),"")</f>
        <v/>
      </c>
      <c r="F243" s="2" t="str">
        <f>IFERROR(VLOOKUP($A243,observations_series_id_WPU0613020T_api_key_ecc133893ea92a842ee685c734246086_file[],3,FALSE),"")</f>
        <v/>
      </c>
      <c r="G243" t="str">
        <f>IFERROR(VLOOKUP($A243,observations_series_id_PCU22122212_api_key_ecc133893ea92a842ee685c734246086_file[],2,FALSE),"")</f>
        <v/>
      </c>
      <c r="H243" s="2" t="str">
        <f>IFERROR(VLOOKUP($A243,observations_series_id_PCU22122212_api_key_ecc133893ea92a842ee685c734246086_file[],3,FALSE),"")</f>
        <v/>
      </c>
      <c r="I243">
        <f>IFERROR(VLOOKUP($A243,observations_series_id_PCU3241913241910_api_key_ecc133893ea92a842ee685c734246086[],2,FALSE),"")</f>
        <v>61.3</v>
      </c>
      <c r="J243" s="2">
        <f>IFERROR(VLOOKUP($A243,observations_series_id_PCU3241913241910_api_key_ecc133893ea92a842ee685c734246086[],3,FALSE),"")</f>
        <v>0.16150081566068519</v>
      </c>
      <c r="K243">
        <f>IFERROR(VLOOKUP($A243,observations_series_id_EXJPUS_api_key_ecc133893ea92a842ee685c734246086_file_type[],2,FALSE),"")</f>
        <v>240.37219999999999</v>
      </c>
      <c r="L243" s="2">
        <f>IFERROR(VLOOKUP($A243,observations_series_id_EXJPUS_api_key_ecc133893ea92a842ee685c734246086_file_type[],3,FALSE),"")</f>
        <v>-0.48944012660365876</v>
      </c>
      <c r="M243" t="str">
        <f>IFERROR(AVERAGEIFS(timeseries_access_key_fqeas14oitk235763mntlb1c0brnk9w3fenzqbk313q5kvxyf52kukw1pa[Value.LME-ZNC],timeseries_access_key_fqeas14oitk235763mntlb1c0brnk9w3fenzqbk313q5kvxyf52kukw1pa[Month],MONTH(Data!$A243),timeseries_access_key_fqeas14oitk235763mntlb1c0brnk9w3fenzqbk313q5kvxyf52kukw1pa[Year],YEAR(Data!$A243)),"")</f>
        <v/>
      </c>
      <c r="N243" s="2" t="str">
        <f>IFERROR(AVERAGEIFS(timeseries_access_key_fqeas14oitk235763mntlb1c0brnk9w3fenzqbk313q5kvxyf52kukw1pa[Column1],timeseries_access_key_fqeas14oitk235763mntlb1c0brnk9w3fenzqbk313q5kvxyf52kukw1pa[Month],MONTH(Data!$A243),timeseries_access_key_fqeas14oitk235763mntlb1c0brnk9w3fenzqbk313q5kvxyf52kukw1pa[Year],YEAR(Data!$A243)),"")</f>
        <v/>
      </c>
      <c r="O243" s="8" t="str">
        <f>IFERROR(VLOOKUP($A243,Text_1_2[[Text.1.1.3]:[Text.1.3]],2,FALSE),"")</f>
        <v/>
      </c>
      <c r="P243" s="2"/>
    </row>
    <row r="244" spans="1:16" x14ac:dyDescent="0.25">
      <c r="A244" s="1">
        <v>28550</v>
      </c>
      <c r="B244" t="str">
        <f>HLOOKUP(Dashboard!$I$27,results,ROW(A244),FALSE)</f>
        <v/>
      </c>
      <c r="C244">
        <f>IFERROR(VLOOKUP(A244,observations_series_id_PCU22112222112243_api_key_ecc133893ea92a842ee685c73424608[],2,FALSE),"")</f>
        <v>49.6</v>
      </c>
      <c r="D244" s="2">
        <f>IFERROR(VLOOKUP(A244,observations_series_id_PCU22112222112243_api_key_ecc133893ea92a842ee685c73424608[],3,FALSE),"")</f>
        <v>0.64919354838709675</v>
      </c>
      <c r="E244" t="str">
        <f>IFERROR(VLOOKUP($A244,observations_series_id_WPU0613020T_api_key_ecc133893ea92a842ee685c734246086_file[],2,FALSE),"")</f>
        <v/>
      </c>
      <c r="F244" s="2" t="str">
        <f>IFERROR(VLOOKUP($A244,observations_series_id_WPU0613020T_api_key_ecc133893ea92a842ee685c734246086_file[],3,FALSE),"")</f>
        <v/>
      </c>
      <c r="G244" t="str">
        <f>IFERROR(VLOOKUP($A244,observations_series_id_PCU22122212_api_key_ecc133893ea92a842ee685c734246086_file[],2,FALSE),"")</f>
        <v/>
      </c>
      <c r="H244" s="2" t="str">
        <f>IFERROR(VLOOKUP($A244,observations_series_id_PCU22122212_api_key_ecc133893ea92a842ee685c734246086_file[],3,FALSE),"")</f>
        <v/>
      </c>
      <c r="I244">
        <f>IFERROR(VLOOKUP($A244,observations_series_id_PCU3241913241910_api_key_ecc133893ea92a842ee685c734246086[],2,FALSE),"")</f>
        <v>61.5</v>
      </c>
      <c r="J244" s="2">
        <f>IFERROR(VLOOKUP($A244,observations_series_id_PCU3241913241910_api_key_ecc133893ea92a842ee685c734246086[],3,FALSE),"")</f>
        <v>0.16422764227642284</v>
      </c>
      <c r="K244">
        <f>IFERROR(VLOOKUP($A244,observations_series_id_EXJPUS_api_key_ecc133893ea92a842ee685c734246086_file_type[],2,FALSE),"")</f>
        <v>231.85740000000001</v>
      </c>
      <c r="L244" s="2">
        <f>IFERROR(VLOOKUP($A244,observations_series_id_EXJPUS_api_key_ecc133893ea92a842ee685c734246086_file_type[],3,FALSE),"")</f>
        <v>-0.54413876805312222</v>
      </c>
      <c r="M244" t="str">
        <f>IFERROR(AVERAGEIFS(timeseries_access_key_fqeas14oitk235763mntlb1c0brnk9w3fenzqbk313q5kvxyf52kukw1pa[Value.LME-ZNC],timeseries_access_key_fqeas14oitk235763mntlb1c0brnk9w3fenzqbk313q5kvxyf52kukw1pa[Month],MONTH(Data!$A244),timeseries_access_key_fqeas14oitk235763mntlb1c0brnk9w3fenzqbk313q5kvxyf52kukw1pa[Year],YEAR(Data!$A244)),"")</f>
        <v/>
      </c>
      <c r="N244" s="2" t="str">
        <f>IFERROR(AVERAGEIFS(timeseries_access_key_fqeas14oitk235763mntlb1c0brnk9w3fenzqbk313q5kvxyf52kukw1pa[Column1],timeseries_access_key_fqeas14oitk235763mntlb1c0brnk9w3fenzqbk313q5kvxyf52kukw1pa[Month],MONTH(Data!$A244),timeseries_access_key_fqeas14oitk235763mntlb1c0brnk9w3fenzqbk313q5kvxyf52kukw1pa[Year],YEAR(Data!$A244)),"")</f>
        <v/>
      </c>
      <c r="O244" s="8" t="str">
        <f>IFERROR(VLOOKUP($A244,Text_1_2[[Text.1.1.3]:[Text.1.3]],2,FALSE),"")</f>
        <v/>
      </c>
      <c r="P244" s="2"/>
    </row>
    <row r="245" spans="1:16" x14ac:dyDescent="0.25">
      <c r="A245" s="1">
        <v>28581</v>
      </c>
      <c r="B245" t="str">
        <f>HLOOKUP(Dashboard!$I$27,results,ROW(A245),FALSE)</f>
        <v/>
      </c>
      <c r="C245">
        <f>IFERROR(VLOOKUP(A245,observations_series_id_PCU22112222112243_api_key_ecc133893ea92a842ee685c73424608[],2,FALSE),"")</f>
        <v>49.9</v>
      </c>
      <c r="D245" s="2">
        <f>IFERROR(VLOOKUP(A245,observations_series_id_PCU22112222112243_api_key_ecc133893ea92a842ee685c73424608[],3,FALSE),"")</f>
        <v>0.65130260521042094</v>
      </c>
      <c r="E245" t="str">
        <f>IFERROR(VLOOKUP($A245,observations_series_id_WPU0613020T_api_key_ecc133893ea92a842ee685c734246086_file[],2,FALSE),"")</f>
        <v/>
      </c>
      <c r="F245" s="2" t="str">
        <f>IFERROR(VLOOKUP($A245,observations_series_id_WPU0613020T_api_key_ecc133893ea92a842ee685c734246086_file[],3,FALSE),"")</f>
        <v/>
      </c>
      <c r="G245" t="str">
        <f>IFERROR(VLOOKUP($A245,observations_series_id_PCU22122212_api_key_ecc133893ea92a842ee685c734246086_file[],2,FALSE),"")</f>
        <v/>
      </c>
      <c r="H245" s="2" t="str">
        <f>IFERROR(VLOOKUP($A245,observations_series_id_PCU22122212_api_key_ecc133893ea92a842ee685c734246086_file[],3,FALSE),"")</f>
        <v/>
      </c>
      <c r="I245">
        <f>IFERROR(VLOOKUP($A245,observations_series_id_PCU3241913241910_api_key_ecc133893ea92a842ee685c734246086[],2,FALSE),"")</f>
        <v>61.6</v>
      </c>
      <c r="J245" s="2">
        <f>IFERROR(VLOOKUP($A245,observations_series_id_PCU3241913241910_api_key_ecc133893ea92a842ee685c734246086[],3,FALSE),"")</f>
        <v>0.16558441558441561</v>
      </c>
      <c r="K245">
        <f>IFERROR(VLOOKUP($A245,observations_series_id_EXJPUS_api_key_ecc133893ea92a842ee685c734246086_file_type[],2,FALSE),"")</f>
        <v>221.857</v>
      </c>
      <c r="L245" s="2">
        <f>IFERROR(VLOOKUP($A245,observations_series_id_EXJPUS_api_key_ecc133893ea92a842ee685c734246086_file_type[],3,FALSE),"")</f>
        <v>-0.61374218528151014</v>
      </c>
      <c r="M245" t="str">
        <f>IFERROR(AVERAGEIFS(timeseries_access_key_fqeas14oitk235763mntlb1c0brnk9w3fenzqbk313q5kvxyf52kukw1pa[Value.LME-ZNC],timeseries_access_key_fqeas14oitk235763mntlb1c0brnk9w3fenzqbk313q5kvxyf52kukw1pa[Month],MONTH(Data!$A245),timeseries_access_key_fqeas14oitk235763mntlb1c0brnk9w3fenzqbk313q5kvxyf52kukw1pa[Year],YEAR(Data!$A245)),"")</f>
        <v/>
      </c>
      <c r="N245" s="2" t="str">
        <f>IFERROR(AVERAGEIFS(timeseries_access_key_fqeas14oitk235763mntlb1c0brnk9w3fenzqbk313q5kvxyf52kukw1pa[Column1],timeseries_access_key_fqeas14oitk235763mntlb1c0brnk9w3fenzqbk313q5kvxyf52kukw1pa[Month],MONTH(Data!$A245),timeseries_access_key_fqeas14oitk235763mntlb1c0brnk9w3fenzqbk313q5kvxyf52kukw1pa[Year],YEAR(Data!$A245)),"")</f>
        <v/>
      </c>
      <c r="O245" s="8" t="str">
        <f>IFERROR(VLOOKUP($A245,Text_1_2[[Text.1.1.3]:[Text.1.3]],2,FALSE),"")</f>
        <v/>
      </c>
      <c r="P245" s="2"/>
    </row>
    <row r="246" spans="1:16" x14ac:dyDescent="0.25">
      <c r="A246" s="1">
        <v>28611</v>
      </c>
      <c r="B246" t="str">
        <f>HLOOKUP(Dashboard!$I$27,results,ROW(A246),FALSE)</f>
        <v/>
      </c>
      <c r="C246">
        <f>IFERROR(VLOOKUP(A246,observations_series_id_PCU22112222112243_api_key_ecc133893ea92a842ee685c73424608[],2,FALSE),"")</f>
        <v>50.6</v>
      </c>
      <c r="D246" s="2">
        <f>IFERROR(VLOOKUP(A246,observations_series_id_PCU22112222112243_api_key_ecc133893ea92a842ee685c73424608[],3,FALSE),"")</f>
        <v>0.65612648221343872</v>
      </c>
      <c r="E246" t="str">
        <f>IFERROR(VLOOKUP($A246,observations_series_id_WPU0613020T_api_key_ecc133893ea92a842ee685c734246086_file[],2,FALSE),"")</f>
        <v/>
      </c>
      <c r="F246" s="2" t="str">
        <f>IFERROR(VLOOKUP($A246,observations_series_id_WPU0613020T_api_key_ecc133893ea92a842ee685c734246086_file[],3,FALSE),"")</f>
        <v/>
      </c>
      <c r="G246" t="str">
        <f>IFERROR(VLOOKUP($A246,observations_series_id_PCU22122212_api_key_ecc133893ea92a842ee685c734246086_file[],2,FALSE),"")</f>
        <v/>
      </c>
      <c r="H246" s="2" t="str">
        <f>IFERROR(VLOOKUP($A246,observations_series_id_PCU22122212_api_key_ecc133893ea92a842ee685c734246086_file[],3,FALSE),"")</f>
        <v/>
      </c>
      <c r="I246">
        <f>IFERROR(VLOOKUP($A246,observations_series_id_PCU3241913241910_api_key_ecc133893ea92a842ee685c734246086[],2,FALSE),"")</f>
        <v>61.7</v>
      </c>
      <c r="J246" s="2">
        <f>IFERROR(VLOOKUP($A246,observations_series_id_PCU3241913241910_api_key_ecc133893ea92a842ee685c734246086[],3,FALSE),"")</f>
        <v>0.16693679092382507</v>
      </c>
      <c r="K246">
        <f>IFERROR(VLOOKUP($A246,observations_series_id_EXJPUS_api_key_ecc133893ea92a842ee685c734246086_file_type[],2,FALSE),"")</f>
        <v>226.17859999999999</v>
      </c>
      <c r="L246" s="2">
        <f>IFERROR(VLOOKUP($A246,observations_series_id_EXJPUS_api_key_ecc133893ea92a842ee685c734246086_file_type[],3,FALSE),"")</f>
        <v>-0.58290837417863584</v>
      </c>
      <c r="M246" t="str">
        <f>IFERROR(AVERAGEIFS(timeseries_access_key_fqeas14oitk235763mntlb1c0brnk9w3fenzqbk313q5kvxyf52kukw1pa[Value.LME-ZNC],timeseries_access_key_fqeas14oitk235763mntlb1c0brnk9w3fenzqbk313q5kvxyf52kukw1pa[Month],MONTH(Data!$A246),timeseries_access_key_fqeas14oitk235763mntlb1c0brnk9w3fenzqbk313q5kvxyf52kukw1pa[Year],YEAR(Data!$A246)),"")</f>
        <v/>
      </c>
      <c r="N246" s="2" t="str">
        <f>IFERROR(AVERAGEIFS(timeseries_access_key_fqeas14oitk235763mntlb1c0brnk9w3fenzqbk313q5kvxyf52kukw1pa[Column1],timeseries_access_key_fqeas14oitk235763mntlb1c0brnk9w3fenzqbk313q5kvxyf52kukw1pa[Month],MONTH(Data!$A246),timeseries_access_key_fqeas14oitk235763mntlb1c0brnk9w3fenzqbk313q5kvxyf52kukw1pa[Year],YEAR(Data!$A246)),"")</f>
        <v/>
      </c>
      <c r="O246" s="8" t="str">
        <f>IFERROR(VLOOKUP($A246,Text_1_2[[Text.1.1.3]:[Text.1.3]],2,FALSE),"")</f>
        <v/>
      </c>
      <c r="P246" s="2"/>
    </row>
    <row r="247" spans="1:16" x14ac:dyDescent="0.25">
      <c r="A247" s="1">
        <v>28642</v>
      </c>
      <c r="B247" t="str">
        <f>HLOOKUP(Dashboard!$I$27,results,ROW(A247),FALSE)</f>
        <v/>
      </c>
      <c r="C247">
        <f>IFERROR(VLOOKUP(A247,observations_series_id_PCU22112222112243_api_key_ecc133893ea92a842ee685c73424608[],2,FALSE),"")</f>
        <v>51</v>
      </c>
      <c r="D247" s="2">
        <f>IFERROR(VLOOKUP(A247,observations_series_id_PCU22112222112243_api_key_ecc133893ea92a842ee685c73424608[],3,FALSE),"")</f>
        <v>0.65882352941176481</v>
      </c>
      <c r="E247" t="str">
        <f>IFERROR(VLOOKUP($A247,observations_series_id_WPU0613020T_api_key_ecc133893ea92a842ee685c734246086_file[],2,FALSE),"")</f>
        <v/>
      </c>
      <c r="F247" s="2" t="str">
        <f>IFERROR(VLOOKUP($A247,observations_series_id_WPU0613020T_api_key_ecc133893ea92a842ee685c734246086_file[],3,FALSE),"")</f>
        <v/>
      </c>
      <c r="G247" t="str">
        <f>IFERROR(VLOOKUP($A247,observations_series_id_PCU22122212_api_key_ecc133893ea92a842ee685c734246086_file[],2,FALSE),"")</f>
        <v/>
      </c>
      <c r="H247" s="2" t="str">
        <f>IFERROR(VLOOKUP($A247,observations_series_id_PCU22122212_api_key_ecc133893ea92a842ee685c734246086_file[],3,FALSE),"")</f>
        <v/>
      </c>
      <c r="I247">
        <f>IFERROR(VLOOKUP($A247,observations_series_id_PCU3241913241910_api_key_ecc133893ea92a842ee685c734246086[],2,FALSE),"")</f>
        <v>62.6</v>
      </c>
      <c r="J247" s="2">
        <f>IFERROR(VLOOKUP($A247,observations_series_id_PCU3241913241910_api_key_ecc133893ea92a842ee685c734246086[],3,FALSE),"")</f>
        <v>0.17891373801916932</v>
      </c>
      <c r="K247">
        <f>IFERROR(VLOOKUP($A247,observations_series_id_EXJPUS_api_key_ecc133893ea92a842ee685c734246086_file_type[],2,FALSE),"")</f>
        <v>214.10640000000001</v>
      </c>
      <c r="L247" s="2">
        <f>IFERROR(VLOOKUP($A247,observations_series_id_EXJPUS_api_key_ecc133893ea92a842ee685c734246086_file_type[],3,FALSE),"")</f>
        <v>-0.67215926287117056</v>
      </c>
      <c r="M247" t="str">
        <f>IFERROR(AVERAGEIFS(timeseries_access_key_fqeas14oitk235763mntlb1c0brnk9w3fenzqbk313q5kvxyf52kukw1pa[Value.LME-ZNC],timeseries_access_key_fqeas14oitk235763mntlb1c0brnk9w3fenzqbk313q5kvxyf52kukw1pa[Month],MONTH(Data!$A247),timeseries_access_key_fqeas14oitk235763mntlb1c0brnk9w3fenzqbk313q5kvxyf52kukw1pa[Year],YEAR(Data!$A247)),"")</f>
        <v/>
      </c>
      <c r="N247" s="2" t="str">
        <f>IFERROR(AVERAGEIFS(timeseries_access_key_fqeas14oitk235763mntlb1c0brnk9w3fenzqbk313q5kvxyf52kukw1pa[Column1],timeseries_access_key_fqeas14oitk235763mntlb1c0brnk9w3fenzqbk313q5kvxyf52kukw1pa[Month],MONTH(Data!$A247),timeseries_access_key_fqeas14oitk235763mntlb1c0brnk9w3fenzqbk313q5kvxyf52kukw1pa[Year],YEAR(Data!$A247)),"")</f>
        <v/>
      </c>
      <c r="O247" s="8" t="str">
        <f>IFERROR(VLOOKUP($A247,Text_1_2[[Text.1.1.3]:[Text.1.3]],2,FALSE),"")</f>
        <v/>
      </c>
      <c r="P247" s="2"/>
    </row>
    <row r="248" spans="1:16" x14ac:dyDescent="0.25">
      <c r="A248" s="1">
        <v>28672</v>
      </c>
      <c r="B248" t="str">
        <f>HLOOKUP(Dashboard!$I$27,results,ROW(A248),FALSE)</f>
        <v/>
      </c>
      <c r="C248">
        <f>IFERROR(VLOOKUP(A248,observations_series_id_PCU22112222112243_api_key_ecc133893ea92a842ee685c73424608[],2,FALSE),"")</f>
        <v>50.2</v>
      </c>
      <c r="D248" s="2">
        <f>IFERROR(VLOOKUP(A248,observations_series_id_PCU22112222112243_api_key_ecc133893ea92a842ee685c73424608[],3,FALSE),"")</f>
        <v>0.65338645418326702</v>
      </c>
      <c r="E248" t="str">
        <f>IFERROR(VLOOKUP($A248,observations_series_id_WPU0613020T_api_key_ecc133893ea92a842ee685c734246086_file[],2,FALSE),"")</f>
        <v/>
      </c>
      <c r="F248" s="2" t="str">
        <f>IFERROR(VLOOKUP($A248,observations_series_id_WPU0613020T_api_key_ecc133893ea92a842ee685c734246086_file[],3,FALSE),"")</f>
        <v/>
      </c>
      <c r="G248" t="str">
        <f>IFERROR(VLOOKUP($A248,observations_series_id_PCU22122212_api_key_ecc133893ea92a842ee685c734246086_file[],2,FALSE),"")</f>
        <v/>
      </c>
      <c r="H248" s="2" t="str">
        <f>IFERROR(VLOOKUP($A248,observations_series_id_PCU22122212_api_key_ecc133893ea92a842ee685c734246086_file[],3,FALSE),"")</f>
        <v/>
      </c>
      <c r="I248">
        <f>IFERROR(VLOOKUP($A248,observations_series_id_PCU3241913241910_api_key_ecc133893ea92a842ee685c734246086[],2,FALSE),"")</f>
        <v>63.6</v>
      </c>
      <c r="J248" s="2">
        <f>IFERROR(VLOOKUP($A248,observations_series_id_PCU3241913241910_api_key_ecc133893ea92a842ee685c734246086[],3,FALSE),"")</f>
        <v>0.19182389937106925</v>
      </c>
      <c r="K248">
        <f>IFERROR(VLOOKUP($A248,observations_series_id_EXJPUS_api_key_ecc133893ea92a842ee685c734246086_file_type[],2,FALSE),"")</f>
        <v>199.69550000000001</v>
      </c>
      <c r="L248" s="2">
        <f>IFERROR(VLOOKUP($A248,observations_series_id_EXJPUS_api_key_ecc133893ea92a842ee685c734246086_file_type[],3,FALSE),"")</f>
        <v>-0.79282958304017859</v>
      </c>
      <c r="M248" t="str">
        <f>IFERROR(AVERAGEIFS(timeseries_access_key_fqeas14oitk235763mntlb1c0brnk9w3fenzqbk313q5kvxyf52kukw1pa[Value.LME-ZNC],timeseries_access_key_fqeas14oitk235763mntlb1c0brnk9w3fenzqbk313q5kvxyf52kukw1pa[Month],MONTH(Data!$A248),timeseries_access_key_fqeas14oitk235763mntlb1c0brnk9w3fenzqbk313q5kvxyf52kukw1pa[Year],YEAR(Data!$A248)),"")</f>
        <v/>
      </c>
      <c r="N248" s="2" t="str">
        <f>IFERROR(AVERAGEIFS(timeseries_access_key_fqeas14oitk235763mntlb1c0brnk9w3fenzqbk313q5kvxyf52kukw1pa[Column1],timeseries_access_key_fqeas14oitk235763mntlb1c0brnk9w3fenzqbk313q5kvxyf52kukw1pa[Month],MONTH(Data!$A248),timeseries_access_key_fqeas14oitk235763mntlb1c0brnk9w3fenzqbk313q5kvxyf52kukw1pa[Year],YEAR(Data!$A248)),"")</f>
        <v/>
      </c>
      <c r="O248" s="8" t="str">
        <f>IFERROR(VLOOKUP($A248,Text_1_2[[Text.1.1.3]:[Text.1.3]],2,FALSE),"")</f>
        <v/>
      </c>
      <c r="P248" s="2"/>
    </row>
    <row r="249" spans="1:16" x14ac:dyDescent="0.25">
      <c r="A249" s="1">
        <v>28703</v>
      </c>
      <c r="B249" t="str">
        <f>HLOOKUP(Dashboard!$I$27,results,ROW(A249),FALSE)</f>
        <v/>
      </c>
      <c r="C249">
        <f>IFERROR(VLOOKUP(A249,observations_series_id_PCU22112222112243_api_key_ecc133893ea92a842ee685c73424608[],2,FALSE),"")</f>
        <v>50</v>
      </c>
      <c r="D249" s="2">
        <f>IFERROR(VLOOKUP(A249,observations_series_id_PCU22112222112243_api_key_ecc133893ea92a842ee685c73424608[],3,FALSE),"")</f>
        <v>0.65200000000000002</v>
      </c>
      <c r="E249" t="str">
        <f>IFERROR(VLOOKUP($A249,observations_series_id_WPU0613020T_api_key_ecc133893ea92a842ee685c734246086_file[],2,FALSE),"")</f>
        <v/>
      </c>
      <c r="F249" s="2" t="str">
        <f>IFERROR(VLOOKUP($A249,observations_series_id_WPU0613020T_api_key_ecc133893ea92a842ee685c734246086_file[],3,FALSE),"")</f>
        <v/>
      </c>
      <c r="G249" t="str">
        <f>IFERROR(VLOOKUP($A249,observations_series_id_PCU22122212_api_key_ecc133893ea92a842ee685c734246086_file[],2,FALSE),"")</f>
        <v/>
      </c>
      <c r="H249" s="2" t="str">
        <f>IFERROR(VLOOKUP($A249,observations_series_id_PCU22122212_api_key_ecc133893ea92a842ee685c734246086_file[],3,FALSE),"")</f>
        <v/>
      </c>
      <c r="I249">
        <f>IFERROR(VLOOKUP($A249,observations_series_id_PCU3241913241910_api_key_ecc133893ea92a842ee685c734246086[],2,FALSE),"")</f>
        <v>63.6</v>
      </c>
      <c r="J249" s="2">
        <f>IFERROR(VLOOKUP($A249,observations_series_id_PCU3241913241910_api_key_ecc133893ea92a842ee685c734246086[],3,FALSE),"")</f>
        <v>0.19182389937106925</v>
      </c>
      <c r="K249">
        <f>IFERROR(VLOOKUP($A249,observations_series_id_EXJPUS_api_key_ecc133893ea92a842ee685c734246086_file_type[],2,FALSE),"")</f>
        <v>188.70959999999999</v>
      </c>
      <c r="L249" s="2">
        <f>IFERROR(VLOOKUP($A249,observations_series_id_EXJPUS_api_key_ecc133893ea92a842ee685c734246086_file_type[],3,FALSE),"")</f>
        <v>-0.89720077833878076</v>
      </c>
      <c r="M249" t="str">
        <f>IFERROR(AVERAGEIFS(timeseries_access_key_fqeas14oitk235763mntlb1c0brnk9w3fenzqbk313q5kvxyf52kukw1pa[Value.LME-ZNC],timeseries_access_key_fqeas14oitk235763mntlb1c0brnk9w3fenzqbk313q5kvxyf52kukw1pa[Month],MONTH(Data!$A249),timeseries_access_key_fqeas14oitk235763mntlb1c0brnk9w3fenzqbk313q5kvxyf52kukw1pa[Year],YEAR(Data!$A249)),"")</f>
        <v/>
      </c>
      <c r="N249" s="2" t="str">
        <f>IFERROR(AVERAGEIFS(timeseries_access_key_fqeas14oitk235763mntlb1c0brnk9w3fenzqbk313q5kvxyf52kukw1pa[Column1],timeseries_access_key_fqeas14oitk235763mntlb1c0brnk9w3fenzqbk313q5kvxyf52kukw1pa[Month],MONTH(Data!$A249),timeseries_access_key_fqeas14oitk235763mntlb1c0brnk9w3fenzqbk313q5kvxyf52kukw1pa[Year],YEAR(Data!$A249)),"")</f>
        <v/>
      </c>
      <c r="O249" s="8" t="str">
        <f>IFERROR(VLOOKUP($A249,Text_1_2[[Text.1.1.3]:[Text.1.3]],2,FALSE),"")</f>
        <v/>
      </c>
      <c r="P249" s="2"/>
    </row>
    <row r="250" spans="1:16" x14ac:dyDescent="0.25">
      <c r="A250" s="1">
        <v>28734</v>
      </c>
      <c r="B250" t="str">
        <f>HLOOKUP(Dashboard!$I$27,results,ROW(A250),FALSE)</f>
        <v/>
      </c>
      <c r="C250">
        <f>IFERROR(VLOOKUP(A250,observations_series_id_PCU22112222112243_api_key_ecc133893ea92a842ee685c73424608[],2,FALSE),"")</f>
        <v>49.7</v>
      </c>
      <c r="D250" s="2">
        <f>IFERROR(VLOOKUP(A250,observations_series_id_PCU22112222112243_api_key_ecc133893ea92a842ee685c73424608[],3,FALSE),"")</f>
        <v>0.64989939637826966</v>
      </c>
      <c r="E250" t="str">
        <f>IFERROR(VLOOKUP($A250,observations_series_id_WPU0613020T_api_key_ecc133893ea92a842ee685c734246086_file[],2,FALSE),"")</f>
        <v/>
      </c>
      <c r="F250" s="2" t="str">
        <f>IFERROR(VLOOKUP($A250,observations_series_id_WPU0613020T_api_key_ecc133893ea92a842ee685c734246086_file[],3,FALSE),"")</f>
        <v/>
      </c>
      <c r="G250" t="str">
        <f>IFERROR(VLOOKUP($A250,observations_series_id_PCU22122212_api_key_ecc133893ea92a842ee685c734246086_file[],2,FALSE),"")</f>
        <v/>
      </c>
      <c r="H250" s="2" t="str">
        <f>IFERROR(VLOOKUP($A250,observations_series_id_PCU22122212_api_key_ecc133893ea92a842ee685c734246086_file[],3,FALSE),"")</f>
        <v/>
      </c>
      <c r="I250">
        <f>IFERROR(VLOOKUP($A250,observations_series_id_PCU3241913241910_api_key_ecc133893ea92a842ee685c734246086[],2,FALSE),"")</f>
        <v>62.4</v>
      </c>
      <c r="J250" s="2">
        <f>IFERROR(VLOOKUP($A250,observations_series_id_PCU3241913241910_api_key_ecc133893ea92a842ee685c734246086[],3,FALSE),"")</f>
        <v>0.17628205128205132</v>
      </c>
      <c r="K250">
        <f>IFERROR(VLOOKUP($A250,observations_series_id_EXJPUS_api_key_ecc133893ea92a842ee685c734246086_file_type[],2,FALSE),"")</f>
        <v>189.9195</v>
      </c>
      <c r="L250" s="2">
        <f>IFERROR(VLOOKUP($A250,observations_series_id_EXJPUS_api_key_ecc133893ea92a842ee685c734246086_file_type[],3,FALSE),"")</f>
        <v>-0.885114482715045</v>
      </c>
      <c r="M250" t="str">
        <f>IFERROR(AVERAGEIFS(timeseries_access_key_fqeas14oitk235763mntlb1c0brnk9w3fenzqbk313q5kvxyf52kukw1pa[Value.LME-ZNC],timeseries_access_key_fqeas14oitk235763mntlb1c0brnk9w3fenzqbk313q5kvxyf52kukw1pa[Month],MONTH(Data!$A250),timeseries_access_key_fqeas14oitk235763mntlb1c0brnk9w3fenzqbk313q5kvxyf52kukw1pa[Year],YEAR(Data!$A250)),"")</f>
        <v/>
      </c>
      <c r="N250" s="2" t="str">
        <f>IFERROR(AVERAGEIFS(timeseries_access_key_fqeas14oitk235763mntlb1c0brnk9w3fenzqbk313q5kvxyf52kukw1pa[Column1],timeseries_access_key_fqeas14oitk235763mntlb1c0brnk9w3fenzqbk313q5kvxyf52kukw1pa[Month],MONTH(Data!$A250),timeseries_access_key_fqeas14oitk235763mntlb1c0brnk9w3fenzqbk313q5kvxyf52kukw1pa[Year],YEAR(Data!$A250)),"")</f>
        <v/>
      </c>
      <c r="O250" s="8" t="str">
        <f>IFERROR(VLOOKUP($A250,Text_1_2[[Text.1.1.3]:[Text.1.3]],2,FALSE),"")</f>
        <v/>
      </c>
      <c r="P250" s="2"/>
    </row>
    <row r="251" spans="1:16" x14ac:dyDescent="0.25">
      <c r="A251" s="1">
        <v>28764</v>
      </c>
      <c r="B251" t="str">
        <f>HLOOKUP(Dashboard!$I$27,results,ROW(A251),FALSE)</f>
        <v/>
      </c>
      <c r="C251">
        <f>IFERROR(VLOOKUP(A251,observations_series_id_PCU22112222112243_api_key_ecc133893ea92a842ee685c73424608[],2,FALSE),"")</f>
        <v>50.1</v>
      </c>
      <c r="D251" s="2">
        <f>IFERROR(VLOOKUP(A251,observations_series_id_PCU22112222112243_api_key_ecc133893ea92a842ee685c73424608[],3,FALSE),"")</f>
        <v>0.65269461077844315</v>
      </c>
      <c r="E251" t="str">
        <f>IFERROR(VLOOKUP($A251,observations_series_id_WPU0613020T_api_key_ecc133893ea92a842ee685c734246086_file[],2,FALSE),"")</f>
        <v/>
      </c>
      <c r="F251" s="2" t="str">
        <f>IFERROR(VLOOKUP($A251,observations_series_id_WPU0613020T_api_key_ecc133893ea92a842ee685c734246086_file[],3,FALSE),"")</f>
        <v/>
      </c>
      <c r="G251" t="str">
        <f>IFERROR(VLOOKUP($A251,observations_series_id_PCU22122212_api_key_ecc133893ea92a842ee685c734246086_file[],2,FALSE),"")</f>
        <v/>
      </c>
      <c r="H251" s="2" t="str">
        <f>IFERROR(VLOOKUP($A251,observations_series_id_PCU22122212_api_key_ecc133893ea92a842ee685c734246086_file[],3,FALSE),"")</f>
        <v/>
      </c>
      <c r="I251">
        <f>IFERROR(VLOOKUP($A251,observations_series_id_PCU3241913241910_api_key_ecc133893ea92a842ee685c734246086[],2,FALSE),"")</f>
        <v>64.8</v>
      </c>
      <c r="J251" s="2">
        <f>IFERROR(VLOOKUP($A251,observations_series_id_PCU3241913241910_api_key_ecc133893ea92a842ee685c734246086[],3,FALSE),"")</f>
        <v>0.20679012345679015</v>
      </c>
      <c r="K251">
        <f>IFERROR(VLOOKUP($A251,observations_series_id_EXJPUS_api_key_ecc133893ea92a842ee685c734246086_file_type[],2,FALSE),"")</f>
        <v>183.631</v>
      </c>
      <c r="L251" s="2">
        <f>IFERROR(VLOOKUP($A251,observations_series_id_EXJPUS_api_key_ecc133893ea92a842ee685c734246086_file_type[],3,FALSE),"")</f>
        <v>-0.94967080721664643</v>
      </c>
      <c r="M251" t="str">
        <f>IFERROR(AVERAGEIFS(timeseries_access_key_fqeas14oitk235763mntlb1c0brnk9w3fenzqbk313q5kvxyf52kukw1pa[Value.LME-ZNC],timeseries_access_key_fqeas14oitk235763mntlb1c0brnk9w3fenzqbk313q5kvxyf52kukw1pa[Month],MONTH(Data!$A251),timeseries_access_key_fqeas14oitk235763mntlb1c0brnk9w3fenzqbk313q5kvxyf52kukw1pa[Year],YEAR(Data!$A251)),"")</f>
        <v/>
      </c>
      <c r="N251" s="2" t="str">
        <f>IFERROR(AVERAGEIFS(timeseries_access_key_fqeas14oitk235763mntlb1c0brnk9w3fenzqbk313q5kvxyf52kukw1pa[Column1],timeseries_access_key_fqeas14oitk235763mntlb1c0brnk9w3fenzqbk313q5kvxyf52kukw1pa[Month],MONTH(Data!$A251),timeseries_access_key_fqeas14oitk235763mntlb1c0brnk9w3fenzqbk313q5kvxyf52kukw1pa[Year],YEAR(Data!$A251)),"")</f>
        <v/>
      </c>
      <c r="O251" s="8" t="str">
        <f>IFERROR(VLOOKUP($A251,Text_1_2[[Text.1.1.3]:[Text.1.3]],2,FALSE),"")</f>
        <v/>
      </c>
      <c r="P251" s="2"/>
    </row>
    <row r="252" spans="1:16" x14ac:dyDescent="0.25">
      <c r="A252" s="1">
        <v>28795</v>
      </c>
      <c r="B252" t="str">
        <f>HLOOKUP(Dashboard!$I$27,results,ROW(A252),FALSE)</f>
        <v/>
      </c>
      <c r="C252">
        <f>IFERROR(VLOOKUP(A252,observations_series_id_PCU22112222112243_api_key_ecc133893ea92a842ee685c73424608[],2,FALSE),"")</f>
        <v>50</v>
      </c>
      <c r="D252" s="2">
        <f>IFERROR(VLOOKUP(A252,observations_series_id_PCU22112222112243_api_key_ecc133893ea92a842ee685c73424608[],3,FALSE),"")</f>
        <v>0.65200000000000002</v>
      </c>
      <c r="E252" t="str">
        <f>IFERROR(VLOOKUP($A252,observations_series_id_WPU0613020T_api_key_ecc133893ea92a842ee685c734246086_file[],2,FALSE),"")</f>
        <v/>
      </c>
      <c r="F252" s="2" t="str">
        <f>IFERROR(VLOOKUP($A252,observations_series_id_WPU0613020T_api_key_ecc133893ea92a842ee685c734246086_file[],3,FALSE),"")</f>
        <v/>
      </c>
      <c r="G252" t="str">
        <f>IFERROR(VLOOKUP($A252,observations_series_id_PCU22122212_api_key_ecc133893ea92a842ee685c734246086_file[],2,FALSE),"")</f>
        <v/>
      </c>
      <c r="H252" s="2" t="str">
        <f>IFERROR(VLOOKUP($A252,observations_series_id_PCU22122212_api_key_ecc133893ea92a842ee685c734246086_file[],3,FALSE),"")</f>
        <v/>
      </c>
      <c r="I252">
        <f>IFERROR(VLOOKUP($A252,observations_series_id_PCU3241913241910_api_key_ecc133893ea92a842ee685c734246086[],2,FALSE),"")</f>
        <v>64.900000000000006</v>
      </c>
      <c r="J252" s="2">
        <f>IFERROR(VLOOKUP($A252,observations_series_id_PCU3241913241910_api_key_ecc133893ea92a842ee685c734246086[],3,FALSE),"")</f>
        <v>0.20801232665639457</v>
      </c>
      <c r="K252">
        <f>IFERROR(VLOOKUP($A252,observations_series_id_EXJPUS_api_key_ecc133893ea92a842ee685c734246086_file_type[],2,FALSE),"")</f>
        <v>192.14250000000001</v>
      </c>
      <c r="L252" s="2">
        <f>IFERROR(VLOOKUP($A252,observations_series_id_EXJPUS_api_key_ecc133893ea92a842ee685c734246086_file_type[],3,FALSE),"")</f>
        <v>-0.86330457863304555</v>
      </c>
      <c r="M252" t="str">
        <f>IFERROR(AVERAGEIFS(timeseries_access_key_fqeas14oitk235763mntlb1c0brnk9w3fenzqbk313q5kvxyf52kukw1pa[Value.LME-ZNC],timeseries_access_key_fqeas14oitk235763mntlb1c0brnk9w3fenzqbk313q5kvxyf52kukw1pa[Month],MONTH(Data!$A252),timeseries_access_key_fqeas14oitk235763mntlb1c0brnk9w3fenzqbk313q5kvxyf52kukw1pa[Year],YEAR(Data!$A252)),"")</f>
        <v/>
      </c>
      <c r="N252" s="2" t="str">
        <f>IFERROR(AVERAGEIFS(timeseries_access_key_fqeas14oitk235763mntlb1c0brnk9w3fenzqbk313q5kvxyf52kukw1pa[Column1],timeseries_access_key_fqeas14oitk235763mntlb1c0brnk9w3fenzqbk313q5kvxyf52kukw1pa[Month],MONTH(Data!$A252),timeseries_access_key_fqeas14oitk235763mntlb1c0brnk9w3fenzqbk313q5kvxyf52kukw1pa[Year],YEAR(Data!$A252)),"")</f>
        <v/>
      </c>
      <c r="O252" s="8" t="str">
        <f>IFERROR(VLOOKUP($A252,Text_1_2[[Text.1.1.3]:[Text.1.3]],2,FALSE),"")</f>
        <v/>
      </c>
      <c r="P252" s="2"/>
    </row>
    <row r="253" spans="1:16" x14ac:dyDescent="0.25">
      <c r="A253" s="1">
        <v>28825</v>
      </c>
      <c r="B253" t="str">
        <f>HLOOKUP(Dashboard!$I$27,results,ROW(A253),FALSE)</f>
        <v/>
      </c>
      <c r="C253">
        <f>IFERROR(VLOOKUP(A253,observations_series_id_PCU22112222112243_api_key_ecc133893ea92a842ee685c73424608[],2,FALSE),"")</f>
        <v>50.2</v>
      </c>
      <c r="D253" s="2">
        <f>IFERROR(VLOOKUP(A253,observations_series_id_PCU22112222112243_api_key_ecc133893ea92a842ee685c73424608[],3,FALSE),"")</f>
        <v>0.65338645418326702</v>
      </c>
      <c r="E253" t="str">
        <f>IFERROR(VLOOKUP($A253,observations_series_id_WPU0613020T_api_key_ecc133893ea92a842ee685c734246086_file[],2,FALSE),"")</f>
        <v/>
      </c>
      <c r="F253" s="2" t="str">
        <f>IFERROR(VLOOKUP($A253,observations_series_id_WPU0613020T_api_key_ecc133893ea92a842ee685c734246086_file[],3,FALSE),"")</f>
        <v/>
      </c>
      <c r="G253" t="str">
        <f>IFERROR(VLOOKUP($A253,observations_series_id_PCU22122212_api_key_ecc133893ea92a842ee685c734246086_file[],2,FALSE),"")</f>
        <v/>
      </c>
      <c r="H253" s="2" t="str">
        <f>IFERROR(VLOOKUP($A253,observations_series_id_PCU22122212_api_key_ecc133893ea92a842ee685c734246086_file[],3,FALSE),"")</f>
        <v/>
      </c>
      <c r="I253">
        <f>IFERROR(VLOOKUP($A253,observations_series_id_PCU3241913241910_api_key_ecc133893ea92a842ee685c734246086[],2,FALSE),"")</f>
        <v>64.900000000000006</v>
      </c>
      <c r="J253" s="2">
        <f>IFERROR(VLOOKUP($A253,observations_series_id_PCU3241913241910_api_key_ecc133893ea92a842ee685c734246086[],3,FALSE),"")</f>
        <v>0.20801232665639457</v>
      </c>
      <c r="K253">
        <f>IFERROR(VLOOKUP($A253,observations_series_id_EXJPUS_api_key_ecc133893ea92a842ee685c734246086_file_type[],2,FALSE),"")</f>
        <v>195.95500000000001</v>
      </c>
      <c r="L253" s="2">
        <f>IFERROR(VLOOKUP($A253,observations_series_id_EXJPUS_api_key_ecc133893ea92a842ee685c734246086_file_type[],3,FALSE),"")</f>
        <v>-0.82705212931540384</v>
      </c>
      <c r="M253" t="str">
        <f>IFERROR(AVERAGEIFS(timeseries_access_key_fqeas14oitk235763mntlb1c0brnk9w3fenzqbk313q5kvxyf52kukw1pa[Value.LME-ZNC],timeseries_access_key_fqeas14oitk235763mntlb1c0brnk9w3fenzqbk313q5kvxyf52kukw1pa[Month],MONTH(Data!$A253),timeseries_access_key_fqeas14oitk235763mntlb1c0brnk9w3fenzqbk313q5kvxyf52kukw1pa[Year],YEAR(Data!$A253)),"")</f>
        <v/>
      </c>
      <c r="N253" s="2" t="str">
        <f>IFERROR(AVERAGEIFS(timeseries_access_key_fqeas14oitk235763mntlb1c0brnk9w3fenzqbk313q5kvxyf52kukw1pa[Column1],timeseries_access_key_fqeas14oitk235763mntlb1c0brnk9w3fenzqbk313q5kvxyf52kukw1pa[Month],MONTH(Data!$A253),timeseries_access_key_fqeas14oitk235763mntlb1c0brnk9w3fenzqbk313q5kvxyf52kukw1pa[Year],YEAR(Data!$A253)),"")</f>
        <v/>
      </c>
      <c r="O253" s="8" t="str">
        <f>IFERROR(VLOOKUP($A253,Text_1_2[[Text.1.1.3]:[Text.1.3]],2,FALSE),"")</f>
        <v/>
      </c>
      <c r="P253" s="2"/>
    </row>
    <row r="254" spans="1:16" x14ac:dyDescent="0.25">
      <c r="A254" s="1">
        <v>28856</v>
      </c>
      <c r="B254" t="str">
        <f>HLOOKUP(Dashboard!$I$27,results,ROW(A254),FALSE)</f>
        <v/>
      </c>
      <c r="C254">
        <f>IFERROR(VLOOKUP(A254,observations_series_id_PCU22112222112243_api_key_ecc133893ea92a842ee685c73424608[],2,FALSE),"")</f>
        <v>50.4</v>
      </c>
      <c r="D254" s="2">
        <f>IFERROR(VLOOKUP(A254,observations_series_id_PCU22112222112243_api_key_ecc133893ea92a842ee685c73424608[],3,FALSE),"")</f>
        <v>0.65476190476190477</v>
      </c>
      <c r="E254" t="str">
        <f>IFERROR(VLOOKUP($A254,observations_series_id_WPU0613020T_api_key_ecc133893ea92a842ee685c734246086_file[],2,FALSE),"")</f>
        <v/>
      </c>
      <c r="F254" s="2" t="str">
        <f>IFERROR(VLOOKUP($A254,observations_series_id_WPU0613020T_api_key_ecc133893ea92a842ee685c734246086_file[],3,FALSE),"")</f>
        <v/>
      </c>
      <c r="G254" t="str">
        <f>IFERROR(VLOOKUP($A254,observations_series_id_PCU22122212_api_key_ecc133893ea92a842ee685c734246086_file[],2,FALSE),"")</f>
        <v/>
      </c>
      <c r="H254" s="2" t="str">
        <f>IFERROR(VLOOKUP($A254,observations_series_id_PCU22122212_api_key_ecc133893ea92a842ee685c734246086_file[],3,FALSE),"")</f>
        <v/>
      </c>
      <c r="I254">
        <f>IFERROR(VLOOKUP($A254,observations_series_id_PCU3241913241910_api_key_ecc133893ea92a842ee685c734246086[],2,FALSE),"")</f>
        <v>66.5</v>
      </c>
      <c r="J254" s="2">
        <f>IFERROR(VLOOKUP($A254,observations_series_id_PCU3241913241910_api_key_ecc133893ea92a842ee685c734246086[],3,FALSE),"")</f>
        <v>0.22706766917293231</v>
      </c>
      <c r="K254">
        <f>IFERROR(VLOOKUP($A254,observations_series_id_EXJPUS_api_key_ecc133893ea92a842ee685c734246086_file_type[],2,FALSE),"")</f>
        <v>197.755</v>
      </c>
      <c r="L254" s="2">
        <f>IFERROR(VLOOKUP($A254,observations_series_id_EXJPUS_api_key_ecc133893ea92a842ee685c734246086_file_type[],3,FALSE),"")</f>
        <v>-0.81042198680185074</v>
      </c>
      <c r="M254" t="str">
        <f>IFERROR(AVERAGEIFS(timeseries_access_key_fqeas14oitk235763mntlb1c0brnk9w3fenzqbk313q5kvxyf52kukw1pa[Value.LME-ZNC],timeseries_access_key_fqeas14oitk235763mntlb1c0brnk9w3fenzqbk313q5kvxyf52kukw1pa[Month],MONTH(Data!$A254),timeseries_access_key_fqeas14oitk235763mntlb1c0brnk9w3fenzqbk313q5kvxyf52kukw1pa[Year],YEAR(Data!$A254)),"")</f>
        <v/>
      </c>
      <c r="N254" s="2" t="str">
        <f>IFERROR(AVERAGEIFS(timeseries_access_key_fqeas14oitk235763mntlb1c0brnk9w3fenzqbk313q5kvxyf52kukw1pa[Column1],timeseries_access_key_fqeas14oitk235763mntlb1c0brnk9w3fenzqbk313q5kvxyf52kukw1pa[Month],MONTH(Data!$A254),timeseries_access_key_fqeas14oitk235763mntlb1c0brnk9w3fenzqbk313q5kvxyf52kukw1pa[Year],YEAR(Data!$A254)),"")</f>
        <v/>
      </c>
      <c r="O254" s="8" t="str">
        <f>IFERROR(VLOOKUP($A254,Text_1_2[[Text.1.1.3]:[Text.1.3]],2,FALSE),"")</f>
        <v/>
      </c>
      <c r="P254" s="2"/>
    </row>
    <row r="255" spans="1:16" x14ac:dyDescent="0.25">
      <c r="A255" s="1">
        <v>28887</v>
      </c>
      <c r="B255" t="str">
        <f>HLOOKUP(Dashboard!$I$27,results,ROW(A255),FALSE)</f>
        <v/>
      </c>
      <c r="C255">
        <f>IFERROR(VLOOKUP(A255,observations_series_id_PCU22112222112243_api_key_ecc133893ea92a842ee685c73424608[],2,FALSE),"")</f>
        <v>50.4</v>
      </c>
      <c r="D255" s="2">
        <f>IFERROR(VLOOKUP(A255,observations_series_id_PCU22112222112243_api_key_ecc133893ea92a842ee685c73424608[],3,FALSE),"")</f>
        <v>0.65476190476190477</v>
      </c>
      <c r="E255" t="str">
        <f>IFERROR(VLOOKUP($A255,observations_series_id_WPU0613020T_api_key_ecc133893ea92a842ee685c734246086_file[],2,FALSE),"")</f>
        <v/>
      </c>
      <c r="F255" s="2" t="str">
        <f>IFERROR(VLOOKUP($A255,observations_series_id_WPU0613020T_api_key_ecc133893ea92a842ee685c734246086_file[],3,FALSE),"")</f>
        <v/>
      </c>
      <c r="G255" t="str">
        <f>IFERROR(VLOOKUP($A255,observations_series_id_PCU22122212_api_key_ecc133893ea92a842ee685c734246086_file[],2,FALSE),"")</f>
        <v/>
      </c>
      <c r="H255" s="2" t="str">
        <f>IFERROR(VLOOKUP($A255,observations_series_id_PCU22122212_api_key_ecc133893ea92a842ee685c734246086_file[],3,FALSE),"")</f>
        <v/>
      </c>
      <c r="I255">
        <f>IFERROR(VLOOKUP($A255,observations_series_id_PCU3241913241910_api_key_ecc133893ea92a842ee685c734246086[],2,FALSE),"")</f>
        <v>67</v>
      </c>
      <c r="J255" s="2">
        <f>IFERROR(VLOOKUP($A255,observations_series_id_PCU3241913241910_api_key_ecc133893ea92a842ee685c734246086[],3,FALSE),"")</f>
        <v>0.23283582089552246</v>
      </c>
      <c r="K255">
        <f>IFERROR(VLOOKUP($A255,observations_series_id_EXJPUS_api_key_ecc133893ea92a842ee685c734246086_file_type[],2,FALSE),"")</f>
        <v>200.50720000000001</v>
      </c>
      <c r="L255" s="2">
        <f>IFERROR(VLOOKUP($A255,observations_series_id_EXJPUS_api_key_ecc133893ea92a842ee685c734246086_file_type[],3,FALSE),"")</f>
        <v>-0.7855717899407102</v>
      </c>
      <c r="M255" t="str">
        <f>IFERROR(AVERAGEIFS(timeseries_access_key_fqeas14oitk235763mntlb1c0brnk9w3fenzqbk313q5kvxyf52kukw1pa[Value.LME-ZNC],timeseries_access_key_fqeas14oitk235763mntlb1c0brnk9w3fenzqbk313q5kvxyf52kukw1pa[Month],MONTH(Data!$A255),timeseries_access_key_fqeas14oitk235763mntlb1c0brnk9w3fenzqbk313q5kvxyf52kukw1pa[Year],YEAR(Data!$A255)),"")</f>
        <v/>
      </c>
      <c r="N255" s="2" t="str">
        <f>IFERROR(AVERAGEIFS(timeseries_access_key_fqeas14oitk235763mntlb1c0brnk9w3fenzqbk313q5kvxyf52kukw1pa[Column1],timeseries_access_key_fqeas14oitk235763mntlb1c0brnk9w3fenzqbk313q5kvxyf52kukw1pa[Month],MONTH(Data!$A255),timeseries_access_key_fqeas14oitk235763mntlb1c0brnk9w3fenzqbk313q5kvxyf52kukw1pa[Year],YEAR(Data!$A255)),"")</f>
        <v/>
      </c>
      <c r="O255" s="8" t="str">
        <f>IFERROR(VLOOKUP($A255,Text_1_2[[Text.1.1.3]:[Text.1.3]],2,FALSE),"")</f>
        <v/>
      </c>
      <c r="P255" s="2"/>
    </row>
    <row r="256" spans="1:16" x14ac:dyDescent="0.25">
      <c r="A256" s="1">
        <v>28915</v>
      </c>
      <c r="B256" t="str">
        <f>HLOOKUP(Dashboard!$I$27,results,ROW(A256),FALSE)</f>
        <v/>
      </c>
      <c r="C256">
        <f>IFERROR(VLOOKUP(A256,observations_series_id_PCU22112222112243_api_key_ecc133893ea92a842ee685c73424608[],2,FALSE),"")</f>
        <v>51.9</v>
      </c>
      <c r="D256" s="2">
        <f>IFERROR(VLOOKUP(A256,observations_series_id_PCU22112222112243_api_key_ecc133893ea92a842ee685c73424608[],3,FALSE),"")</f>
        <v>0.66473988439306364</v>
      </c>
      <c r="E256" t="str">
        <f>IFERROR(VLOOKUP($A256,observations_series_id_WPU0613020T_api_key_ecc133893ea92a842ee685c734246086_file[],2,FALSE),"")</f>
        <v/>
      </c>
      <c r="F256" s="2" t="str">
        <f>IFERROR(VLOOKUP($A256,observations_series_id_WPU0613020T_api_key_ecc133893ea92a842ee685c734246086_file[],3,FALSE),"")</f>
        <v/>
      </c>
      <c r="G256" t="str">
        <f>IFERROR(VLOOKUP($A256,observations_series_id_PCU22122212_api_key_ecc133893ea92a842ee685c734246086_file[],2,FALSE),"")</f>
        <v/>
      </c>
      <c r="H256" s="2" t="str">
        <f>IFERROR(VLOOKUP($A256,observations_series_id_PCU22122212_api_key_ecc133893ea92a842ee685c734246086_file[],3,FALSE),"")</f>
        <v/>
      </c>
      <c r="I256">
        <f>IFERROR(VLOOKUP($A256,observations_series_id_PCU3241913241910_api_key_ecc133893ea92a842ee685c734246086[],2,FALSE),"")</f>
        <v>68.2</v>
      </c>
      <c r="J256" s="2">
        <f>IFERROR(VLOOKUP($A256,observations_series_id_PCU3241913241910_api_key_ecc133893ea92a842ee685c734246086[],3,FALSE),"")</f>
        <v>0.24633431085043989</v>
      </c>
      <c r="K256">
        <f>IFERROR(VLOOKUP($A256,observations_series_id_EXJPUS_api_key_ecc133893ea92a842ee685c734246086_file_type[],2,FALSE),"")</f>
        <v>206.3236</v>
      </c>
      <c r="L256" s="2">
        <f>IFERROR(VLOOKUP($A256,observations_series_id_EXJPUS_api_key_ecc133893ea92a842ee685c734246086_file_type[],3,FALSE),"")</f>
        <v>-0.7352353293564089</v>
      </c>
      <c r="M256" t="str">
        <f>IFERROR(AVERAGEIFS(timeseries_access_key_fqeas14oitk235763mntlb1c0brnk9w3fenzqbk313q5kvxyf52kukw1pa[Value.LME-ZNC],timeseries_access_key_fqeas14oitk235763mntlb1c0brnk9w3fenzqbk313q5kvxyf52kukw1pa[Month],MONTH(Data!$A256),timeseries_access_key_fqeas14oitk235763mntlb1c0brnk9w3fenzqbk313q5kvxyf52kukw1pa[Year],YEAR(Data!$A256)),"")</f>
        <v/>
      </c>
      <c r="N256" s="2" t="str">
        <f>IFERROR(AVERAGEIFS(timeseries_access_key_fqeas14oitk235763mntlb1c0brnk9w3fenzqbk313q5kvxyf52kukw1pa[Column1],timeseries_access_key_fqeas14oitk235763mntlb1c0brnk9w3fenzqbk313q5kvxyf52kukw1pa[Month],MONTH(Data!$A256),timeseries_access_key_fqeas14oitk235763mntlb1c0brnk9w3fenzqbk313q5kvxyf52kukw1pa[Year],YEAR(Data!$A256)),"")</f>
        <v/>
      </c>
      <c r="O256" s="8" t="str">
        <f>IFERROR(VLOOKUP($A256,Text_1_2[[Text.1.1.3]:[Text.1.3]],2,FALSE),"")</f>
        <v/>
      </c>
      <c r="P256" s="2"/>
    </row>
    <row r="257" spans="1:16" x14ac:dyDescent="0.25">
      <c r="A257" s="1">
        <v>28946</v>
      </c>
      <c r="B257" t="str">
        <f>HLOOKUP(Dashboard!$I$27,results,ROW(A257),FALSE)</f>
        <v/>
      </c>
      <c r="C257">
        <f>IFERROR(VLOOKUP(A257,observations_series_id_PCU22112222112243_api_key_ecc133893ea92a842ee685c73424608[],2,FALSE),"")</f>
        <v>52.7</v>
      </c>
      <c r="D257" s="2">
        <f>IFERROR(VLOOKUP(A257,observations_series_id_PCU22112222112243_api_key_ecc133893ea92a842ee685c73424608[],3,FALSE),"")</f>
        <v>0.66982922201138528</v>
      </c>
      <c r="E257" t="str">
        <f>IFERROR(VLOOKUP($A257,observations_series_id_WPU0613020T_api_key_ecc133893ea92a842ee685c734246086_file[],2,FALSE),"")</f>
        <v/>
      </c>
      <c r="F257" s="2" t="str">
        <f>IFERROR(VLOOKUP($A257,observations_series_id_WPU0613020T_api_key_ecc133893ea92a842ee685c734246086_file[],3,FALSE),"")</f>
        <v/>
      </c>
      <c r="G257" t="str">
        <f>IFERROR(VLOOKUP($A257,observations_series_id_PCU22122212_api_key_ecc133893ea92a842ee685c734246086_file[],2,FALSE),"")</f>
        <v/>
      </c>
      <c r="H257" s="2" t="str">
        <f>IFERROR(VLOOKUP($A257,observations_series_id_PCU22122212_api_key_ecc133893ea92a842ee685c734246086_file[],3,FALSE),"")</f>
        <v/>
      </c>
      <c r="I257">
        <f>IFERROR(VLOOKUP($A257,observations_series_id_PCU3241913241910_api_key_ecc133893ea92a842ee685c734246086[],2,FALSE),"")</f>
        <v>68.400000000000006</v>
      </c>
      <c r="J257" s="2">
        <f>IFERROR(VLOOKUP($A257,observations_series_id_PCU3241913241910_api_key_ecc133893ea92a842ee685c734246086[],3,FALSE),"")</f>
        <v>0.2485380116959065</v>
      </c>
      <c r="K257">
        <f>IFERROR(VLOOKUP($A257,observations_series_id_EXJPUS_api_key_ecc133893ea92a842ee685c734246086_file_type[],2,FALSE),"")</f>
        <v>216.2852</v>
      </c>
      <c r="L257" s="2">
        <f>IFERROR(VLOOKUP($A257,observations_series_id_EXJPUS_api_key_ecc133893ea92a842ee685c734246086_file_type[],3,FALSE),"")</f>
        <v>-0.65531437194962927</v>
      </c>
      <c r="M257" t="str">
        <f>IFERROR(AVERAGEIFS(timeseries_access_key_fqeas14oitk235763mntlb1c0brnk9w3fenzqbk313q5kvxyf52kukw1pa[Value.LME-ZNC],timeseries_access_key_fqeas14oitk235763mntlb1c0brnk9w3fenzqbk313q5kvxyf52kukw1pa[Month],MONTH(Data!$A257),timeseries_access_key_fqeas14oitk235763mntlb1c0brnk9w3fenzqbk313q5kvxyf52kukw1pa[Year],YEAR(Data!$A257)),"")</f>
        <v/>
      </c>
      <c r="N257" s="2" t="str">
        <f>IFERROR(AVERAGEIFS(timeseries_access_key_fqeas14oitk235763mntlb1c0brnk9w3fenzqbk313q5kvxyf52kukw1pa[Column1],timeseries_access_key_fqeas14oitk235763mntlb1c0brnk9w3fenzqbk313q5kvxyf52kukw1pa[Month],MONTH(Data!$A257),timeseries_access_key_fqeas14oitk235763mntlb1c0brnk9w3fenzqbk313q5kvxyf52kukw1pa[Year],YEAR(Data!$A257)),"")</f>
        <v/>
      </c>
      <c r="O257" s="8" t="str">
        <f>IFERROR(VLOOKUP($A257,Text_1_2[[Text.1.1.3]:[Text.1.3]],2,FALSE),"")</f>
        <v/>
      </c>
      <c r="P257" s="2"/>
    </row>
    <row r="258" spans="1:16" x14ac:dyDescent="0.25">
      <c r="A258" s="1">
        <v>28976</v>
      </c>
      <c r="B258" t="str">
        <f>HLOOKUP(Dashboard!$I$27,results,ROW(A258),FALSE)</f>
        <v/>
      </c>
      <c r="C258">
        <f>IFERROR(VLOOKUP(A258,observations_series_id_PCU22112222112243_api_key_ecc133893ea92a842ee685c73424608[],2,FALSE),"")</f>
        <v>53.7</v>
      </c>
      <c r="D258" s="2">
        <f>IFERROR(VLOOKUP(A258,observations_series_id_PCU22112222112243_api_key_ecc133893ea92a842ee685c73424608[],3,FALSE),"")</f>
        <v>0.67597765363128492</v>
      </c>
      <c r="E258" t="str">
        <f>IFERROR(VLOOKUP($A258,observations_series_id_WPU0613020T_api_key_ecc133893ea92a842ee685c734246086_file[],2,FALSE),"")</f>
        <v/>
      </c>
      <c r="F258" s="2" t="str">
        <f>IFERROR(VLOOKUP($A258,observations_series_id_WPU0613020T_api_key_ecc133893ea92a842ee685c734246086_file[],3,FALSE),"")</f>
        <v/>
      </c>
      <c r="G258" t="str">
        <f>IFERROR(VLOOKUP($A258,observations_series_id_PCU22122212_api_key_ecc133893ea92a842ee685c734246086_file[],2,FALSE),"")</f>
        <v/>
      </c>
      <c r="H258" s="2" t="str">
        <f>IFERROR(VLOOKUP($A258,observations_series_id_PCU22122212_api_key_ecc133893ea92a842ee685c734246086_file[],3,FALSE),"")</f>
        <v/>
      </c>
      <c r="I258">
        <f>IFERROR(VLOOKUP($A258,observations_series_id_PCU3241913241910_api_key_ecc133893ea92a842ee685c734246086[],2,FALSE),"")</f>
        <v>70.5</v>
      </c>
      <c r="J258" s="2">
        <f>IFERROR(VLOOKUP($A258,observations_series_id_PCU3241913241910_api_key_ecc133893ea92a842ee685c734246086[],3,FALSE),"")</f>
        <v>0.27092198581560289</v>
      </c>
      <c r="K258">
        <f>IFERROR(VLOOKUP($A258,observations_series_id_EXJPUS_api_key_ecc133893ea92a842ee685c734246086_file_type[],2,FALSE),"")</f>
        <v>218.41409999999999</v>
      </c>
      <c r="L258" s="2">
        <f>IFERROR(VLOOKUP($A258,observations_series_id_EXJPUS_api_key_ecc133893ea92a842ee685c734246086_file_type[],3,FALSE),"")</f>
        <v>-0.63917988811161908</v>
      </c>
      <c r="M258" t="str">
        <f>IFERROR(AVERAGEIFS(timeseries_access_key_fqeas14oitk235763mntlb1c0brnk9w3fenzqbk313q5kvxyf52kukw1pa[Value.LME-ZNC],timeseries_access_key_fqeas14oitk235763mntlb1c0brnk9w3fenzqbk313q5kvxyf52kukw1pa[Month],MONTH(Data!$A258),timeseries_access_key_fqeas14oitk235763mntlb1c0brnk9w3fenzqbk313q5kvxyf52kukw1pa[Year],YEAR(Data!$A258)),"")</f>
        <v/>
      </c>
      <c r="N258" s="2" t="str">
        <f>IFERROR(AVERAGEIFS(timeseries_access_key_fqeas14oitk235763mntlb1c0brnk9w3fenzqbk313q5kvxyf52kukw1pa[Column1],timeseries_access_key_fqeas14oitk235763mntlb1c0brnk9w3fenzqbk313q5kvxyf52kukw1pa[Month],MONTH(Data!$A258),timeseries_access_key_fqeas14oitk235763mntlb1c0brnk9w3fenzqbk313q5kvxyf52kukw1pa[Year],YEAR(Data!$A258)),"")</f>
        <v/>
      </c>
      <c r="O258" s="8" t="str">
        <f>IFERROR(VLOOKUP($A258,Text_1_2[[Text.1.1.3]:[Text.1.3]],2,FALSE),"")</f>
        <v/>
      </c>
      <c r="P258" s="2"/>
    </row>
    <row r="259" spans="1:16" x14ac:dyDescent="0.25">
      <c r="A259" s="1">
        <v>29007</v>
      </c>
      <c r="B259" t="str">
        <f>HLOOKUP(Dashboard!$I$27,results,ROW(A259),FALSE)</f>
        <v/>
      </c>
      <c r="C259">
        <f>IFERROR(VLOOKUP(A259,observations_series_id_PCU22112222112243_api_key_ecc133893ea92a842ee685c73424608[],2,FALSE),"")</f>
        <v>53.7</v>
      </c>
      <c r="D259" s="2">
        <f>IFERROR(VLOOKUP(A259,observations_series_id_PCU22112222112243_api_key_ecc133893ea92a842ee685c73424608[],3,FALSE),"")</f>
        <v>0.67597765363128492</v>
      </c>
      <c r="E259" t="str">
        <f>IFERROR(VLOOKUP($A259,observations_series_id_WPU0613020T_api_key_ecc133893ea92a842ee685c734246086_file[],2,FALSE),"")</f>
        <v/>
      </c>
      <c r="F259" s="2" t="str">
        <f>IFERROR(VLOOKUP($A259,observations_series_id_WPU0613020T_api_key_ecc133893ea92a842ee685c734246086_file[],3,FALSE),"")</f>
        <v/>
      </c>
      <c r="G259" t="str">
        <f>IFERROR(VLOOKUP($A259,observations_series_id_PCU22122212_api_key_ecc133893ea92a842ee685c734246086_file[],2,FALSE),"")</f>
        <v/>
      </c>
      <c r="H259" s="2" t="str">
        <f>IFERROR(VLOOKUP($A259,observations_series_id_PCU22122212_api_key_ecc133893ea92a842ee685c734246086_file[],3,FALSE),"")</f>
        <v/>
      </c>
      <c r="I259">
        <f>IFERROR(VLOOKUP($A259,observations_series_id_PCU3241913241910_api_key_ecc133893ea92a842ee685c734246086[],2,FALSE),"")</f>
        <v>72.900000000000006</v>
      </c>
      <c r="J259" s="2">
        <f>IFERROR(VLOOKUP($A259,observations_series_id_PCU3241913241910_api_key_ecc133893ea92a842ee685c734246086[],3,FALSE),"")</f>
        <v>0.29492455418381347</v>
      </c>
      <c r="K259">
        <f>IFERROR(VLOOKUP($A259,observations_series_id_EXJPUS_api_key_ecc133893ea92a842ee685c734246086_file_type[],2,FALSE),"")</f>
        <v>218.5967</v>
      </c>
      <c r="L259" s="2">
        <f>IFERROR(VLOOKUP($A259,observations_series_id_EXJPUS_api_key_ecc133893ea92a842ee685c734246086_file_type[],3,FALSE),"")</f>
        <v>-0.63781063483574996</v>
      </c>
      <c r="M259" t="str">
        <f>IFERROR(AVERAGEIFS(timeseries_access_key_fqeas14oitk235763mntlb1c0brnk9w3fenzqbk313q5kvxyf52kukw1pa[Value.LME-ZNC],timeseries_access_key_fqeas14oitk235763mntlb1c0brnk9w3fenzqbk313q5kvxyf52kukw1pa[Month],MONTH(Data!$A259),timeseries_access_key_fqeas14oitk235763mntlb1c0brnk9w3fenzqbk313q5kvxyf52kukw1pa[Year],YEAR(Data!$A259)),"")</f>
        <v/>
      </c>
      <c r="N259" s="2" t="str">
        <f>IFERROR(AVERAGEIFS(timeseries_access_key_fqeas14oitk235763mntlb1c0brnk9w3fenzqbk313q5kvxyf52kukw1pa[Column1],timeseries_access_key_fqeas14oitk235763mntlb1c0brnk9w3fenzqbk313q5kvxyf52kukw1pa[Month],MONTH(Data!$A259),timeseries_access_key_fqeas14oitk235763mntlb1c0brnk9w3fenzqbk313q5kvxyf52kukw1pa[Year],YEAR(Data!$A259)),"")</f>
        <v/>
      </c>
      <c r="O259" s="8" t="str">
        <f>IFERROR(VLOOKUP($A259,Text_1_2[[Text.1.1.3]:[Text.1.3]],2,FALSE),"")</f>
        <v/>
      </c>
      <c r="P259" s="2"/>
    </row>
    <row r="260" spans="1:16" x14ac:dyDescent="0.25">
      <c r="A260" s="1">
        <v>29037</v>
      </c>
      <c r="B260" t="str">
        <f>HLOOKUP(Dashboard!$I$27,results,ROW(A260),FALSE)</f>
        <v/>
      </c>
      <c r="C260">
        <f>IFERROR(VLOOKUP(A260,observations_series_id_PCU22112222112243_api_key_ecc133893ea92a842ee685c73424608[],2,FALSE),"")</f>
        <v>54.7</v>
      </c>
      <c r="D260" s="2">
        <f>IFERROR(VLOOKUP(A260,observations_series_id_PCU22112222112243_api_key_ecc133893ea92a842ee685c73424608[],3,FALSE),"")</f>
        <v>0.68190127970749548</v>
      </c>
      <c r="E260" t="str">
        <f>IFERROR(VLOOKUP($A260,observations_series_id_WPU0613020T_api_key_ecc133893ea92a842ee685c734246086_file[],2,FALSE),"")</f>
        <v/>
      </c>
      <c r="F260" s="2" t="str">
        <f>IFERROR(VLOOKUP($A260,observations_series_id_WPU0613020T_api_key_ecc133893ea92a842ee685c734246086_file[],3,FALSE),"")</f>
        <v/>
      </c>
      <c r="G260" t="str">
        <f>IFERROR(VLOOKUP($A260,observations_series_id_PCU22122212_api_key_ecc133893ea92a842ee685c734246086_file[],2,FALSE),"")</f>
        <v/>
      </c>
      <c r="H260" s="2" t="str">
        <f>IFERROR(VLOOKUP($A260,observations_series_id_PCU22122212_api_key_ecc133893ea92a842ee685c734246086_file[],3,FALSE),"")</f>
        <v/>
      </c>
      <c r="I260">
        <f>IFERROR(VLOOKUP($A260,observations_series_id_PCU3241913241910_api_key_ecc133893ea92a842ee685c734246086[],2,FALSE),"")</f>
        <v>74.400000000000006</v>
      </c>
      <c r="J260" s="2">
        <f>IFERROR(VLOOKUP($A260,observations_series_id_PCU3241913241910_api_key_ecc133893ea92a842ee685c734246086[],3,FALSE),"")</f>
        <v>0.30913978494623662</v>
      </c>
      <c r="K260">
        <f>IFERROR(VLOOKUP($A260,observations_series_id_EXJPUS_api_key_ecc133893ea92a842ee685c734246086_file_type[],2,FALSE),"")</f>
        <v>216.51</v>
      </c>
      <c r="L260" s="2">
        <f>IFERROR(VLOOKUP($A260,observations_series_id_EXJPUS_api_key_ecc133893ea92a842ee685c734246086_file_type[],3,FALSE),"")</f>
        <v>-0.6535956768740474</v>
      </c>
      <c r="M260" t="str">
        <f>IFERROR(AVERAGEIFS(timeseries_access_key_fqeas14oitk235763mntlb1c0brnk9w3fenzqbk313q5kvxyf52kukw1pa[Value.LME-ZNC],timeseries_access_key_fqeas14oitk235763mntlb1c0brnk9w3fenzqbk313q5kvxyf52kukw1pa[Month],MONTH(Data!$A260),timeseries_access_key_fqeas14oitk235763mntlb1c0brnk9w3fenzqbk313q5kvxyf52kukw1pa[Year],YEAR(Data!$A260)),"")</f>
        <v/>
      </c>
      <c r="N260" s="2" t="str">
        <f>IFERROR(AVERAGEIFS(timeseries_access_key_fqeas14oitk235763mntlb1c0brnk9w3fenzqbk313q5kvxyf52kukw1pa[Column1],timeseries_access_key_fqeas14oitk235763mntlb1c0brnk9w3fenzqbk313q5kvxyf52kukw1pa[Month],MONTH(Data!$A260),timeseries_access_key_fqeas14oitk235763mntlb1c0brnk9w3fenzqbk313q5kvxyf52kukw1pa[Year],YEAR(Data!$A260)),"")</f>
        <v/>
      </c>
      <c r="O260" s="8" t="str">
        <f>IFERROR(VLOOKUP($A260,Text_1_2[[Text.1.1.3]:[Text.1.3]],2,FALSE),"")</f>
        <v/>
      </c>
      <c r="P260" s="2"/>
    </row>
    <row r="261" spans="1:16" x14ac:dyDescent="0.25">
      <c r="A261" s="1">
        <v>29068</v>
      </c>
      <c r="B261" t="str">
        <f>HLOOKUP(Dashboard!$I$27,results,ROW(A261),FALSE)</f>
        <v/>
      </c>
      <c r="C261">
        <f>IFERROR(VLOOKUP(A261,observations_series_id_PCU22112222112243_api_key_ecc133893ea92a842ee685c73424608[],2,FALSE),"")</f>
        <v>55.6</v>
      </c>
      <c r="D261" s="2">
        <f>IFERROR(VLOOKUP(A261,observations_series_id_PCU22112222112243_api_key_ecc133893ea92a842ee685c73424608[],3,FALSE),"")</f>
        <v>0.68705035971223027</v>
      </c>
      <c r="E261" t="str">
        <f>IFERROR(VLOOKUP($A261,observations_series_id_WPU0613020T_api_key_ecc133893ea92a842ee685c734246086_file[],2,FALSE),"")</f>
        <v/>
      </c>
      <c r="F261" s="2" t="str">
        <f>IFERROR(VLOOKUP($A261,observations_series_id_WPU0613020T_api_key_ecc133893ea92a842ee685c734246086_file[],3,FALSE),"")</f>
        <v/>
      </c>
      <c r="G261" t="str">
        <f>IFERROR(VLOOKUP($A261,observations_series_id_PCU22122212_api_key_ecc133893ea92a842ee685c734246086_file[],2,FALSE),"")</f>
        <v/>
      </c>
      <c r="H261" s="2" t="str">
        <f>IFERROR(VLOOKUP($A261,observations_series_id_PCU22122212_api_key_ecc133893ea92a842ee685c734246086_file[],3,FALSE),"")</f>
        <v/>
      </c>
      <c r="I261">
        <f>IFERROR(VLOOKUP($A261,observations_series_id_PCU3241913241910_api_key_ecc133893ea92a842ee685c734246086[],2,FALSE),"")</f>
        <v>76.2</v>
      </c>
      <c r="J261" s="2">
        <f>IFERROR(VLOOKUP($A261,observations_series_id_PCU3241913241910_api_key_ecc133893ea92a842ee685c734246086[],3,FALSE),"")</f>
        <v>0.32545931758530189</v>
      </c>
      <c r="K261">
        <f>IFERROR(VLOOKUP($A261,observations_series_id_EXJPUS_api_key_ecc133893ea92a842ee685c734246086_file_type[],2,FALSE),"")</f>
        <v>217.92570000000001</v>
      </c>
      <c r="L261" s="2">
        <f>IFERROR(VLOOKUP($A261,observations_series_id_EXJPUS_api_key_ecc133893ea92a842ee685c734246086_file_type[],3,FALSE),"")</f>
        <v>-0.64285350465778013</v>
      </c>
      <c r="M261" t="str">
        <f>IFERROR(AVERAGEIFS(timeseries_access_key_fqeas14oitk235763mntlb1c0brnk9w3fenzqbk313q5kvxyf52kukw1pa[Value.LME-ZNC],timeseries_access_key_fqeas14oitk235763mntlb1c0brnk9w3fenzqbk313q5kvxyf52kukw1pa[Month],MONTH(Data!$A261),timeseries_access_key_fqeas14oitk235763mntlb1c0brnk9w3fenzqbk313q5kvxyf52kukw1pa[Year],YEAR(Data!$A261)),"")</f>
        <v/>
      </c>
      <c r="N261" s="2" t="str">
        <f>IFERROR(AVERAGEIFS(timeseries_access_key_fqeas14oitk235763mntlb1c0brnk9w3fenzqbk313q5kvxyf52kukw1pa[Column1],timeseries_access_key_fqeas14oitk235763mntlb1c0brnk9w3fenzqbk313q5kvxyf52kukw1pa[Month],MONTH(Data!$A261),timeseries_access_key_fqeas14oitk235763mntlb1c0brnk9w3fenzqbk313q5kvxyf52kukw1pa[Year],YEAR(Data!$A261)),"")</f>
        <v/>
      </c>
      <c r="O261" s="8" t="str">
        <f>IFERROR(VLOOKUP($A261,Text_1_2[[Text.1.1.3]:[Text.1.3]],2,FALSE),"")</f>
        <v/>
      </c>
      <c r="P261" s="2"/>
    </row>
    <row r="262" spans="1:16" x14ac:dyDescent="0.25">
      <c r="A262" s="1">
        <v>29099</v>
      </c>
      <c r="B262" t="str">
        <f>HLOOKUP(Dashboard!$I$27,results,ROW(A262),FALSE)</f>
        <v/>
      </c>
      <c r="C262">
        <f>IFERROR(VLOOKUP(A262,observations_series_id_PCU22112222112243_api_key_ecc133893ea92a842ee685c73424608[],2,FALSE),"")</f>
        <v>55.8</v>
      </c>
      <c r="D262" s="2">
        <f>IFERROR(VLOOKUP(A262,observations_series_id_PCU22112222112243_api_key_ecc133893ea92a842ee685c73424608[],3,FALSE),"")</f>
        <v>0.68817204301075274</v>
      </c>
      <c r="E262" t="str">
        <f>IFERROR(VLOOKUP($A262,observations_series_id_WPU0613020T_api_key_ecc133893ea92a842ee685c734246086_file[],2,FALSE),"")</f>
        <v/>
      </c>
      <c r="F262" s="2" t="str">
        <f>IFERROR(VLOOKUP($A262,observations_series_id_WPU0613020T_api_key_ecc133893ea92a842ee685c734246086_file[],3,FALSE),"")</f>
        <v/>
      </c>
      <c r="G262" t="str">
        <f>IFERROR(VLOOKUP($A262,observations_series_id_PCU22122212_api_key_ecc133893ea92a842ee685c734246086_file[],2,FALSE),"")</f>
        <v/>
      </c>
      <c r="H262" s="2" t="str">
        <f>IFERROR(VLOOKUP($A262,observations_series_id_PCU22122212_api_key_ecc133893ea92a842ee685c734246086_file[],3,FALSE),"")</f>
        <v/>
      </c>
      <c r="I262">
        <f>IFERROR(VLOOKUP($A262,observations_series_id_PCU3241913241910_api_key_ecc133893ea92a842ee685c734246086[],2,FALSE),"")</f>
        <v>78</v>
      </c>
      <c r="J262" s="2">
        <f>IFERROR(VLOOKUP($A262,observations_series_id_PCU3241913241910_api_key_ecc133893ea92a842ee685c734246086[],3,FALSE),"")</f>
        <v>0.34102564102564104</v>
      </c>
      <c r="K262">
        <f>IFERROR(VLOOKUP($A262,observations_series_id_EXJPUS_api_key_ecc133893ea92a842ee685c734246086_file_type[],2,FALSE),"")</f>
        <v>222.41370000000001</v>
      </c>
      <c r="L262" s="2">
        <f>IFERROR(VLOOKUP($A262,observations_series_id_EXJPUS_api_key_ecc133893ea92a842ee685c734246086_file_type[],3,FALSE),"")</f>
        <v>-0.60970299941055783</v>
      </c>
      <c r="M262" t="str">
        <f>IFERROR(AVERAGEIFS(timeseries_access_key_fqeas14oitk235763mntlb1c0brnk9w3fenzqbk313q5kvxyf52kukw1pa[Value.LME-ZNC],timeseries_access_key_fqeas14oitk235763mntlb1c0brnk9w3fenzqbk313q5kvxyf52kukw1pa[Month],MONTH(Data!$A262),timeseries_access_key_fqeas14oitk235763mntlb1c0brnk9w3fenzqbk313q5kvxyf52kukw1pa[Year],YEAR(Data!$A262)),"")</f>
        <v/>
      </c>
      <c r="N262" s="2" t="str">
        <f>IFERROR(AVERAGEIFS(timeseries_access_key_fqeas14oitk235763mntlb1c0brnk9w3fenzqbk313q5kvxyf52kukw1pa[Column1],timeseries_access_key_fqeas14oitk235763mntlb1c0brnk9w3fenzqbk313q5kvxyf52kukw1pa[Month],MONTH(Data!$A262),timeseries_access_key_fqeas14oitk235763mntlb1c0brnk9w3fenzqbk313q5kvxyf52kukw1pa[Year],YEAR(Data!$A262)),"")</f>
        <v/>
      </c>
      <c r="O262" s="8" t="str">
        <f>IFERROR(VLOOKUP($A262,Text_1_2[[Text.1.1.3]:[Text.1.3]],2,FALSE),"")</f>
        <v/>
      </c>
      <c r="P262" s="2"/>
    </row>
    <row r="263" spans="1:16" x14ac:dyDescent="0.25">
      <c r="A263" s="1">
        <v>29129</v>
      </c>
      <c r="B263" t="str">
        <f>HLOOKUP(Dashboard!$I$27,results,ROW(A263),FALSE)</f>
        <v/>
      </c>
      <c r="C263">
        <f>IFERROR(VLOOKUP(A263,observations_series_id_PCU22112222112243_api_key_ecc133893ea92a842ee685c73424608[],2,FALSE),"")</f>
        <v>56.8</v>
      </c>
      <c r="D263" s="2">
        <f>IFERROR(VLOOKUP(A263,observations_series_id_PCU22112222112243_api_key_ecc133893ea92a842ee685c73424608[],3,FALSE),"")</f>
        <v>0.69366197183098599</v>
      </c>
      <c r="E263" t="str">
        <f>IFERROR(VLOOKUP($A263,observations_series_id_WPU0613020T_api_key_ecc133893ea92a842ee685c734246086_file[],2,FALSE),"")</f>
        <v/>
      </c>
      <c r="F263" s="2" t="str">
        <f>IFERROR(VLOOKUP($A263,observations_series_id_WPU0613020T_api_key_ecc133893ea92a842ee685c734246086_file[],3,FALSE),"")</f>
        <v/>
      </c>
      <c r="G263" t="str">
        <f>IFERROR(VLOOKUP($A263,observations_series_id_PCU22122212_api_key_ecc133893ea92a842ee685c734246086_file[],2,FALSE),"")</f>
        <v/>
      </c>
      <c r="H263" s="2" t="str">
        <f>IFERROR(VLOOKUP($A263,observations_series_id_PCU22122212_api_key_ecc133893ea92a842ee685c734246086_file[],3,FALSE),"")</f>
        <v/>
      </c>
      <c r="I263">
        <f>IFERROR(VLOOKUP($A263,observations_series_id_PCU3241913241910_api_key_ecc133893ea92a842ee685c734246086[],2,FALSE),"")</f>
        <v>78.900000000000006</v>
      </c>
      <c r="J263" s="2">
        <f>IFERROR(VLOOKUP($A263,observations_series_id_PCU3241913241910_api_key_ecc133893ea92a842ee685c734246086[],3,FALSE),"")</f>
        <v>0.34854245880861856</v>
      </c>
      <c r="K263">
        <f>IFERROR(VLOOKUP($A263,observations_series_id_EXJPUS_api_key_ecc133893ea92a842ee685c734246086_file_type[],2,FALSE),"")</f>
        <v>230.4845</v>
      </c>
      <c r="L263" s="2">
        <f>IFERROR(VLOOKUP($A263,observations_series_id_EXJPUS_api_key_ecc133893ea92a842ee685c734246086_file_type[],3,FALSE),"")</f>
        <v>-0.55333655842366825</v>
      </c>
      <c r="M263" t="str">
        <f>IFERROR(AVERAGEIFS(timeseries_access_key_fqeas14oitk235763mntlb1c0brnk9w3fenzqbk313q5kvxyf52kukw1pa[Value.LME-ZNC],timeseries_access_key_fqeas14oitk235763mntlb1c0brnk9w3fenzqbk313q5kvxyf52kukw1pa[Month],MONTH(Data!$A263),timeseries_access_key_fqeas14oitk235763mntlb1c0brnk9w3fenzqbk313q5kvxyf52kukw1pa[Year],YEAR(Data!$A263)),"")</f>
        <v/>
      </c>
      <c r="N263" s="2" t="str">
        <f>IFERROR(AVERAGEIFS(timeseries_access_key_fqeas14oitk235763mntlb1c0brnk9w3fenzqbk313q5kvxyf52kukw1pa[Column1],timeseries_access_key_fqeas14oitk235763mntlb1c0brnk9w3fenzqbk313q5kvxyf52kukw1pa[Month],MONTH(Data!$A263),timeseries_access_key_fqeas14oitk235763mntlb1c0brnk9w3fenzqbk313q5kvxyf52kukw1pa[Year],YEAR(Data!$A263)),"")</f>
        <v/>
      </c>
      <c r="O263" s="8" t="str">
        <f>IFERROR(VLOOKUP($A263,Text_1_2[[Text.1.1.3]:[Text.1.3]],2,FALSE),"")</f>
        <v/>
      </c>
      <c r="P263" s="2"/>
    </row>
    <row r="264" spans="1:16" x14ac:dyDescent="0.25">
      <c r="A264" s="1">
        <v>29160</v>
      </c>
      <c r="B264" t="str">
        <f>HLOOKUP(Dashboard!$I$27,results,ROW(A264),FALSE)</f>
        <v/>
      </c>
      <c r="C264">
        <f>IFERROR(VLOOKUP(A264,observations_series_id_PCU22112222112243_api_key_ecc133893ea92a842ee685c73424608[],2,FALSE),"")</f>
        <v>57.2</v>
      </c>
      <c r="D264" s="2">
        <f>IFERROR(VLOOKUP(A264,observations_series_id_PCU22112222112243_api_key_ecc133893ea92a842ee685c73424608[],3,FALSE),"")</f>
        <v>0.69580419580419584</v>
      </c>
      <c r="E264" t="str">
        <f>IFERROR(VLOOKUP($A264,observations_series_id_WPU0613020T_api_key_ecc133893ea92a842ee685c734246086_file[],2,FALSE),"")</f>
        <v/>
      </c>
      <c r="F264" s="2" t="str">
        <f>IFERROR(VLOOKUP($A264,observations_series_id_WPU0613020T_api_key_ecc133893ea92a842ee685c734246086_file[],3,FALSE),"")</f>
        <v/>
      </c>
      <c r="G264" t="str">
        <f>IFERROR(VLOOKUP($A264,observations_series_id_PCU22122212_api_key_ecc133893ea92a842ee685c734246086_file[],2,FALSE),"")</f>
        <v/>
      </c>
      <c r="H264" s="2" t="str">
        <f>IFERROR(VLOOKUP($A264,observations_series_id_PCU22122212_api_key_ecc133893ea92a842ee685c734246086_file[],3,FALSE),"")</f>
        <v/>
      </c>
      <c r="I264">
        <f>IFERROR(VLOOKUP($A264,observations_series_id_PCU3241913241910_api_key_ecc133893ea92a842ee685c734246086[],2,FALSE),"")</f>
        <v>82.9</v>
      </c>
      <c r="J264" s="2">
        <f>IFERROR(VLOOKUP($A264,observations_series_id_PCU3241913241910_api_key_ecc133893ea92a842ee685c734246086[],3,FALSE),"")</f>
        <v>0.37997587454764781</v>
      </c>
      <c r="K264">
        <f>IFERROR(VLOOKUP($A264,observations_series_id_EXJPUS_api_key_ecc133893ea92a842ee685c734246086_file_type[],2,FALSE),"")</f>
        <v>244.98419999999999</v>
      </c>
      <c r="L264" s="2">
        <f>IFERROR(VLOOKUP($A264,observations_series_id_EXJPUS_api_key_ecc133893ea92a842ee685c734246086_file_type[],3,FALSE),"")</f>
        <v>-0.46140036786045791</v>
      </c>
      <c r="M264" t="str">
        <f>IFERROR(AVERAGEIFS(timeseries_access_key_fqeas14oitk235763mntlb1c0brnk9w3fenzqbk313q5kvxyf52kukw1pa[Value.LME-ZNC],timeseries_access_key_fqeas14oitk235763mntlb1c0brnk9w3fenzqbk313q5kvxyf52kukw1pa[Month],MONTH(Data!$A264),timeseries_access_key_fqeas14oitk235763mntlb1c0brnk9w3fenzqbk313q5kvxyf52kukw1pa[Year],YEAR(Data!$A264)),"")</f>
        <v/>
      </c>
      <c r="N264" s="2" t="str">
        <f>IFERROR(AVERAGEIFS(timeseries_access_key_fqeas14oitk235763mntlb1c0brnk9w3fenzqbk313q5kvxyf52kukw1pa[Column1],timeseries_access_key_fqeas14oitk235763mntlb1c0brnk9w3fenzqbk313q5kvxyf52kukw1pa[Month],MONTH(Data!$A264),timeseries_access_key_fqeas14oitk235763mntlb1c0brnk9w3fenzqbk313q5kvxyf52kukw1pa[Year],YEAR(Data!$A264)),"")</f>
        <v/>
      </c>
      <c r="O264" s="8" t="str">
        <f>IFERROR(VLOOKUP($A264,Text_1_2[[Text.1.1.3]:[Text.1.3]],2,FALSE),"")</f>
        <v/>
      </c>
      <c r="P264" s="2"/>
    </row>
    <row r="265" spans="1:16" x14ac:dyDescent="0.25">
      <c r="A265" s="1">
        <v>29190</v>
      </c>
      <c r="B265" t="str">
        <f>HLOOKUP(Dashboard!$I$27,results,ROW(A265),FALSE)</f>
        <v/>
      </c>
      <c r="C265">
        <f>IFERROR(VLOOKUP(A265,observations_series_id_PCU22112222112243_api_key_ecc133893ea92a842ee685c73424608[],2,FALSE),"")</f>
        <v>58.5</v>
      </c>
      <c r="D265" s="2">
        <f>IFERROR(VLOOKUP(A265,observations_series_id_PCU22112222112243_api_key_ecc133893ea92a842ee685c73424608[],3,FALSE),"")</f>
        <v>0.70256410256410251</v>
      </c>
      <c r="E265" t="str">
        <f>IFERROR(VLOOKUP($A265,observations_series_id_WPU0613020T_api_key_ecc133893ea92a842ee685c734246086_file[],2,FALSE),"")</f>
        <v/>
      </c>
      <c r="F265" s="2" t="str">
        <f>IFERROR(VLOOKUP($A265,observations_series_id_WPU0613020T_api_key_ecc133893ea92a842ee685c734246086_file[],3,FALSE),"")</f>
        <v/>
      </c>
      <c r="G265" t="str">
        <f>IFERROR(VLOOKUP($A265,observations_series_id_PCU22122212_api_key_ecc133893ea92a842ee685c734246086_file[],2,FALSE),"")</f>
        <v/>
      </c>
      <c r="H265" s="2" t="str">
        <f>IFERROR(VLOOKUP($A265,observations_series_id_PCU22122212_api_key_ecc133893ea92a842ee685c734246086_file[],3,FALSE),"")</f>
        <v/>
      </c>
      <c r="I265">
        <f>IFERROR(VLOOKUP($A265,observations_series_id_PCU3241913241910_api_key_ecc133893ea92a842ee685c734246086[],2,FALSE),"")</f>
        <v>83.3</v>
      </c>
      <c r="J265" s="2">
        <f>IFERROR(VLOOKUP($A265,observations_series_id_PCU3241913241910_api_key_ecc133893ea92a842ee685c734246086[],3,FALSE),"")</f>
        <v>0.38295318127250899</v>
      </c>
      <c r="K265">
        <f>IFERROR(VLOOKUP($A265,observations_series_id_EXJPUS_api_key_ecc133893ea92a842ee685c734246086_file_type[],2,FALSE),"")</f>
        <v>240.37450000000001</v>
      </c>
      <c r="L265" s="2">
        <f>IFERROR(VLOOKUP($A265,observations_series_id_EXJPUS_api_key_ecc133893ea92a842ee685c734246086_file_type[],3,FALSE),"")</f>
        <v>-0.48942587504082158</v>
      </c>
      <c r="M265" t="str">
        <f>IFERROR(AVERAGEIFS(timeseries_access_key_fqeas14oitk235763mntlb1c0brnk9w3fenzqbk313q5kvxyf52kukw1pa[Value.LME-ZNC],timeseries_access_key_fqeas14oitk235763mntlb1c0brnk9w3fenzqbk313q5kvxyf52kukw1pa[Month],MONTH(Data!$A265),timeseries_access_key_fqeas14oitk235763mntlb1c0brnk9w3fenzqbk313q5kvxyf52kukw1pa[Year],YEAR(Data!$A265)),"")</f>
        <v/>
      </c>
      <c r="N265" s="2" t="str">
        <f>IFERROR(AVERAGEIFS(timeseries_access_key_fqeas14oitk235763mntlb1c0brnk9w3fenzqbk313q5kvxyf52kukw1pa[Column1],timeseries_access_key_fqeas14oitk235763mntlb1c0brnk9w3fenzqbk313q5kvxyf52kukw1pa[Month],MONTH(Data!$A265),timeseries_access_key_fqeas14oitk235763mntlb1c0brnk9w3fenzqbk313q5kvxyf52kukw1pa[Year],YEAR(Data!$A265)),"")</f>
        <v/>
      </c>
      <c r="O265" s="8" t="str">
        <f>IFERROR(VLOOKUP($A265,Text_1_2[[Text.1.1.3]:[Text.1.3]],2,FALSE),"")</f>
        <v/>
      </c>
      <c r="P265" s="2"/>
    </row>
    <row r="266" spans="1:16" x14ac:dyDescent="0.25">
      <c r="A266" s="1">
        <v>29221</v>
      </c>
      <c r="B266" t="str">
        <f>HLOOKUP(Dashboard!$I$27,results,ROW(A266),FALSE)</f>
        <v/>
      </c>
      <c r="C266">
        <f>IFERROR(VLOOKUP(A266,observations_series_id_PCU22112222112243_api_key_ecc133893ea92a842ee685c73424608[],2,FALSE),"")</f>
        <v>59.4</v>
      </c>
      <c r="D266" s="2">
        <f>IFERROR(VLOOKUP(A266,observations_series_id_PCU22112222112243_api_key_ecc133893ea92a842ee685c73424608[],3,FALSE),"")</f>
        <v>0.70707070707070707</v>
      </c>
      <c r="E266" t="str">
        <f>IFERROR(VLOOKUP($A266,observations_series_id_WPU0613020T_api_key_ecc133893ea92a842ee685c734246086_file[],2,FALSE),"")</f>
        <v/>
      </c>
      <c r="F266" s="2" t="str">
        <f>IFERROR(VLOOKUP($A266,observations_series_id_WPU0613020T_api_key_ecc133893ea92a842ee685c734246086_file[],3,FALSE),"")</f>
        <v/>
      </c>
      <c r="G266" t="str">
        <f>IFERROR(VLOOKUP($A266,observations_series_id_PCU22122212_api_key_ecc133893ea92a842ee685c734246086_file[],2,FALSE),"")</f>
        <v/>
      </c>
      <c r="H266" s="2" t="str">
        <f>IFERROR(VLOOKUP($A266,observations_series_id_PCU22122212_api_key_ecc133893ea92a842ee685c734246086_file[],3,FALSE),"")</f>
        <v/>
      </c>
      <c r="I266">
        <f>IFERROR(VLOOKUP($A266,observations_series_id_PCU3241913241910_api_key_ecc133893ea92a842ee685c734246086[],2,FALSE),"")</f>
        <v>85</v>
      </c>
      <c r="J266" s="2">
        <f>IFERROR(VLOOKUP($A266,observations_series_id_PCU3241913241910_api_key_ecc133893ea92a842ee685c734246086[],3,FALSE),"")</f>
        <v>0.3952941176470588</v>
      </c>
      <c r="K266">
        <f>IFERROR(VLOOKUP($A266,observations_series_id_EXJPUS_api_key_ecc133893ea92a842ee685c734246086_file_type[],2,FALSE),"")</f>
        <v>237.8886</v>
      </c>
      <c r="L266" s="2">
        <f>IFERROR(VLOOKUP($A266,observations_series_id_EXJPUS_api_key_ecc133893ea92a842ee685c734246086_file_type[],3,FALSE),"")</f>
        <v>-0.50499015085212151</v>
      </c>
      <c r="M266" t="str">
        <f>IFERROR(AVERAGEIFS(timeseries_access_key_fqeas14oitk235763mntlb1c0brnk9w3fenzqbk313q5kvxyf52kukw1pa[Value.LME-ZNC],timeseries_access_key_fqeas14oitk235763mntlb1c0brnk9w3fenzqbk313q5kvxyf52kukw1pa[Month],MONTH(Data!$A266),timeseries_access_key_fqeas14oitk235763mntlb1c0brnk9w3fenzqbk313q5kvxyf52kukw1pa[Year],YEAR(Data!$A266)),"")</f>
        <v/>
      </c>
      <c r="N266" s="2" t="str">
        <f>IFERROR(AVERAGEIFS(timeseries_access_key_fqeas14oitk235763mntlb1c0brnk9w3fenzqbk313q5kvxyf52kukw1pa[Column1],timeseries_access_key_fqeas14oitk235763mntlb1c0brnk9w3fenzqbk313q5kvxyf52kukw1pa[Month],MONTH(Data!$A266),timeseries_access_key_fqeas14oitk235763mntlb1c0brnk9w3fenzqbk313q5kvxyf52kukw1pa[Year],YEAR(Data!$A266)),"")</f>
        <v/>
      </c>
      <c r="O266" s="8" t="str">
        <f>IFERROR(VLOOKUP($A266,Text_1_2[[Text.1.1.3]:[Text.1.3]],2,FALSE),"")</f>
        <v/>
      </c>
      <c r="P266" s="2"/>
    </row>
    <row r="267" spans="1:16" x14ac:dyDescent="0.25">
      <c r="A267" s="1">
        <v>29252</v>
      </c>
      <c r="B267" t="str">
        <f>HLOOKUP(Dashboard!$I$27,results,ROW(A267),FALSE)</f>
        <v/>
      </c>
      <c r="C267">
        <f>IFERROR(VLOOKUP(A267,observations_series_id_PCU22112222112243_api_key_ecc133893ea92a842ee685c73424608[],2,FALSE),"")</f>
        <v>60.4</v>
      </c>
      <c r="D267" s="2">
        <f>IFERROR(VLOOKUP(A267,observations_series_id_PCU22112222112243_api_key_ecc133893ea92a842ee685c73424608[],3,FALSE),"")</f>
        <v>0.71192052980132448</v>
      </c>
      <c r="E267" t="str">
        <f>IFERROR(VLOOKUP($A267,observations_series_id_WPU0613020T_api_key_ecc133893ea92a842ee685c734246086_file[],2,FALSE),"")</f>
        <v/>
      </c>
      <c r="F267" s="2" t="str">
        <f>IFERROR(VLOOKUP($A267,observations_series_id_WPU0613020T_api_key_ecc133893ea92a842ee685c734246086_file[],3,FALSE),"")</f>
        <v/>
      </c>
      <c r="G267" t="str">
        <f>IFERROR(VLOOKUP($A267,observations_series_id_PCU22122212_api_key_ecc133893ea92a842ee685c734246086_file[],2,FALSE),"")</f>
        <v/>
      </c>
      <c r="H267" s="2" t="str">
        <f>IFERROR(VLOOKUP($A267,observations_series_id_PCU22122212_api_key_ecc133893ea92a842ee685c734246086_file[],3,FALSE),"")</f>
        <v/>
      </c>
      <c r="I267">
        <f>IFERROR(VLOOKUP($A267,observations_series_id_PCU3241913241910_api_key_ecc133893ea92a842ee685c734246086[],2,FALSE),"")</f>
        <v>88.9</v>
      </c>
      <c r="J267" s="2">
        <f>IFERROR(VLOOKUP($A267,observations_series_id_PCU3241913241910_api_key_ecc133893ea92a842ee685c734246086[],3,FALSE),"")</f>
        <v>0.42182227221597302</v>
      </c>
      <c r="K267">
        <f>IFERROR(VLOOKUP($A267,observations_series_id_EXJPUS_api_key_ecc133893ea92a842ee685c734246086_file_type[],2,FALSE),"")</f>
        <v>244.35</v>
      </c>
      <c r="L267" s="2">
        <f>IFERROR(VLOOKUP($A267,observations_series_id_EXJPUS_api_key_ecc133893ea92a842ee685c734246086_file_type[],3,FALSE),"")</f>
        <v>-0.4651933701657458</v>
      </c>
      <c r="M267" t="str">
        <f>IFERROR(AVERAGEIFS(timeseries_access_key_fqeas14oitk235763mntlb1c0brnk9w3fenzqbk313q5kvxyf52kukw1pa[Value.LME-ZNC],timeseries_access_key_fqeas14oitk235763mntlb1c0brnk9w3fenzqbk313q5kvxyf52kukw1pa[Month],MONTH(Data!$A267),timeseries_access_key_fqeas14oitk235763mntlb1c0brnk9w3fenzqbk313q5kvxyf52kukw1pa[Year],YEAR(Data!$A267)),"")</f>
        <v/>
      </c>
      <c r="N267" s="2" t="str">
        <f>IFERROR(AVERAGEIFS(timeseries_access_key_fqeas14oitk235763mntlb1c0brnk9w3fenzqbk313q5kvxyf52kukw1pa[Column1],timeseries_access_key_fqeas14oitk235763mntlb1c0brnk9w3fenzqbk313q5kvxyf52kukw1pa[Month],MONTH(Data!$A267),timeseries_access_key_fqeas14oitk235763mntlb1c0brnk9w3fenzqbk313q5kvxyf52kukw1pa[Year],YEAR(Data!$A267)),"")</f>
        <v/>
      </c>
      <c r="O267" s="8" t="str">
        <f>IFERROR(VLOOKUP($A267,Text_1_2[[Text.1.1.3]:[Text.1.3]],2,FALSE),"")</f>
        <v/>
      </c>
      <c r="P267" s="2"/>
    </row>
    <row r="268" spans="1:16" x14ac:dyDescent="0.25">
      <c r="A268" s="1">
        <v>29281</v>
      </c>
      <c r="B268" t="str">
        <f>HLOOKUP(Dashboard!$I$27,results,ROW(A268),FALSE)</f>
        <v/>
      </c>
      <c r="C268">
        <f>IFERROR(VLOOKUP(A268,observations_series_id_PCU22112222112243_api_key_ecc133893ea92a842ee685c73424608[],2,FALSE),"")</f>
        <v>61.9</v>
      </c>
      <c r="D268" s="2">
        <f>IFERROR(VLOOKUP(A268,observations_series_id_PCU22112222112243_api_key_ecc133893ea92a842ee685c73424608[],3,FALSE),"")</f>
        <v>0.71890145395799676</v>
      </c>
      <c r="E268" t="str">
        <f>IFERROR(VLOOKUP($A268,observations_series_id_WPU0613020T_api_key_ecc133893ea92a842ee685c734246086_file[],2,FALSE),"")</f>
        <v/>
      </c>
      <c r="F268" s="2" t="str">
        <f>IFERROR(VLOOKUP($A268,observations_series_id_WPU0613020T_api_key_ecc133893ea92a842ee685c734246086_file[],3,FALSE),"")</f>
        <v/>
      </c>
      <c r="G268" t="str">
        <f>IFERROR(VLOOKUP($A268,observations_series_id_PCU22122212_api_key_ecc133893ea92a842ee685c734246086_file[],2,FALSE),"")</f>
        <v/>
      </c>
      <c r="H268" s="2" t="str">
        <f>IFERROR(VLOOKUP($A268,observations_series_id_PCU22122212_api_key_ecc133893ea92a842ee685c734246086_file[],3,FALSE),"")</f>
        <v/>
      </c>
      <c r="I268">
        <f>IFERROR(VLOOKUP($A268,observations_series_id_PCU3241913241910_api_key_ecc133893ea92a842ee685c734246086[],2,FALSE),"")</f>
        <v>88.9</v>
      </c>
      <c r="J268" s="2">
        <f>IFERROR(VLOOKUP($A268,observations_series_id_PCU3241913241910_api_key_ecc133893ea92a842ee685c734246086[],3,FALSE),"")</f>
        <v>0.42182227221597302</v>
      </c>
      <c r="K268">
        <f>IFERROR(VLOOKUP($A268,observations_series_id_EXJPUS_api_key_ecc133893ea92a842ee685c734246086_file_type[],2,FALSE),"")</f>
        <v>248.4786</v>
      </c>
      <c r="L268" s="2">
        <f>IFERROR(VLOOKUP($A268,observations_series_id_EXJPUS_api_key_ecc133893ea92a842ee685c734246086_file_type[],3,FALSE),"")</f>
        <v>-0.44084842718849826</v>
      </c>
      <c r="M268" t="str">
        <f>IFERROR(AVERAGEIFS(timeseries_access_key_fqeas14oitk235763mntlb1c0brnk9w3fenzqbk313q5kvxyf52kukw1pa[Value.LME-ZNC],timeseries_access_key_fqeas14oitk235763mntlb1c0brnk9w3fenzqbk313q5kvxyf52kukw1pa[Month],MONTH(Data!$A268),timeseries_access_key_fqeas14oitk235763mntlb1c0brnk9w3fenzqbk313q5kvxyf52kukw1pa[Year],YEAR(Data!$A268)),"")</f>
        <v/>
      </c>
      <c r="N268" s="2" t="str">
        <f>IFERROR(AVERAGEIFS(timeseries_access_key_fqeas14oitk235763mntlb1c0brnk9w3fenzqbk313q5kvxyf52kukw1pa[Column1],timeseries_access_key_fqeas14oitk235763mntlb1c0brnk9w3fenzqbk313q5kvxyf52kukw1pa[Month],MONTH(Data!$A268),timeseries_access_key_fqeas14oitk235763mntlb1c0brnk9w3fenzqbk313q5kvxyf52kukw1pa[Year],YEAR(Data!$A268)),"")</f>
        <v/>
      </c>
      <c r="O268" s="8" t="str">
        <f>IFERROR(VLOOKUP($A268,Text_1_2[[Text.1.1.3]:[Text.1.3]],2,FALSE),"")</f>
        <v/>
      </c>
      <c r="P268" s="2"/>
    </row>
    <row r="269" spans="1:16" x14ac:dyDescent="0.25">
      <c r="A269" s="1">
        <v>29312</v>
      </c>
      <c r="B269" t="str">
        <f>HLOOKUP(Dashboard!$I$27,results,ROW(A269),FALSE)</f>
        <v/>
      </c>
      <c r="C269">
        <f>IFERROR(VLOOKUP(A269,observations_series_id_PCU22112222112243_api_key_ecc133893ea92a842ee685c73424608[],2,FALSE),"")</f>
        <v>63.1</v>
      </c>
      <c r="D269" s="2">
        <f>IFERROR(VLOOKUP(A269,observations_series_id_PCU22112222112243_api_key_ecc133893ea92a842ee685c73424608[],3,FALSE),"")</f>
        <v>0.72424722662440577</v>
      </c>
      <c r="E269" t="str">
        <f>IFERROR(VLOOKUP($A269,observations_series_id_WPU0613020T_api_key_ecc133893ea92a842ee685c734246086_file[],2,FALSE),"")</f>
        <v/>
      </c>
      <c r="F269" s="2" t="str">
        <f>IFERROR(VLOOKUP($A269,observations_series_id_WPU0613020T_api_key_ecc133893ea92a842ee685c734246086_file[],3,FALSE),"")</f>
        <v/>
      </c>
      <c r="G269" t="str">
        <f>IFERROR(VLOOKUP($A269,observations_series_id_PCU22122212_api_key_ecc133893ea92a842ee685c734246086_file[],2,FALSE),"")</f>
        <v/>
      </c>
      <c r="H269" s="2" t="str">
        <f>IFERROR(VLOOKUP($A269,observations_series_id_PCU22122212_api_key_ecc133893ea92a842ee685c734246086_file[],3,FALSE),"")</f>
        <v/>
      </c>
      <c r="I269">
        <f>IFERROR(VLOOKUP($A269,observations_series_id_PCU3241913241910_api_key_ecc133893ea92a842ee685c734246086[],2,FALSE),"")</f>
        <v>94.1</v>
      </c>
      <c r="J269" s="2">
        <f>IFERROR(VLOOKUP($A269,observations_series_id_PCU3241913241910_api_key_ecc133893ea92a842ee685c734246086[],3,FALSE),"")</f>
        <v>0.45377258235919238</v>
      </c>
      <c r="K269">
        <f>IFERROR(VLOOKUP($A269,observations_series_id_EXJPUS_api_key_ecc133893ea92a842ee685c734246086_file_type[],2,FALSE),"")</f>
        <v>250.27500000000001</v>
      </c>
      <c r="L269" s="2">
        <f>IFERROR(VLOOKUP($A269,observations_series_id_EXJPUS_api_key_ecc133893ea92a842ee685c734246086_file_type[],3,FALSE),"")</f>
        <v>-0.43050644291279583</v>
      </c>
      <c r="M269" t="str">
        <f>IFERROR(AVERAGEIFS(timeseries_access_key_fqeas14oitk235763mntlb1c0brnk9w3fenzqbk313q5kvxyf52kukw1pa[Value.LME-ZNC],timeseries_access_key_fqeas14oitk235763mntlb1c0brnk9w3fenzqbk313q5kvxyf52kukw1pa[Month],MONTH(Data!$A269),timeseries_access_key_fqeas14oitk235763mntlb1c0brnk9w3fenzqbk313q5kvxyf52kukw1pa[Year],YEAR(Data!$A269)),"")</f>
        <v/>
      </c>
      <c r="N269" s="2" t="str">
        <f>IFERROR(AVERAGEIFS(timeseries_access_key_fqeas14oitk235763mntlb1c0brnk9w3fenzqbk313q5kvxyf52kukw1pa[Column1],timeseries_access_key_fqeas14oitk235763mntlb1c0brnk9w3fenzqbk313q5kvxyf52kukw1pa[Month],MONTH(Data!$A269),timeseries_access_key_fqeas14oitk235763mntlb1c0brnk9w3fenzqbk313q5kvxyf52kukw1pa[Year],YEAR(Data!$A269)),"")</f>
        <v/>
      </c>
      <c r="O269" s="8" t="str">
        <f>IFERROR(VLOOKUP($A269,Text_1_2[[Text.1.1.3]:[Text.1.3]],2,FALSE),"")</f>
        <v/>
      </c>
      <c r="P269" s="2"/>
    </row>
    <row r="270" spans="1:16" x14ac:dyDescent="0.25">
      <c r="A270" s="1">
        <v>29342</v>
      </c>
      <c r="B270" t="str">
        <f>HLOOKUP(Dashboard!$I$27,results,ROW(A270),FALSE)</f>
        <v/>
      </c>
      <c r="C270">
        <f>IFERROR(VLOOKUP(A270,observations_series_id_PCU22112222112243_api_key_ecc133893ea92a842ee685c73424608[],2,FALSE),"")</f>
        <v>64.5</v>
      </c>
      <c r="D270" s="2">
        <f>IFERROR(VLOOKUP(A270,observations_series_id_PCU22112222112243_api_key_ecc133893ea92a842ee685c73424608[],3,FALSE),"")</f>
        <v>0.73023255813953492</v>
      </c>
      <c r="E270" t="str">
        <f>IFERROR(VLOOKUP($A270,observations_series_id_WPU0613020T_api_key_ecc133893ea92a842ee685c734246086_file[],2,FALSE),"")</f>
        <v/>
      </c>
      <c r="F270" s="2" t="str">
        <f>IFERROR(VLOOKUP($A270,observations_series_id_WPU0613020T_api_key_ecc133893ea92a842ee685c734246086_file[],3,FALSE),"")</f>
        <v/>
      </c>
      <c r="G270" t="str">
        <f>IFERROR(VLOOKUP($A270,observations_series_id_PCU22122212_api_key_ecc133893ea92a842ee685c734246086_file[],2,FALSE),"")</f>
        <v/>
      </c>
      <c r="H270" s="2" t="str">
        <f>IFERROR(VLOOKUP($A270,observations_series_id_PCU22122212_api_key_ecc133893ea92a842ee685c734246086_file[],3,FALSE),"")</f>
        <v/>
      </c>
      <c r="I270">
        <f>IFERROR(VLOOKUP($A270,observations_series_id_PCU3241913241910_api_key_ecc133893ea92a842ee685c734246086[],2,FALSE),"")</f>
        <v>94.8</v>
      </c>
      <c r="J270" s="2">
        <f>IFERROR(VLOOKUP($A270,observations_series_id_PCU3241913241910_api_key_ecc133893ea92a842ee685c734246086[],3,FALSE),"")</f>
        <v>0.45780590717299574</v>
      </c>
      <c r="K270">
        <f>IFERROR(VLOOKUP($A270,observations_series_id_EXJPUS_api_key_ecc133893ea92a842ee685c734246086_file_type[],2,FALSE),"")</f>
        <v>228.62860000000001</v>
      </c>
      <c r="L270" s="2">
        <f>IFERROR(VLOOKUP($A270,observations_series_id_EXJPUS_api_key_ecc133893ea92a842ee685c734246086_file_type[],3,FALSE),"")</f>
        <v>-0.565945817802322</v>
      </c>
      <c r="M270" t="str">
        <f>IFERROR(AVERAGEIFS(timeseries_access_key_fqeas14oitk235763mntlb1c0brnk9w3fenzqbk313q5kvxyf52kukw1pa[Value.LME-ZNC],timeseries_access_key_fqeas14oitk235763mntlb1c0brnk9w3fenzqbk313q5kvxyf52kukw1pa[Month],MONTH(Data!$A270),timeseries_access_key_fqeas14oitk235763mntlb1c0brnk9w3fenzqbk313q5kvxyf52kukw1pa[Year],YEAR(Data!$A270)),"")</f>
        <v/>
      </c>
      <c r="N270" s="2" t="str">
        <f>IFERROR(AVERAGEIFS(timeseries_access_key_fqeas14oitk235763mntlb1c0brnk9w3fenzqbk313q5kvxyf52kukw1pa[Column1],timeseries_access_key_fqeas14oitk235763mntlb1c0brnk9w3fenzqbk313q5kvxyf52kukw1pa[Month],MONTH(Data!$A270),timeseries_access_key_fqeas14oitk235763mntlb1c0brnk9w3fenzqbk313q5kvxyf52kukw1pa[Year],YEAR(Data!$A270)),"")</f>
        <v/>
      </c>
      <c r="O270" s="8" t="str">
        <f>IFERROR(VLOOKUP($A270,Text_1_2[[Text.1.1.3]:[Text.1.3]],2,FALSE),"")</f>
        <v/>
      </c>
      <c r="P270" s="2"/>
    </row>
    <row r="271" spans="1:16" x14ac:dyDescent="0.25">
      <c r="A271" s="1">
        <v>29373</v>
      </c>
      <c r="B271" t="str">
        <f>HLOOKUP(Dashboard!$I$27,results,ROW(A271),FALSE)</f>
        <v/>
      </c>
      <c r="C271">
        <f>IFERROR(VLOOKUP(A271,observations_series_id_PCU22112222112243_api_key_ecc133893ea92a842ee685c73424608[],2,FALSE),"")</f>
        <v>65.8</v>
      </c>
      <c r="D271" s="2">
        <f>IFERROR(VLOOKUP(A271,observations_series_id_PCU22112222112243_api_key_ecc133893ea92a842ee685c73424608[],3,FALSE),"")</f>
        <v>0.73556231003039518</v>
      </c>
      <c r="E271" t="str">
        <f>IFERROR(VLOOKUP($A271,observations_series_id_WPU0613020T_api_key_ecc133893ea92a842ee685c734246086_file[],2,FALSE),"")</f>
        <v/>
      </c>
      <c r="F271" s="2" t="str">
        <f>IFERROR(VLOOKUP($A271,observations_series_id_WPU0613020T_api_key_ecc133893ea92a842ee685c734246086_file[],3,FALSE),"")</f>
        <v/>
      </c>
      <c r="G271" t="str">
        <f>IFERROR(VLOOKUP($A271,observations_series_id_PCU22122212_api_key_ecc133893ea92a842ee685c734246086_file[],2,FALSE),"")</f>
        <v/>
      </c>
      <c r="H271" s="2" t="str">
        <f>IFERROR(VLOOKUP($A271,observations_series_id_PCU22122212_api_key_ecc133893ea92a842ee685c734246086_file[],3,FALSE),"")</f>
        <v/>
      </c>
      <c r="I271">
        <f>IFERROR(VLOOKUP($A271,observations_series_id_PCU3241913241910_api_key_ecc133893ea92a842ee685c734246086[],2,FALSE),"")</f>
        <v>96</v>
      </c>
      <c r="J271" s="2">
        <f>IFERROR(VLOOKUP($A271,observations_series_id_PCU3241913241910_api_key_ecc133893ea92a842ee685c734246086[],3,FALSE),"")</f>
        <v>0.46458333333333335</v>
      </c>
      <c r="K271">
        <f>IFERROR(VLOOKUP($A271,observations_series_id_EXJPUS_api_key_ecc133893ea92a842ee685c734246086_file_type[],2,FALSE),"")</f>
        <v>217.91759999999999</v>
      </c>
      <c r="L271" s="2">
        <f>IFERROR(VLOOKUP($A271,observations_series_id_EXJPUS_api_key_ecc133893ea92a842ee685c734246086_file_type[],3,FALSE),"")</f>
        <v>-0.64291456954371751</v>
      </c>
      <c r="M271" t="str">
        <f>IFERROR(AVERAGEIFS(timeseries_access_key_fqeas14oitk235763mntlb1c0brnk9w3fenzqbk313q5kvxyf52kukw1pa[Value.LME-ZNC],timeseries_access_key_fqeas14oitk235763mntlb1c0brnk9w3fenzqbk313q5kvxyf52kukw1pa[Month],MONTH(Data!$A271),timeseries_access_key_fqeas14oitk235763mntlb1c0brnk9w3fenzqbk313q5kvxyf52kukw1pa[Year],YEAR(Data!$A271)),"")</f>
        <v/>
      </c>
      <c r="N271" s="2" t="str">
        <f>IFERROR(AVERAGEIFS(timeseries_access_key_fqeas14oitk235763mntlb1c0brnk9w3fenzqbk313q5kvxyf52kukw1pa[Column1],timeseries_access_key_fqeas14oitk235763mntlb1c0brnk9w3fenzqbk313q5kvxyf52kukw1pa[Month],MONTH(Data!$A271),timeseries_access_key_fqeas14oitk235763mntlb1c0brnk9w3fenzqbk313q5kvxyf52kukw1pa[Year],YEAR(Data!$A271)),"")</f>
        <v/>
      </c>
      <c r="O271" s="8" t="str">
        <f>IFERROR(VLOOKUP($A271,Text_1_2[[Text.1.1.3]:[Text.1.3]],2,FALSE),"")</f>
        <v/>
      </c>
      <c r="P271" s="2"/>
    </row>
    <row r="272" spans="1:16" x14ac:dyDescent="0.25">
      <c r="A272" s="1">
        <v>29403</v>
      </c>
      <c r="B272" t="str">
        <f>HLOOKUP(Dashboard!$I$27,results,ROW(A272),FALSE)</f>
        <v/>
      </c>
      <c r="C272">
        <f>IFERROR(VLOOKUP(A272,observations_series_id_PCU22112222112243_api_key_ecc133893ea92a842ee685c73424608[],2,FALSE),"")</f>
        <v>66.7</v>
      </c>
      <c r="D272" s="2">
        <f>IFERROR(VLOOKUP(A272,observations_series_id_PCU22112222112243_api_key_ecc133893ea92a842ee685c73424608[],3,FALSE),"")</f>
        <v>0.73913043478260865</v>
      </c>
      <c r="E272" t="str">
        <f>IFERROR(VLOOKUP($A272,observations_series_id_WPU0613020T_api_key_ecc133893ea92a842ee685c734246086_file[],2,FALSE),"")</f>
        <v/>
      </c>
      <c r="F272" s="2" t="str">
        <f>IFERROR(VLOOKUP($A272,observations_series_id_WPU0613020T_api_key_ecc133893ea92a842ee685c734246086_file[],3,FALSE),"")</f>
        <v/>
      </c>
      <c r="G272" t="str">
        <f>IFERROR(VLOOKUP($A272,observations_series_id_PCU22122212_api_key_ecc133893ea92a842ee685c734246086_file[],2,FALSE),"")</f>
        <v/>
      </c>
      <c r="H272" s="2" t="str">
        <f>IFERROR(VLOOKUP($A272,observations_series_id_PCU22122212_api_key_ecc133893ea92a842ee685c734246086_file[],3,FALSE),"")</f>
        <v/>
      </c>
      <c r="I272">
        <f>IFERROR(VLOOKUP($A272,observations_series_id_PCU3241913241910_api_key_ecc133893ea92a842ee685c734246086[],2,FALSE),"")</f>
        <v>96.8</v>
      </c>
      <c r="J272" s="2">
        <f>IFERROR(VLOOKUP($A272,observations_series_id_PCU3241913241910_api_key_ecc133893ea92a842ee685c734246086[],3,FALSE),"")</f>
        <v>0.46900826446280997</v>
      </c>
      <c r="K272">
        <f>IFERROR(VLOOKUP($A272,observations_series_id_EXJPUS_api_key_ecc133893ea92a842ee685c734246086_file_type[],2,FALSE),"")</f>
        <v>221.13640000000001</v>
      </c>
      <c r="L272" s="2">
        <f>IFERROR(VLOOKUP($A272,observations_series_id_EXJPUS_api_key_ecc133893ea92a842ee685c734246086_file_type[],3,FALSE),"")</f>
        <v>-0.61900076152094341</v>
      </c>
      <c r="M272" t="str">
        <f>IFERROR(AVERAGEIFS(timeseries_access_key_fqeas14oitk235763mntlb1c0brnk9w3fenzqbk313q5kvxyf52kukw1pa[Value.LME-ZNC],timeseries_access_key_fqeas14oitk235763mntlb1c0brnk9w3fenzqbk313q5kvxyf52kukw1pa[Month],MONTH(Data!$A272),timeseries_access_key_fqeas14oitk235763mntlb1c0brnk9w3fenzqbk313q5kvxyf52kukw1pa[Year],YEAR(Data!$A272)),"")</f>
        <v/>
      </c>
      <c r="N272" s="2" t="str">
        <f>IFERROR(AVERAGEIFS(timeseries_access_key_fqeas14oitk235763mntlb1c0brnk9w3fenzqbk313q5kvxyf52kukw1pa[Column1],timeseries_access_key_fqeas14oitk235763mntlb1c0brnk9w3fenzqbk313q5kvxyf52kukw1pa[Month],MONTH(Data!$A272),timeseries_access_key_fqeas14oitk235763mntlb1c0brnk9w3fenzqbk313q5kvxyf52kukw1pa[Year],YEAR(Data!$A272)),"")</f>
        <v/>
      </c>
      <c r="O272" s="8" t="str">
        <f>IFERROR(VLOOKUP($A272,Text_1_2[[Text.1.1.3]:[Text.1.3]],2,FALSE),"")</f>
        <v/>
      </c>
      <c r="P272" s="2"/>
    </row>
    <row r="273" spans="1:16" x14ac:dyDescent="0.25">
      <c r="A273" s="1">
        <v>29434</v>
      </c>
      <c r="B273" t="str">
        <f>HLOOKUP(Dashboard!$I$27,results,ROW(A273),FALSE)</f>
        <v/>
      </c>
      <c r="C273">
        <f>IFERROR(VLOOKUP(A273,observations_series_id_PCU22112222112243_api_key_ecc133893ea92a842ee685c73424608[],2,FALSE),"")</f>
        <v>67.599999999999994</v>
      </c>
      <c r="D273" s="2">
        <f>IFERROR(VLOOKUP(A273,observations_series_id_PCU22112222112243_api_key_ecc133893ea92a842ee685c73424608[],3,FALSE),"")</f>
        <v>0.74260355029585801</v>
      </c>
      <c r="E273" t="str">
        <f>IFERROR(VLOOKUP($A273,observations_series_id_WPU0613020T_api_key_ecc133893ea92a842ee685c734246086_file[],2,FALSE),"")</f>
        <v/>
      </c>
      <c r="F273" s="2" t="str">
        <f>IFERROR(VLOOKUP($A273,observations_series_id_WPU0613020T_api_key_ecc133893ea92a842ee685c734246086_file[],3,FALSE),"")</f>
        <v/>
      </c>
      <c r="G273" t="str">
        <f>IFERROR(VLOOKUP($A273,observations_series_id_PCU22122212_api_key_ecc133893ea92a842ee685c734246086_file[],2,FALSE),"")</f>
        <v/>
      </c>
      <c r="H273" s="2" t="str">
        <f>IFERROR(VLOOKUP($A273,observations_series_id_PCU22122212_api_key_ecc133893ea92a842ee685c734246086_file[],3,FALSE),"")</f>
        <v/>
      </c>
      <c r="I273">
        <f>IFERROR(VLOOKUP($A273,observations_series_id_PCU3241913241910_api_key_ecc133893ea92a842ee685c734246086[],2,FALSE),"")</f>
        <v>98.4</v>
      </c>
      <c r="J273" s="2">
        <f>IFERROR(VLOOKUP($A273,observations_series_id_PCU3241913241910_api_key_ecc133893ea92a842ee685c734246086[],3,FALSE),"")</f>
        <v>0.47764227642276424</v>
      </c>
      <c r="K273">
        <f>IFERROR(VLOOKUP($A273,observations_series_id_EXJPUS_api_key_ecc133893ea92a842ee685c734246086_file_type[],2,FALSE),"")</f>
        <v>223.91380000000001</v>
      </c>
      <c r="L273" s="2">
        <f>IFERROR(VLOOKUP($A273,observations_series_id_EXJPUS_api_key_ecc133893ea92a842ee685c734246086_file_type[],3,FALSE),"")</f>
        <v>-0.59891886967216834</v>
      </c>
      <c r="M273" t="str">
        <f>IFERROR(AVERAGEIFS(timeseries_access_key_fqeas14oitk235763mntlb1c0brnk9w3fenzqbk313q5kvxyf52kukw1pa[Value.LME-ZNC],timeseries_access_key_fqeas14oitk235763mntlb1c0brnk9w3fenzqbk313q5kvxyf52kukw1pa[Month],MONTH(Data!$A273),timeseries_access_key_fqeas14oitk235763mntlb1c0brnk9w3fenzqbk313q5kvxyf52kukw1pa[Year],YEAR(Data!$A273)),"")</f>
        <v/>
      </c>
      <c r="N273" s="2" t="str">
        <f>IFERROR(AVERAGEIFS(timeseries_access_key_fqeas14oitk235763mntlb1c0brnk9w3fenzqbk313q5kvxyf52kukw1pa[Column1],timeseries_access_key_fqeas14oitk235763mntlb1c0brnk9w3fenzqbk313q5kvxyf52kukw1pa[Month],MONTH(Data!$A273),timeseries_access_key_fqeas14oitk235763mntlb1c0brnk9w3fenzqbk313q5kvxyf52kukw1pa[Year],YEAR(Data!$A273)),"")</f>
        <v/>
      </c>
      <c r="O273" s="8" t="str">
        <f>IFERROR(VLOOKUP($A273,Text_1_2[[Text.1.1.3]:[Text.1.3]],2,FALSE),"")</f>
        <v/>
      </c>
      <c r="P273" s="2"/>
    </row>
    <row r="274" spans="1:16" x14ac:dyDescent="0.25">
      <c r="A274" s="1">
        <v>29465</v>
      </c>
      <c r="B274" t="str">
        <f>HLOOKUP(Dashboard!$I$27,results,ROW(A274),FALSE)</f>
        <v/>
      </c>
      <c r="C274">
        <f>IFERROR(VLOOKUP(A274,observations_series_id_PCU22112222112243_api_key_ecc133893ea92a842ee685c73424608[],2,FALSE),"")</f>
        <v>68.900000000000006</v>
      </c>
      <c r="D274" s="2">
        <f>IFERROR(VLOOKUP(A274,observations_series_id_PCU22112222112243_api_key_ecc133893ea92a842ee685c73424608[],3,FALSE),"")</f>
        <v>0.7474600870827286</v>
      </c>
      <c r="E274" t="str">
        <f>IFERROR(VLOOKUP($A274,observations_series_id_WPU0613020T_api_key_ecc133893ea92a842ee685c734246086_file[],2,FALSE),"")</f>
        <v/>
      </c>
      <c r="F274" s="2" t="str">
        <f>IFERROR(VLOOKUP($A274,observations_series_id_WPU0613020T_api_key_ecc133893ea92a842ee685c734246086_file[],3,FALSE),"")</f>
        <v/>
      </c>
      <c r="G274" t="str">
        <f>IFERROR(VLOOKUP($A274,observations_series_id_PCU22122212_api_key_ecc133893ea92a842ee685c734246086_file[],2,FALSE),"")</f>
        <v/>
      </c>
      <c r="H274" s="2" t="str">
        <f>IFERROR(VLOOKUP($A274,observations_series_id_PCU22122212_api_key_ecc133893ea92a842ee685c734246086_file[],3,FALSE),"")</f>
        <v/>
      </c>
      <c r="I274">
        <f>IFERROR(VLOOKUP($A274,observations_series_id_PCU3241913241910_api_key_ecc133893ea92a842ee685c734246086[],2,FALSE),"")</f>
        <v>98.9</v>
      </c>
      <c r="J274" s="2">
        <f>IFERROR(VLOOKUP($A274,observations_series_id_PCU3241913241910_api_key_ecc133893ea92a842ee685c734246086[],3,FALSE),"")</f>
        <v>0.48028311425682513</v>
      </c>
      <c r="K274">
        <f>IFERROR(VLOOKUP($A274,observations_series_id_EXJPUS_api_key_ecc133893ea92a842ee685c734246086_file_type[],2,FALSE),"")</f>
        <v>214.41669999999999</v>
      </c>
      <c r="L274" s="2">
        <f>IFERROR(VLOOKUP($A274,observations_series_id_EXJPUS_api_key_ecc133893ea92a842ee685c734246086_file_type[],3,FALSE),"")</f>
        <v>-0.66973934399699275</v>
      </c>
      <c r="M274" t="str">
        <f>IFERROR(AVERAGEIFS(timeseries_access_key_fqeas14oitk235763mntlb1c0brnk9w3fenzqbk313q5kvxyf52kukw1pa[Value.LME-ZNC],timeseries_access_key_fqeas14oitk235763mntlb1c0brnk9w3fenzqbk313q5kvxyf52kukw1pa[Month],MONTH(Data!$A274),timeseries_access_key_fqeas14oitk235763mntlb1c0brnk9w3fenzqbk313q5kvxyf52kukw1pa[Year],YEAR(Data!$A274)),"")</f>
        <v/>
      </c>
      <c r="N274" s="2" t="str">
        <f>IFERROR(AVERAGEIFS(timeseries_access_key_fqeas14oitk235763mntlb1c0brnk9w3fenzqbk313q5kvxyf52kukw1pa[Column1],timeseries_access_key_fqeas14oitk235763mntlb1c0brnk9w3fenzqbk313q5kvxyf52kukw1pa[Month],MONTH(Data!$A274),timeseries_access_key_fqeas14oitk235763mntlb1c0brnk9w3fenzqbk313q5kvxyf52kukw1pa[Year],YEAR(Data!$A274)),"")</f>
        <v/>
      </c>
      <c r="O274" s="8" t="str">
        <f>IFERROR(VLOOKUP($A274,Text_1_2[[Text.1.1.3]:[Text.1.3]],2,FALSE),"")</f>
        <v/>
      </c>
      <c r="P274" s="2"/>
    </row>
    <row r="275" spans="1:16" x14ac:dyDescent="0.25">
      <c r="A275" s="1">
        <v>29495</v>
      </c>
      <c r="B275" t="str">
        <f>HLOOKUP(Dashboard!$I$27,results,ROW(A275),FALSE)</f>
        <v/>
      </c>
      <c r="C275">
        <f>IFERROR(VLOOKUP(A275,observations_series_id_PCU22112222112243_api_key_ecc133893ea92a842ee685c73424608[],2,FALSE),"")</f>
        <v>69.2</v>
      </c>
      <c r="D275" s="2">
        <f>IFERROR(VLOOKUP(A275,observations_series_id_PCU22112222112243_api_key_ecc133893ea92a842ee685c73424608[],3,FALSE),"")</f>
        <v>0.74855491329479773</v>
      </c>
      <c r="E275" t="str">
        <f>IFERROR(VLOOKUP($A275,observations_series_id_WPU0613020T_api_key_ecc133893ea92a842ee685c734246086_file[],2,FALSE),"")</f>
        <v/>
      </c>
      <c r="F275" s="2" t="str">
        <f>IFERROR(VLOOKUP($A275,observations_series_id_WPU0613020T_api_key_ecc133893ea92a842ee685c734246086_file[],3,FALSE),"")</f>
        <v/>
      </c>
      <c r="G275" t="str">
        <f>IFERROR(VLOOKUP($A275,observations_series_id_PCU22122212_api_key_ecc133893ea92a842ee685c734246086_file[],2,FALSE),"")</f>
        <v/>
      </c>
      <c r="H275" s="2" t="str">
        <f>IFERROR(VLOOKUP($A275,observations_series_id_PCU22122212_api_key_ecc133893ea92a842ee685c734246086_file[],3,FALSE),"")</f>
        <v/>
      </c>
      <c r="I275">
        <f>IFERROR(VLOOKUP($A275,observations_series_id_PCU3241913241910_api_key_ecc133893ea92a842ee685c734246086[],2,FALSE),"")</f>
        <v>99.4</v>
      </c>
      <c r="J275" s="2">
        <f>IFERROR(VLOOKUP($A275,observations_series_id_PCU3241913241910_api_key_ecc133893ea92a842ee685c734246086[],3,FALSE),"")</f>
        <v>0.48289738430583506</v>
      </c>
      <c r="K275">
        <f>IFERROR(VLOOKUP($A275,observations_series_id_EXJPUS_api_key_ecc133893ea92a842ee685c734246086_file_type[],2,FALSE),"")</f>
        <v>209.3227</v>
      </c>
      <c r="L275" s="2">
        <f>IFERROR(VLOOKUP($A275,observations_series_id_EXJPUS_api_key_ecc133893ea92a842ee685c734246086_file_type[],3,FALSE),"")</f>
        <v>-0.71037350464139815</v>
      </c>
      <c r="M275" t="str">
        <f>IFERROR(AVERAGEIFS(timeseries_access_key_fqeas14oitk235763mntlb1c0brnk9w3fenzqbk313q5kvxyf52kukw1pa[Value.LME-ZNC],timeseries_access_key_fqeas14oitk235763mntlb1c0brnk9w3fenzqbk313q5kvxyf52kukw1pa[Month],MONTH(Data!$A275),timeseries_access_key_fqeas14oitk235763mntlb1c0brnk9w3fenzqbk313q5kvxyf52kukw1pa[Year],YEAR(Data!$A275)),"")</f>
        <v/>
      </c>
      <c r="N275" s="2" t="str">
        <f>IFERROR(AVERAGEIFS(timeseries_access_key_fqeas14oitk235763mntlb1c0brnk9w3fenzqbk313q5kvxyf52kukw1pa[Column1],timeseries_access_key_fqeas14oitk235763mntlb1c0brnk9w3fenzqbk313q5kvxyf52kukw1pa[Month],MONTH(Data!$A275),timeseries_access_key_fqeas14oitk235763mntlb1c0brnk9w3fenzqbk313q5kvxyf52kukw1pa[Year],YEAR(Data!$A275)),"")</f>
        <v/>
      </c>
      <c r="O275" s="8" t="str">
        <f>IFERROR(VLOOKUP($A275,Text_1_2[[Text.1.1.3]:[Text.1.3]],2,FALSE),"")</f>
        <v/>
      </c>
      <c r="P275" s="2"/>
    </row>
    <row r="276" spans="1:16" x14ac:dyDescent="0.25">
      <c r="A276" s="1">
        <v>29526</v>
      </c>
      <c r="B276" t="str">
        <f>HLOOKUP(Dashboard!$I$27,results,ROW(A276),FALSE)</f>
        <v/>
      </c>
      <c r="C276">
        <f>IFERROR(VLOOKUP(A276,observations_series_id_PCU22112222112243_api_key_ecc133893ea92a842ee685c73424608[],2,FALSE),"")</f>
        <v>68.599999999999994</v>
      </c>
      <c r="D276" s="2">
        <f>IFERROR(VLOOKUP(A276,observations_series_id_PCU22112222112243_api_key_ecc133893ea92a842ee685c73424608[],3,FALSE),"")</f>
        <v>0.74635568513119532</v>
      </c>
      <c r="E276" t="str">
        <f>IFERROR(VLOOKUP($A276,observations_series_id_WPU0613020T_api_key_ecc133893ea92a842ee685c734246086_file[],2,FALSE),"")</f>
        <v/>
      </c>
      <c r="F276" s="2" t="str">
        <f>IFERROR(VLOOKUP($A276,observations_series_id_WPU0613020T_api_key_ecc133893ea92a842ee685c734246086_file[],3,FALSE),"")</f>
        <v/>
      </c>
      <c r="G276" t="str">
        <f>IFERROR(VLOOKUP($A276,observations_series_id_PCU22122212_api_key_ecc133893ea92a842ee685c734246086_file[],2,FALSE),"")</f>
        <v/>
      </c>
      <c r="H276" s="2" t="str">
        <f>IFERROR(VLOOKUP($A276,observations_series_id_PCU22122212_api_key_ecc133893ea92a842ee685c734246086_file[],3,FALSE),"")</f>
        <v/>
      </c>
      <c r="I276">
        <f>IFERROR(VLOOKUP($A276,observations_series_id_PCU3241913241910_api_key_ecc133893ea92a842ee685c734246086[],2,FALSE),"")</f>
        <v>99.5</v>
      </c>
      <c r="J276" s="2">
        <f>IFERROR(VLOOKUP($A276,observations_series_id_PCU3241913241910_api_key_ecc133893ea92a842ee685c734246086[],3,FALSE),"")</f>
        <v>0.48341708542713568</v>
      </c>
      <c r="K276">
        <f>IFERROR(VLOOKUP($A276,observations_series_id_EXJPUS_api_key_ecc133893ea92a842ee685c734246086_file_type[],2,FALSE),"")</f>
        <v>213.10589999999999</v>
      </c>
      <c r="L276" s="2">
        <f>IFERROR(VLOOKUP($A276,observations_series_id_EXJPUS_api_key_ecc133893ea92a842ee685c734246086_file_type[],3,FALSE),"")</f>
        <v>-0.6800097979455284</v>
      </c>
      <c r="M276" t="str">
        <f>IFERROR(AVERAGEIFS(timeseries_access_key_fqeas14oitk235763mntlb1c0brnk9w3fenzqbk313q5kvxyf52kukw1pa[Value.LME-ZNC],timeseries_access_key_fqeas14oitk235763mntlb1c0brnk9w3fenzqbk313q5kvxyf52kukw1pa[Month],MONTH(Data!$A276),timeseries_access_key_fqeas14oitk235763mntlb1c0brnk9w3fenzqbk313q5kvxyf52kukw1pa[Year],YEAR(Data!$A276)),"")</f>
        <v/>
      </c>
      <c r="N276" s="2" t="str">
        <f>IFERROR(AVERAGEIFS(timeseries_access_key_fqeas14oitk235763mntlb1c0brnk9w3fenzqbk313q5kvxyf52kukw1pa[Column1],timeseries_access_key_fqeas14oitk235763mntlb1c0brnk9w3fenzqbk313q5kvxyf52kukw1pa[Month],MONTH(Data!$A276),timeseries_access_key_fqeas14oitk235763mntlb1c0brnk9w3fenzqbk313q5kvxyf52kukw1pa[Year],YEAR(Data!$A276)),"")</f>
        <v/>
      </c>
      <c r="O276" s="8" t="str">
        <f>IFERROR(VLOOKUP($A276,Text_1_2[[Text.1.1.3]:[Text.1.3]],2,FALSE),"")</f>
        <v/>
      </c>
      <c r="P276" s="2"/>
    </row>
    <row r="277" spans="1:16" x14ac:dyDescent="0.25">
      <c r="A277" s="1">
        <v>29556</v>
      </c>
      <c r="B277" t="str">
        <f>HLOOKUP(Dashboard!$I$27,results,ROW(A277),FALSE)</f>
        <v/>
      </c>
      <c r="C277">
        <f>IFERROR(VLOOKUP(A277,observations_series_id_PCU22112222112243_api_key_ecc133893ea92a842ee685c73424608[],2,FALSE),"")</f>
        <v>69</v>
      </c>
      <c r="D277" s="2">
        <f>IFERROR(VLOOKUP(A277,observations_series_id_PCU22112222112243_api_key_ecc133893ea92a842ee685c73424608[],3,FALSE),"")</f>
        <v>0.74782608695652175</v>
      </c>
      <c r="E277" t="str">
        <f>IFERROR(VLOOKUP($A277,observations_series_id_WPU0613020T_api_key_ecc133893ea92a842ee685c734246086_file[],2,FALSE),"")</f>
        <v/>
      </c>
      <c r="F277" s="2" t="str">
        <f>IFERROR(VLOOKUP($A277,observations_series_id_WPU0613020T_api_key_ecc133893ea92a842ee685c734246086_file[],3,FALSE),"")</f>
        <v/>
      </c>
      <c r="G277" t="str">
        <f>IFERROR(VLOOKUP($A277,observations_series_id_PCU22122212_api_key_ecc133893ea92a842ee685c734246086_file[],2,FALSE),"")</f>
        <v/>
      </c>
      <c r="H277" s="2" t="str">
        <f>IFERROR(VLOOKUP($A277,observations_series_id_PCU22122212_api_key_ecc133893ea92a842ee685c734246086_file[],3,FALSE),"")</f>
        <v/>
      </c>
      <c r="I277">
        <f>IFERROR(VLOOKUP($A277,observations_series_id_PCU3241913241910_api_key_ecc133893ea92a842ee685c734246086[],2,FALSE),"")</f>
        <v>100</v>
      </c>
      <c r="J277" s="2">
        <f>IFERROR(VLOOKUP($A277,observations_series_id_PCU3241913241910_api_key_ecc133893ea92a842ee685c734246086[],3,FALSE),"")</f>
        <v>0.48599999999999999</v>
      </c>
      <c r="K277">
        <f>IFERROR(VLOOKUP($A277,observations_series_id_EXJPUS_api_key_ecc133893ea92a842ee685c734246086_file_type[],2,FALSE),"")</f>
        <v>209.48859999999999</v>
      </c>
      <c r="L277" s="2">
        <f>IFERROR(VLOOKUP($A277,observations_series_id_EXJPUS_api_key_ecc133893ea92a842ee685c734246086_file_type[],3,FALSE),"")</f>
        <v>-0.70901901105835829</v>
      </c>
      <c r="M277" t="str">
        <f>IFERROR(AVERAGEIFS(timeseries_access_key_fqeas14oitk235763mntlb1c0brnk9w3fenzqbk313q5kvxyf52kukw1pa[Value.LME-ZNC],timeseries_access_key_fqeas14oitk235763mntlb1c0brnk9w3fenzqbk313q5kvxyf52kukw1pa[Month],MONTH(Data!$A277),timeseries_access_key_fqeas14oitk235763mntlb1c0brnk9w3fenzqbk313q5kvxyf52kukw1pa[Year],YEAR(Data!$A277)),"")</f>
        <v/>
      </c>
      <c r="N277" s="2" t="str">
        <f>IFERROR(AVERAGEIFS(timeseries_access_key_fqeas14oitk235763mntlb1c0brnk9w3fenzqbk313q5kvxyf52kukw1pa[Column1],timeseries_access_key_fqeas14oitk235763mntlb1c0brnk9w3fenzqbk313q5kvxyf52kukw1pa[Month],MONTH(Data!$A277),timeseries_access_key_fqeas14oitk235763mntlb1c0brnk9w3fenzqbk313q5kvxyf52kukw1pa[Year],YEAR(Data!$A277)),"")</f>
        <v/>
      </c>
      <c r="O277" s="8" t="str">
        <f>IFERROR(VLOOKUP($A277,Text_1_2[[Text.1.1.3]:[Text.1.3]],2,FALSE),"")</f>
        <v/>
      </c>
      <c r="P277" s="2"/>
    </row>
    <row r="278" spans="1:16" x14ac:dyDescent="0.25">
      <c r="A278" s="1">
        <v>29587</v>
      </c>
      <c r="B278" t="str">
        <f>HLOOKUP(Dashboard!$I$27,results,ROW(A278),FALSE)</f>
        <v/>
      </c>
      <c r="C278">
        <f>IFERROR(VLOOKUP(A278,observations_series_id_PCU22112222112243_api_key_ecc133893ea92a842ee685c73424608[],2,FALSE),"")</f>
        <v>69.900000000000006</v>
      </c>
      <c r="D278" s="2">
        <f>IFERROR(VLOOKUP(A278,observations_series_id_PCU22112222112243_api_key_ecc133893ea92a842ee685c73424608[],3,FALSE),"")</f>
        <v>0.75107296137339064</v>
      </c>
      <c r="E278" t="str">
        <f>IFERROR(VLOOKUP($A278,observations_series_id_WPU0613020T_api_key_ecc133893ea92a842ee685c734246086_file[],2,FALSE),"")</f>
        <v/>
      </c>
      <c r="F278" s="2" t="str">
        <f>IFERROR(VLOOKUP($A278,observations_series_id_WPU0613020T_api_key_ecc133893ea92a842ee685c734246086_file[],3,FALSE),"")</f>
        <v/>
      </c>
      <c r="G278" t="str">
        <f>IFERROR(VLOOKUP($A278,observations_series_id_PCU22122212_api_key_ecc133893ea92a842ee685c734246086_file[],2,FALSE),"")</f>
        <v/>
      </c>
      <c r="H278" s="2" t="str">
        <f>IFERROR(VLOOKUP($A278,observations_series_id_PCU22122212_api_key_ecc133893ea92a842ee685c734246086_file[],3,FALSE),"")</f>
        <v/>
      </c>
      <c r="I278">
        <f>IFERROR(VLOOKUP($A278,observations_series_id_PCU3241913241910_api_key_ecc133893ea92a842ee685c734246086[],2,FALSE),"")</f>
        <v>100.4</v>
      </c>
      <c r="J278" s="2">
        <f>IFERROR(VLOOKUP($A278,observations_series_id_PCU3241913241910_api_key_ecc133893ea92a842ee685c734246086[],3,FALSE),"")</f>
        <v>0.48804780876494025</v>
      </c>
      <c r="K278">
        <f>IFERROR(VLOOKUP($A278,observations_series_id_EXJPUS_api_key_ecc133893ea92a842ee685c734246086_file_type[],2,FALSE),"")</f>
        <v>202.36670000000001</v>
      </c>
      <c r="L278" s="2">
        <f>IFERROR(VLOOKUP($A278,observations_series_id_EXJPUS_api_key_ecc133893ea92a842ee685c734246086_file_type[],3,FALSE),"")</f>
        <v>-0.76916459081459543</v>
      </c>
      <c r="M278" t="str">
        <f>IFERROR(AVERAGEIFS(timeseries_access_key_fqeas14oitk235763mntlb1c0brnk9w3fenzqbk313q5kvxyf52kukw1pa[Value.LME-ZNC],timeseries_access_key_fqeas14oitk235763mntlb1c0brnk9w3fenzqbk313q5kvxyf52kukw1pa[Month],MONTH(Data!$A278),timeseries_access_key_fqeas14oitk235763mntlb1c0brnk9w3fenzqbk313q5kvxyf52kukw1pa[Year],YEAR(Data!$A278)),"")</f>
        <v/>
      </c>
      <c r="N278" s="2" t="str">
        <f>IFERROR(AVERAGEIFS(timeseries_access_key_fqeas14oitk235763mntlb1c0brnk9w3fenzqbk313q5kvxyf52kukw1pa[Column1],timeseries_access_key_fqeas14oitk235763mntlb1c0brnk9w3fenzqbk313q5kvxyf52kukw1pa[Month],MONTH(Data!$A278),timeseries_access_key_fqeas14oitk235763mntlb1c0brnk9w3fenzqbk313q5kvxyf52kukw1pa[Year],YEAR(Data!$A278)),"")</f>
        <v/>
      </c>
      <c r="O278" s="8" t="str">
        <f>IFERROR(VLOOKUP($A278,Text_1_2[[Text.1.1.3]:[Text.1.3]],2,FALSE),"")</f>
        <v/>
      </c>
      <c r="P278" s="2"/>
    </row>
    <row r="279" spans="1:16" x14ac:dyDescent="0.25">
      <c r="A279" s="1">
        <v>29618</v>
      </c>
      <c r="B279" t="str">
        <f>HLOOKUP(Dashboard!$I$27,results,ROW(A279),FALSE)</f>
        <v/>
      </c>
      <c r="C279">
        <f>IFERROR(VLOOKUP(A279,observations_series_id_PCU22112222112243_api_key_ecc133893ea92a842ee685c73424608[],2,FALSE),"")</f>
        <v>70.8</v>
      </c>
      <c r="D279" s="2">
        <f>IFERROR(VLOOKUP(A279,observations_series_id_PCU22112222112243_api_key_ecc133893ea92a842ee685c73424608[],3,FALSE),"")</f>
        <v>0.75423728813559321</v>
      </c>
      <c r="E279" t="str">
        <f>IFERROR(VLOOKUP($A279,observations_series_id_WPU0613020T_api_key_ecc133893ea92a842ee685c734246086_file[],2,FALSE),"")</f>
        <v/>
      </c>
      <c r="F279" s="2" t="str">
        <f>IFERROR(VLOOKUP($A279,observations_series_id_WPU0613020T_api_key_ecc133893ea92a842ee685c734246086_file[],3,FALSE),"")</f>
        <v/>
      </c>
      <c r="G279" t="str">
        <f>IFERROR(VLOOKUP($A279,observations_series_id_PCU22122212_api_key_ecc133893ea92a842ee685c734246086_file[],2,FALSE),"")</f>
        <v/>
      </c>
      <c r="H279" s="2" t="str">
        <f>IFERROR(VLOOKUP($A279,observations_series_id_PCU22122212_api_key_ecc133893ea92a842ee685c734246086_file[],3,FALSE),"")</f>
        <v/>
      </c>
      <c r="I279">
        <f>IFERROR(VLOOKUP($A279,observations_series_id_PCU3241913241910_api_key_ecc133893ea92a842ee685c734246086[],2,FALSE),"")</f>
        <v>101.6</v>
      </c>
      <c r="J279" s="2">
        <f>IFERROR(VLOOKUP($A279,observations_series_id_PCU3241913241910_api_key_ecc133893ea92a842ee685c734246086[],3,FALSE),"")</f>
        <v>0.49409448818897639</v>
      </c>
      <c r="K279">
        <f>IFERROR(VLOOKUP($A279,observations_series_id_EXJPUS_api_key_ecc133893ea92a842ee685c734246086_file_type[],2,FALSE),"")</f>
        <v>205.7167</v>
      </c>
      <c r="L279" s="2">
        <f>IFERROR(VLOOKUP($A279,observations_series_id_EXJPUS_api_key_ecc133893ea92a842ee685c734246086_file_type[],3,FALSE),"")</f>
        <v>-0.74035457500533486</v>
      </c>
      <c r="M279" t="str">
        <f>IFERROR(AVERAGEIFS(timeseries_access_key_fqeas14oitk235763mntlb1c0brnk9w3fenzqbk313q5kvxyf52kukw1pa[Value.LME-ZNC],timeseries_access_key_fqeas14oitk235763mntlb1c0brnk9w3fenzqbk313q5kvxyf52kukw1pa[Month],MONTH(Data!$A279),timeseries_access_key_fqeas14oitk235763mntlb1c0brnk9w3fenzqbk313q5kvxyf52kukw1pa[Year],YEAR(Data!$A279)),"")</f>
        <v/>
      </c>
      <c r="N279" s="2" t="str">
        <f>IFERROR(AVERAGEIFS(timeseries_access_key_fqeas14oitk235763mntlb1c0brnk9w3fenzqbk313q5kvxyf52kukw1pa[Column1],timeseries_access_key_fqeas14oitk235763mntlb1c0brnk9w3fenzqbk313q5kvxyf52kukw1pa[Month],MONTH(Data!$A279),timeseries_access_key_fqeas14oitk235763mntlb1c0brnk9w3fenzqbk313q5kvxyf52kukw1pa[Year],YEAR(Data!$A279)),"")</f>
        <v/>
      </c>
      <c r="O279" s="8" t="str">
        <f>IFERROR(VLOOKUP($A279,Text_1_2[[Text.1.1.3]:[Text.1.3]],2,FALSE),"")</f>
        <v/>
      </c>
      <c r="P279" s="2"/>
    </row>
    <row r="280" spans="1:16" x14ac:dyDescent="0.25">
      <c r="A280" s="1">
        <v>29646</v>
      </c>
      <c r="B280" t="str">
        <f>HLOOKUP(Dashboard!$I$27,results,ROW(A280),FALSE)</f>
        <v/>
      </c>
      <c r="C280">
        <f>IFERROR(VLOOKUP(A280,observations_series_id_PCU22112222112243_api_key_ecc133893ea92a842ee685c73424608[],2,FALSE),"")</f>
        <v>71.7</v>
      </c>
      <c r="D280" s="2">
        <f>IFERROR(VLOOKUP(A280,observations_series_id_PCU22112222112243_api_key_ecc133893ea92a842ee685c73424608[],3,FALSE),"")</f>
        <v>0.75732217573221761</v>
      </c>
      <c r="E280" t="str">
        <f>IFERROR(VLOOKUP($A280,observations_series_id_WPU0613020T_api_key_ecc133893ea92a842ee685c734246086_file[],2,FALSE),"")</f>
        <v/>
      </c>
      <c r="F280" s="2" t="str">
        <f>IFERROR(VLOOKUP($A280,observations_series_id_WPU0613020T_api_key_ecc133893ea92a842ee685c734246086_file[],3,FALSE),"")</f>
        <v/>
      </c>
      <c r="G280" t="str">
        <f>IFERROR(VLOOKUP($A280,observations_series_id_PCU22122212_api_key_ecc133893ea92a842ee685c734246086_file[],2,FALSE),"")</f>
        <v/>
      </c>
      <c r="H280" s="2" t="str">
        <f>IFERROR(VLOOKUP($A280,observations_series_id_PCU22122212_api_key_ecc133893ea92a842ee685c734246086_file[],3,FALSE),"")</f>
        <v/>
      </c>
      <c r="I280">
        <f>IFERROR(VLOOKUP($A280,observations_series_id_PCU3241913241910_api_key_ecc133893ea92a842ee685c734246086[],2,FALSE),"")</f>
        <v>103</v>
      </c>
      <c r="J280" s="2">
        <f>IFERROR(VLOOKUP($A280,observations_series_id_PCU3241913241910_api_key_ecc133893ea92a842ee685c734246086[],3,FALSE),"")</f>
        <v>0.50097087378640781</v>
      </c>
      <c r="K280">
        <f>IFERROR(VLOOKUP($A280,observations_series_id_EXJPUS_api_key_ecc133893ea92a842ee685c734246086_file_type[],2,FALSE),"")</f>
        <v>208.79179999999999</v>
      </c>
      <c r="L280" s="2">
        <f>IFERROR(VLOOKUP($A280,observations_series_id_EXJPUS_api_key_ecc133893ea92a842ee685c734246086_file_type[],3,FALSE),"")</f>
        <v>-0.71472251304888412</v>
      </c>
      <c r="M280" t="str">
        <f>IFERROR(AVERAGEIFS(timeseries_access_key_fqeas14oitk235763mntlb1c0brnk9w3fenzqbk313q5kvxyf52kukw1pa[Value.LME-ZNC],timeseries_access_key_fqeas14oitk235763mntlb1c0brnk9w3fenzqbk313q5kvxyf52kukw1pa[Month],MONTH(Data!$A280),timeseries_access_key_fqeas14oitk235763mntlb1c0brnk9w3fenzqbk313q5kvxyf52kukw1pa[Year],YEAR(Data!$A280)),"")</f>
        <v/>
      </c>
      <c r="N280" s="2" t="str">
        <f>IFERROR(AVERAGEIFS(timeseries_access_key_fqeas14oitk235763mntlb1c0brnk9w3fenzqbk313q5kvxyf52kukw1pa[Column1],timeseries_access_key_fqeas14oitk235763mntlb1c0brnk9w3fenzqbk313q5kvxyf52kukw1pa[Month],MONTH(Data!$A280),timeseries_access_key_fqeas14oitk235763mntlb1c0brnk9w3fenzqbk313q5kvxyf52kukw1pa[Year],YEAR(Data!$A280)),"")</f>
        <v/>
      </c>
      <c r="O280" s="8" t="str">
        <f>IFERROR(VLOOKUP($A280,Text_1_2[[Text.1.1.3]:[Text.1.3]],2,FALSE),"")</f>
        <v/>
      </c>
      <c r="P280" s="2"/>
    </row>
    <row r="281" spans="1:16" x14ac:dyDescent="0.25">
      <c r="A281" s="1">
        <v>29677</v>
      </c>
      <c r="B281" t="str">
        <f>HLOOKUP(Dashboard!$I$27,results,ROW(A281),FALSE)</f>
        <v/>
      </c>
      <c r="C281">
        <f>IFERROR(VLOOKUP(A281,observations_series_id_PCU22112222112243_api_key_ecc133893ea92a842ee685c73424608[],2,FALSE),"")</f>
        <v>72</v>
      </c>
      <c r="D281" s="2">
        <f>IFERROR(VLOOKUP(A281,observations_series_id_PCU22112222112243_api_key_ecc133893ea92a842ee685c73424608[],3,FALSE),"")</f>
        <v>0.7583333333333333</v>
      </c>
      <c r="E281" t="str">
        <f>IFERROR(VLOOKUP($A281,observations_series_id_WPU0613020T_api_key_ecc133893ea92a842ee685c734246086_file[],2,FALSE),"")</f>
        <v/>
      </c>
      <c r="F281" s="2" t="str">
        <f>IFERROR(VLOOKUP($A281,observations_series_id_WPU0613020T_api_key_ecc133893ea92a842ee685c734246086_file[],3,FALSE),"")</f>
        <v/>
      </c>
      <c r="G281" t="str">
        <f>IFERROR(VLOOKUP($A281,observations_series_id_PCU22122212_api_key_ecc133893ea92a842ee685c734246086_file[],2,FALSE),"")</f>
        <v/>
      </c>
      <c r="H281" s="2" t="str">
        <f>IFERROR(VLOOKUP($A281,observations_series_id_PCU22122212_api_key_ecc133893ea92a842ee685c734246086_file[],3,FALSE),"")</f>
        <v/>
      </c>
      <c r="I281">
        <f>IFERROR(VLOOKUP($A281,observations_series_id_PCU3241913241910_api_key_ecc133893ea92a842ee685c734246086[],2,FALSE),"")</f>
        <v>103.6</v>
      </c>
      <c r="J281" s="2">
        <f>IFERROR(VLOOKUP($A281,observations_series_id_PCU3241913241910_api_key_ecc133893ea92a842ee685c734246086[],3,FALSE),"")</f>
        <v>0.50386100386100385</v>
      </c>
      <c r="K281">
        <f>IFERROR(VLOOKUP($A281,observations_series_id_EXJPUS_api_key_ecc133893ea92a842ee685c734246086_file_type[],2,FALSE),"")</f>
        <v>214.9759</v>
      </c>
      <c r="L281" s="2">
        <f>IFERROR(VLOOKUP($A281,observations_series_id_EXJPUS_api_key_ecc133893ea92a842ee685c734246086_file_type[],3,FALSE),"")</f>
        <v>-0.6653959815960766</v>
      </c>
      <c r="M281" t="str">
        <f>IFERROR(AVERAGEIFS(timeseries_access_key_fqeas14oitk235763mntlb1c0brnk9w3fenzqbk313q5kvxyf52kukw1pa[Value.LME-ZNC],timeseries_access_key_fqeas14oitk235763mntlb1c0brnk9w3fenzqbk313q5kvxyf52kukw1pa[Month],MONTH(Data!$A281),timeseries_access_key_fqeas14oitk235763mntlb1c0brnk9w3fenzqbk313q5kvxyf52kukw1pa[Year],YEAR(Data!$A281)),"")</f>
        <v/>
      </c>
      <c r="N281" s="2" t="str">
        <f>IFERROR(AVERAGEIFS(timeseries_access_key_fqeas14oitk235763mntlb1c0brnk9w3fenzqbk313q5kvxyf52kukw1pa[Column1],timeseries_access_key_fqeas14oitk235763mntlb1c0brnk9w3fenzqbk313q5kvxyf52kukw1pa[Month],MONTH(Data!$A281),timeseries_access_key_fqeas14oitk235763mntlb1c0brnk9w3fenzqbk313q5kvxyf52kukw1pa[Year],YEAR(Data!$A281)),"")</f>
        <v/>
      </c>
      <c r="O281" s="8" t="str">
        <f>IFERROR(VLOOKUP($A281,Text_1_2[[Text.1.1.3]:[Text.1.3]],2,FALSE),"")</f>
        <v/>
      </c>
      <c r="P281" s="2"/>
    </row>
    <row r="282" spans="1:16" x14ac:dyDescent="0.25">
      <c r="A282" s="1">
        <v>29707</v>
      </c>
      <c r="B282" t="str">
        <f>HLOOKUP(Dashboard!$I$27,results,ROW(A282),FALSE)</f>
        <v/>
      </c>
      <c r="C282">
        <f>IFERROR(VLOOKUP(A282,observations_series_id_PCU22112222112243_api_key_ecc133893ea92a842ee685c73424608[],2,FALSE),"")</f>
        <v>73.599999999999994</v>
      </c>
      <c r="D282" s="2">
        <f>IFERROR(VLOOKUP(A282,observations_series_id_PCU22112222112243_api_key_ecc133893ea92a842ee685c73424608[],3,FALSE),"")</f>
        <v>0.76358695652173914</v>
      </c>
      <c r="E282" t="str">
        <f>IFERROR(VLOOKUP($A282,observations_series_id_WPU0613020T_api_key_ecc133893ea92a842ee685c734246086_file[],2,FALSE),"")</f>
        <v/>
      </c>
      <c r="F282" s="2" t="str">
        <f>IFERROR(VLOOKUP($A282,observations_series_id_WPU0613020T_api_key_ecc133893ea92a842ee685c734246086_file[],3,FALSE),"")</f>
        <v/>
      </c>
      <c r="G282" t="str">
        <f>IFERROR(VLOOKUP($A282,observations_series_id_PCU22122212_api_key_ecc133893ea92a842ee685c734246086_file[],2,FALSE),"")</f>
        <v/>
      </c>
      <c r="H282" s="2" t="str">
        <f>IFERROR(VLOOKUP($A282,observations_series_id_PCU22122212_api_key_ecc133893ea92a842ee685c734246086_file[],3,FALSE),"")</f>
        <v/>
      </c>
      <c r="I282">
        <f>IFERROR(VLOOKUP($A282,observations_series_id_PCU3241913241910_api_key_ecc133893ea92a842ee685c734246086[],2,FALSE),"")</f>
        <v>105.3</v>
      </c>
      <c r="J282" s="2">
        <f>IFERROR(VLOOKUP($A282,observations_series_id_PCU3241913241910_api_key_ecc133893ea92a842ee685c734246086[],3,FALSE),"")</f>
        <v>0.51187084520417847</v>
      </c>
      <c r="K282">
        <f>IFERROR(VLOOKUP($A282,observations_series_id_EXJPUS_api_key_ecc133893ea92a842ee685c734246086_file_type[],2,FALSE),"")</f>
        <v>220.6285</v>
      </c>
      <c r="L282" s="2">
        <f>IFERROR(VLOOKUP($A282,observations_series_id_EXJPUS_api_key_ecc133893ea92a842ee685c734246086_file_type[],3,FALSE),"")</f>
        <v>-0.62272779808592271</v>
      </c>
      <c r="M282" t="str">
        <f>IFERROR(AVERAGEIFS(timeseries_access_key_fqeas14oitk235763mntlb1c0brnk9w3fenzqbk313q5kvxyf52kukw1pa[Value.LME-ZNC],timeseries_access_key_fqeas14oitk235763mntlb1c0brnk9w3fenzqbk313q5kvxyf52kukw1pa[Month],MONTH(Data!$A282),timeseries_access_key_fqeas14oitk235763mntlb1c0brnk9w3fenzqbk313q5kvxyf52kukw1pa[Year],YEAR(Data!$A282)),"")</f>
        <v/>
      </c>
      <c r="N282" s="2" t="str">
        <f>IFERROR(AVERAGEIFS(timeseries_access_key_fqeas14oitk235763mntlb1c0brnk9w3fenzqbk313q5kvxyf52kukw1pa[Column1],timeseries_access_key_fqeas14oitk235763mntlb1c0brnk9w3fenzqbk313q5kvxyf52kukw1pa[Month],MONTH(Data!$A282),timeseries_access_key_fqeas14oitk235763mntlb1c0brnk9w3fenzqbk313q5kvxyf52kukw1pa[Year],YEAR(Data!$A282)),"")</f>
        <v/>
      </c>
      <c r="O282" s="8" t="str">
        <f>IFERROR(VLOOKUP($A282,Text_1_2[[Text.1.1.3]:[Text.1.3]],2,FALSE),"")</f>
        <v/>
      </c>
      <c r="P282" s="2"/>
    </row>
    <row r="283" spans="1:16" x14ac:dyDescent="0.25">
      <c r="A283" s="1">
        <v>29738</v>
      </c>
      <c r="B283" t="str">
        <f>HLOOKUP(Dashboard!$I$27,results,ROW(A283),FALSE)</f>
        <v/>
      </c>
      <c r="C283">
        <f>IFERROR(VLOOKUP(A283,observations_series_id_PCU22112222112243_api_key_ecc133893ea92a842ee685c73424608[],2,FALSE),"")</f>
        <v>74.900000000000006</v>
      </c>
      <c r="D283" s="2">
        <f>IFERROR(VLOOKUP(A283,observations_series_id_PCU22112222112243_api_key_ecc133893ea92a842ee685c73424608[],3,FALSE),"")</f>
        <v>0.76769025367156218</v>
      </c>
      <c r="E283" t="str">
        <f>IFERROR(VLOOKUP($A283,observations_series_id_WPU0613020T_api_key_ecc133893ea92a842ee685c734246086_file[],2,FALSE),"")</f>
        <v/>
      </c>
      <c r="F283" s="2" t="str">
        <f>IFERROR(VLOOKUP($A283,observations_series_id_WPU0613020T_api_key_ecc133893ea92a842ee685c734246086_file[],3,FALSE),"")</f>
        <v/>
      </c>
      <c r="G283" t="str">
        <f>IFERROR(VLOOKUP($A283,observations_series_id_PCU22122212_api_key_ecc133893ea92a842ee685c734246086_file[],2,FALSE),"")</f>
        <v/>
      </c>
      <c r="H283" s="2" t="str">
        <f>IFERROR(VLOOKUP($A283,observations_series_id_PCU22122212_api_key_ecc133893ea92a842ee685c734246086_file[],3,FALSE),"")</f>
        <v/>
      </c>
      <c r="I283">
        <f>IFERROR(VLOOKUP($A283,observations_series_id_PCU3241913241910_api_key_ecc133893ea92a842ee685c734246086[],2,FALSE),"")</f>
        <v>105.2</v>
      </c>
      <c r="J283" s="2">
        <f>IFERROR(VLOOKUP($A283,observations_series_id_PCU3241913241910_api_key_ecc133893ea92a842ee685c734246086[],3,FALSE),"")</f>
        <v>0.51140684410646386</v>
      </c>
      <c r="K283">
        <f>IFERROR(VLOOKUP($A283,observations_series_id_EXJPUS_api_key_ecc133893ea92a842ee685c734246086_file_type[],2,FALSE),"")</f>
        <v>224.18049999999999</v>
      </c>
      <c r="L283" s="2">
        <f>IFERROR(VLOOKUP($A283,observations_series_id_EXJPUS_api_key_ecc133893ea92a842ee685c734246086_file_type[],3,FALSE),"")</f>
        <v>-0.59701668967639909</v>
      </c>
      <c r="M283" t="str">
        <f>IFERROR(AVERAGEIFS(timeseries_access_key_fqeas14oitk235763mntlb1c0brnk9w3fenzqbk313q5kvxyf52kukw1pa[Value.LME-ZNC],timeseries_access_key_fqeas14oitk235763mntlb1c0brnk9w3fenzqbk313q5kvxyf52kukw1pa[Month],MONTH(Data!$A283),timeseries_access_key_fqeas14oitk235763mntlb1c0brnk9w3fenzqbk313q5kvxyf52kukw1pa[Year],YEAR(Data!$A283)),"")</f>
        <v/>
      </c>
      <c r="N283" s="2" t="str">
        <f>IFERROR(AVERAGEIFS(timeseries_access_key_fqeas14oitk235763mntlb1c0brnk9w3fenzqbk313q5kvxyf52kukw1pa[Column1],timeseries_access_key_fqeas14oitk235763mntlb1c0brnk9w3fenzqbk313q5kvxyf52kukw1pa[Month],MONTH(Data!$A283),timeseries_access_key_fqeas14oitk235763mntlb1c0brnk9w3fenzqbk313q5kvxyf52kukw1pa[Year],YEAR(Data!$A283)),"")</f>
        <v/>
      </c>
      <c r="O283" s="8" t="str">
        <f>IFERROR(VLOOKUP($A283,Text_1_2[[Text.1.1.3]:[Text.1.3]],2,FALSE),"")</f>
        <v/>
      </c>
      <c r="P283" s="2"/>
    </row>
    <row r="284" spans="1:16" x14ac:dyDescent="0.25">
      <c r="A284" s="1">
        <v>29768</v>
      </c>
      <c r="B284" t="str">
        <f>HLOOKUP(Dashboard!$I$27,results,ROW(A284),FALSE)</f>
        <v/>
      </c>
      <c r="C284">
        <f>IFERROR(VLOOKUP(A284,observations_series_id_PCU22112222112243_api_key_ecc133893ea92a842ee685c73424608[],2,FALSE),"")</f>
        <v>76.3</v>
      </c>
      <c r="D284" s="2">
        <f>IFERROR(VLOOKUP(A284,observations_series_id_PCU22112222112243_api_key_ecc133893ea92a842ee685c73424608[],3,FALSE),"")</f>
        <v>0.77195281782437752</v>
      </c>
      <c r="E284" t="str">
        <f>IFERROR(VLOOKUP($A284,observations_series_id_WPU0613020T_api_key_ecc133893ea92a842ee685c734246086_file[],2,FALSE),"")</f>
        <v/>
      </c>
      <c r="F284" s="2" t="str">
        <f>IFERROR(VLOOKUP($A284,observations_series_id_WPU0613020T_api_key_ecc133893ea92a842ee685c734246086_file[],3,FALSE),"")</f>
        <v/>
      </c>
      <c r="G284" t="str">
        <f>IFERROR(VLOOKUP($A284,observations_series_id_PCU22122212_api_key_ecc133893ea92a842ee685c734246086_file[],2,FALSE),"")</f>
        <v/>
      </c>
      <c r="H284" s="2" t="str">
        <f>IFERROR(VLOOKUP($A284,observations_series_id_PCU22122212_api_key_ecc133893ea92a842ee685c734246086_file[],3,FALSE),"")</f>
        <v/>
      </c>
      <c r="I284">
        <f>IFERROR(VLOOKUP($A284,observations_series_id_PCU3241913241910_api_key_ecc133893ea92a842ee685c734246086[],2,FALSE),"")</f>
        <v>105.5</v>
      </c>
      <c r="J284" s="2">
        <f>IFERROR(VLOOKUP($A284,observations_series_id_PCU3241913241910_api_key_ecc133893ea92a842ee685c734246086[],3,FALSE),"")</f>
        <v>0.51279620853080576</v>
      </c>
      <c r="K284">
        <f>IFERROR(VLOOKUP($A284,observations_series_id_EXJPUS_api_key_ecc133893ea92a842ee685c734246086_file_type[],2,FALSE),"")</f>
        <v>232.3261</v>
      </c>
      <c r="L284" s="2">
        <f>IFERROR(VLOOKUP($A284,observations_series_id_EXJPUS_api_key_ecc133893ea92a842ee685c734246086_file_type[],3,FALSE),"")</f>
        <v>-0.54102358710450527</v>
      </c>
      <c r="M284" t="str">
        <f>IFERROR(AVERAGEIFS(timeseries_access_key_fqeas14oitk235763mntlb1c0brnk9w3fenzqbk313q5kvxyf52kukw1pa[Value.LME-ZNC],timeseries_access_key_fqeas14oitk235763mntlb1c0brnk9w3fenzqbk313q5kvxyf52kukw1pa[Month],MONTH(Data!$A284),timeseries_access_key_fqeas14oitk235763mntlb1c0brnk9w3fenzqbk313q5kvxyf52kukw1pa[Year],YEAR(Data!$A284)),"")</f>
        <v/>
      </c>
      <c r="N284" s="2" t="str">
        <f>IFERROR(AVERAGEIFS(timeseries_access_key_fqeas14oitk235763mntlb1c0brnk9w3fenzqbk313q5kvxyf52kukw1pa[Column1],timeseries_access_key_fqeas14oitk235763mntlb1c0brnk9w3fenzqbk313q5kvxyf52kukw1pa[Month],MONTH(Data!$A284),timeseries_access_key_fqeas14oitk235763mntlb1c0brnk9w3fenzqbk313q5kvxyf52kukw1pa[Year],YEAR(Data!$A284)),"")</f>
        <v/>
      </c>
      <c r="O284" s="8" t="str">
        <f>IFERROR(VLOOKUP($A284,Text_1_2[[Text.1.1.3]:[Text.1.3]],2,FALSE),"")</f>
        <v/>
      </c>
      <c r="P284" s="2"/>
    </row>
    <row r="285" spans="1:16" x14ac:dyDescent="0.25">
      <c r="A285" s="1">
        <v>29799</v>
      </c>
      <c r="B285" t="str">
        <f>HLOOKUP(Dashboard!$I$27,results,ROW(A285),FALSE)</f>
        <v/>
      </c>
      <c r="C285">
        <f>IFERROR(VLOOKUP(A285,observations_series_id_PCU22112222112243_api_key_ecc133893ea92a842ee685c73424608[],2,FALSE),"")</f>
        <v>78.900000000000006</v>
      </c>
      <c r="D285" s="2">
        <f>IFERROR(VLOOKUP(A285,observations_series_id_PCU22112222112243_api_key_ecc133893ea92a842ee685c73424608[],3,FALSE),"")</f>
        <v>0.77946768060836502</v>
      </c>
      <c r="E285" t="str">
        <f>IFERROR(VLOOKUP($A285,observations_series_id_WPU0613020T_api_key_ecc133893ea92a842ee685c734246086_file[],2,FALSE),"")</f>
        <v/>
      </c>
      <c r="F285" s="2" t="str">
        <f>IFERROR(VLOOKUP($A285,observations_series_id_WPU0613020T_api_key_ecc133893ea92a842ee685c734246086_file[],3,FALSE),"")</f>
        <v/>
      </c>
      <c r="G285" t="str">
        <f>IFERROR(VLOOKUP($A285,observations_series_id_PCU22122212_api_key_ecc133893ea92a842ee685c734246086_file[],2,FALSE),"")</f>
        <v/>
      </c>
      <c r="H285" s="2" t="str">
        <f>IFERROR(VLOOKUP($A285,observations_series_id_PCU22122212_api_key_ecc133893ea92a842ee685c734246086_file[],3,FALSE),"")</f>
        <v/>
      </c>
      <c r="I285">
        <f>IFERROR(VLOOKUP($A285,observations_series_id_PCU3241913241910_api_key_ecc133893ea92a842ee685c734246086[],2,FALSE),"")</f>
        <v>105.7</v>
      </c>
      <c r="J285" s="2">
        <f>IFERROR(VLOOKUP($A285,observations_series_id_PCU3241913241910_api_key_ecc133893ea92a842ee685c734246086[],3,FALSE),"")</f>
        <v>0.51371807000946079</v>
      </c>
      <c r="K285">
        <f>IFERROR(VLOOKUP($A285,observations_series_id_EXJPUS_api_key_ecc133893ea92a842ee685c734246086_file_type[],2,FALSE),"")</f>
        <v>233.3262</v>
      </c>
      <c r="L285" s="2">
        <f>IFERROR(VLOOKUP($A285,observations_series_id_EXJPUS_api_key_ecc133893ea92a842ee685c734246086_file_type[],3,FALSE),"")</f>
        <v>-0.5344183379320453</v>
      </c>
      <c r="M285" t="str">
        <f>IFERROR(AVERAGEIFS(timeseries_access_key_fqeas14oitk235763mntlb1c0brnk9w3fenzqbk313q5kvxyf52kukw1pa[Value.LME-ZNC],timeseries_access_key_fqeas14oitk235763mntlb1c0brnk9w3fenzqbk313q5kvxyf52kukw1pa[Month],MONTH(Data!$A285),timeseries_access_key_fqeas14oitk235763mntlb1c0brnk9w3fenzqbk313q5kvxyf52kukw1pa[Year],YEAR(Data!$A285)),"")</f>
        <v/>
      </c>
      <c r="N285" s="2" t="str">
        <f>IFERROR(AVERAGEIFS(timeseries_access_key_fqeas14oitk235763mntlb1c0brnk9w3fenzqbk313q5kvxyf52kukw1pa[Column1],timeseries_access_key_fqeas14oitk235763mntlb1c0brnk9w3fenzqbk313q5kvxyf52kukw1pa[Month],MONTH(Data!$A285),timeseries_access_key_fqeas14oitk235763mntlb1c0brnk9w3fenzqbk313q5kvxyf52kukw1pa[Year],YEAR(Data!$A285)),"")</f>
        <v/>
      </c>
      <c r="O285" s="8" t="str">
        <f>IFERROR(VLOOKUP($A285,Text_1_2[[Text.1.1.3]:[Text.1.3]],2,FALSE),"")</f>
        <v/>
      </c>
      <c r="P285" s="2"/>
    </row>
    <row r="286" spans="1:16" x14ac:dyDescent="0.25">
      <c r="A286" s="1">
        <v>29830</v>
      </c>
      <c r="B286" t="str">
        <f>HLOOKUP(Dashboard!$I$27,results,ROW(A286),FALSE)</f>
        <v/>
      </c>
      <c r="C286">
        <f>IFERROR(VLOOKUP(A286,observations_series_id_PCU22112222112243_api_key_ecc133893ea92a842ee685c73424608[],2,FALSE),"")</f>
        <v>78.2</v>
      </c>
      <c r="D286" s="2">
        <f>IFERROR(VLOOKUP(A286,observations_series_id_PCU22112222112243_api_key_ecc133893ea92a842ee685c73424608[],3,FALSE),"")</f>
        <v>0.77749360613810747</v>
      </c>
      <c r="E286" t="str">
        <f>IFERROR(VLOOKUP($A286,observations_series_id_WPU0613020T_api_key_ecc133893ea92a842ee685c734246086_file[],2,FALSE),"")</f>
        <v/>
      </c>
      <c r="F286" s="2" t="str">
        <f>IFERROR(VLOOKUP($A286,observations_series_id_WPU0613020T_api_key_ecc133893ea92a842ee685c734246086_file[],3,FALSE),"")</f>
        <v/>
      </c>
      <c r="G286" t="str">
        <f>IFERROR(VLOOKUP($A286,observations_series_id_PCU22122212_api_key_ecc133893ea92a842ee685c734246086_file[],2,FALSE),"")</f>
        <v/>
      </c>
      <c r="H286" s="2" t="str">
        <f>IFERROR(VLOOKUP($A286,observations_series_id_PCU22122212_api_key_ecc133893ea92a842ee685c734246086_file[],3,FALSE),"")</f>
        <v/>
      </c>
      <c r="I286">
        <f>IFERROR(VLOOKUP($A286,observations_series_id_PCU3241913241910_api_key_ecc133893ea92a842ee685c734246086[],2,FALSE),"")</f>
        <v>105.8</v>
      </c>
      <c r="J286" s="2">
        <f>IFERROR(VLOOKUP($A286,observations_series_id_PCU3241913241910_api_key_ecc133893ea92a842ee685c734246086[],3,FALSE),"")</f>
        <v>0.51417769376181477</v>
      </c>
      <c r="K286">
        <f>IFERROR(VLOOKUP($A286,observations_series_id_EXJPUS_api_key_ecc133893ea92a842ee685c734246086_file_type[],2,FALSE),"")</f>
        <v>229.48099999999999</v>
      </c>
      <c r="L286" s="2">
        <f>IFERROR(VLOOKUP($A286,observations_series_id_EXJPUS_api_key_ecc133893ea92a842ee685c734246086_file_type[],3,FALSE),"")</f>
        <v>-0.56012916101986643</v>
      </c>
      <c r="M286" t="str">
        <f>IFERROR(AVERAGEIFS(timeseries_access_key_fqeas14oitk235763mntlb1c0brnk9w3fenzqbk313q5kvxyf52kukw1pa[Value.LME-ZNC],timeseries_access_key_fqeas14oitk235763mntlb1c0brnk9w3fenzqbk313q5kvxyf52kukw1pa[Month],MONTH(Data!$A286),timeseries_access_key_fqeas14oitk235763mntlb1c0brnk9w3fenzqbk313q5kvxyf52kukw1pa[Year],YEAR(Data!$A286)),"")</f>
        <v/>
      </c>
      <c r="N286" s="2" t="str">
        <f>IFERROR(AVERAGEIFS(timeseries_access_key_fqeas14oitk235763mntlb1c0brnk9w3fenzqbk313q5kvxyf52kukw1pa[Column1],timeseries_access_key_fqeas14oitk235763mntlb1c0brnk9w3fenzqbk313q5kvxyf52kukw1pa[Month],MONTH(Data!$A286),timeseries_access_key_fqeas14oitk235763mntlb1c0brnk9w3fenzqbk313q5kvxyf52kukw1pa[Year],YEAR(Data!$A286)),"")</f>
        <v/>
      </c>
      <c r="O286" s="8" t="str">
        <f>IFERROR(VLOOKUP($A286,Text_1_2[[Text.1.1.3]:[Text.1.3]],2,FALSE),"")</f>
        <v/>
      </c>
      <c r="P286" s="2"/>
    </row>
    <row r="287" spans="1:16" x14ac:dyDescent="0.25">
      <c r="A287" s="1">
        <v>29860</v>
      </c>
      <c r="B287" t="str">
        <f>HLOOKUP(Dashboard!$I$27,results,ROW(A287),FALSE)</f>
        <v/>
      </c>
      <c r="C287">
        <f>IFERROR(VLOOKUP(A287,observations_series_id_PCU22112222112243_api_key_ecc133893ea92a842ee685c73424608[],2,FALSE),"")</f>
        <v>77.7</v>
      </c>
      <c r="D287" s="2">
        <f>IFERROR(VLOOKUP(A287,observations_series_id_PCU22112222112243_api_key_ecc133893ea92a842ee685c73424608[],3,FALSE),"")</f>
        <v>0.77606177606177607</v>
      </c>
      <c r="E287" t="str">
        <f>IFERROR(VLOOKUP($A287,observations_series_id_WPU0613020T_api_key_ecc133893ea92a842ee685c734246086_file[],2,FALSE),"")</f>
        <v/>
      </c>
      <c r="F287" s="2" t="str">
        <f>IFERROR(VLOOKUP($A287,observations_series_id_WPU0613020T_api_key_ecc133893ea92a842ee685c734246086_file[],3,FALSE),"")</f>
        <v/>
      </c>
      <c r="G287" t="str">
        <f>IFERROR(VLOOKUP($A287,observations_series_id_PCU22122212_api_key_ecc133893ea92a842ee685c734246086_file[],2,FALSE),"")</f>
        <v/>
      </c>
      <c r="H287" s="2" t="str">
        <f>IFERROR(VLOOKUP($A287,observations_series_id_PCU22122212_api_key_ecc133893ea92a842ee685c734246086_file[],3,FALSE),"")</f>
        <v/>
      </c>
      <c r="I287">
        <f>IFERROR(VLOOKUP($A287,observations_series_id_PCU3241913241910_api_key_ecc133893ea92a842ee685c734246086[],2,FALSE),"")</f>
        <v>106</v>
      </c>
      <c r="J287" s="2">
        <f>IFERROR(VLOOKUP($A287,observations_series_id_PCU3241913241910_api_key_ecc133893ea92a842ee685c734246086[],3,FALSE),"")</f>
        <v>0.51509433962264151</v>
      </c>
      <c r="K287">
        <f>IFERROR(VLOOKUP($A287,observations_series_id_EXJPUS_api_key_ecc133893ea92a842ee685c734246086_file_type[],2,FALSE),"")</f>
        <v>231.51900000000001</v>
      </c>
      <c r="L287" s="2">
        <f>IFERROR(VLOOKUP($A287,observations_series_id_EXJPUS_api_key_ecc133893ea92a842ee685c734246086_file_type[],3,FALSE),"")</f>
        <v>-0.54639576017519076</v>
      </c>
      <c r="M287" t="str">
        <f>IFERROR(AVERAGEIFS(timeseries_access_key_fqeas14oitk235763mntlb1c0brnk9w3fenzqbk313q5kvxyf52kukw1pa[Value.LME-ZNC],timeseries_access_key_fqeas14oitk235763mntlb1c0brnk9w3fenzqbk313q5kvxyf52kukw1pa[Month],MONTH(Data!$A287),timeseries_access_key_fqeas14oitk235763mntlb1c0brnk9w3fenzqbk313q5kvxyf52kukw1pa[Year],YEAR(Data!$A287)),"")</f>
        <v/>
      </c>
      <c r="N287" s="2" t="str">
        <f>IFERROR(AVERAGEIFS(timeseries_access_key_fqeas14oitk235763mntlb1c0brnk9w3fenzqbk313q5kvxyf52kukw1pa[Column1],timeseries_access_key_fqeas14oitk235763mntlb1c0brnk9w3fenzqbk313q5kvxyf52kukw1pa[Month],MONTH(Data!$A287),timeseries_access_key_fqeas14oitk235763mntlb1c0brnk9w3fenzqbk313q5kvxyf52kukw1pa[Year],YEAR(Data!$A287)),"")</f>
        <v/>
      </c>
      <c r="O287" s="8" t="str">
        <f>IFERROR(VLOOKUP($A287,Text_1_2[[Text.1.1.3]:[Text.1.3]],2,FALSE),"")</f>
        <v/>
      </c>
      <c r="P287" s="2"/>
    </row>
    <row r="288" spans="1:16" x14ac:dyDescent="0.25">
      <c r="A288" s="1">
        <v>29891</v>
      </c>
      <c r="B288" t="str">
        <f>HLOOKUP(Dashboard!$I$27,results,ROW(A288),FALSE)</f>
        <v/>
      </c>
      <c r="C288">
        <f>IFERROR(VLOOKUP(A288,observations_series_id_PCU22112222112243_api_key_ecc133893ea92a842ee685c73424608[],2,FALSE),"")</f>
        <v>77.7</v>
      </c>
      <c r="D288" s="2">
        <f>IFERROR(VLOOKUP(A288,observations_series_id_PCU22112222112243_api_key_ecc133893ea92a842ee685c73424608[],3,FALSE),"")</f>
        <v>0.77606177606177607</v>
      </c>
      <c r="E288" t="str">
        <f>IFERROR(VLOOKUP($A288,observations_series_id_WPU0613020T_api_key_ecc133893ea92a842ee685c734246086_file[],2,FALSE),"")</f>
        <v/>
      </c>
      <c r="F288" s="2" t="str">
        <f>IFERROR(VLOOKUP($A288,observations_series_id_WPU0613020T_api_key_ecc133893ea92a842ee685c734246086_file[],3,FALSE),"")</f>
        <v/>
      </c>
      <c r="G288" t="str">
        <f>IFERROR(VLOOKUP($A288,observations_series_id_PCU22122212_api_key_ecc133893ea92a842ee685c734246086_file[],2,FALSE),"")</f>
        <v/>
      </c>
      <c r="H288" s="2" t="str">
        <f>IFERROR(VLOOKUP($A288,observations_series_id_PCU22122212_api_key_ecc133893ea92a842ee685c734246086_file[],3,FALSE),"")</f>
        <v/>
      </c>
      <c r="I288">
        <f>IFERROR(VLOOKUP($A288,observations_series_id_PCU3241913241910_api_key_ecc133893ea92a842ee685c734246086[],2,FALSE),"")</f>
        <v>106</v>
      </c>
      <c r="J288" s="2">
        <f>IFERROR(VLOOKUP($A288,observations_series_id_PCU3241913241910_api_key_ecc133893ea92a842ee685c734246086[],3,FALSE),"")</f>
        <v>0.51509433962264151</v>
      </c>
      <c r="K288">
        <f>IFERROR(VLOOKUP($A288,observations_series_id_EXJPUS_api_key_ecc133893ea92a842ee685c734246086_file_type[],2,FALSE),"")</f>
        <v>223.1267</v>
      </c>
      <c r="L288" s="2">
        <f>IFERROR(VLOOKUP($A288,observations_series_id_EXJPUS_api_key_ecc133893ea92a842ee685c734246086_file_type[],3,FALSE),"")</f>
        <v>-0.60455920335845059</v>
      </c>
      <c r="M288" t="str">
        <f>IFERROR(AVERAGEIFS(timeseries_access_key_fqeas14oitk235763mntlb1c0brnk9w3fenzqbk313q5kvxyf52kukw1pa[Value.LME-ZNC],timeseries_access_key_fqeas14oitk235763mntlb1c0brnk9w3fenzqbk313q5kvxyf52kukw1pa[Month],MONTH(Data!$A288),timeseries_access_key_fqeas14oitk235763mntlb1c0brnk9w3fenzqbk313q5kvxyf52kukw1pa[Year],YEAR(Data!$A288)),"")</f>
        <v/>
      </c>
      <c r="N288" s="2" t="str">
        <f>IFERROR(AVERAGEIFS(timeseries_access_key_fqeas14oitk235763mntlb1c0brnk9w3fenzqbk313q5kvxyf52kukw1pa[Column1],timeseries_access_key_fqeas14oitk235763mntlb1c0brnk9w3fenzqbk313q5kvxyf52kukw1pa[Month],MONTH(Data!$A288),timeseries_access_key_fqeas14oitk235763mntlb1c0brnk9w3fenzqbk313q5kvxyf52kukw1pa[Year],YEAR(Data!$A288)),"")</f>
        <v/>
      </c>
      <c r="O288" s="8" t="str">
        <f>IFERROR(VLOOKUP($A288,Text_1_2[[Text.1.1.3]:[Text.1.3]],2,FALSE),"")</f>
        <v/>
      </c>
      <c r="P288" s="2"/>
    </row>
    <row r="289" spans="1:16" x14ac:dyDescent="0.25">
      <c r="A289" s="1">
        <v>29921</v>
      </c>
      <c r="B289" t="str">
        <f>HLOOKUP(Dashboard!$I$27,results,ROW(A289),FALSE)</f>
        <v/>
      </c>
      <c r="C289">
        <f>IFERROR(VLOOKUP(A289,observations_series_id_PCU22112222112243_api_key_ecc133893ea92a842ee685c73424608[],2,FALSE),"")</f>
        <v>78.8</v>
      </c>
      <c r="D289" s="2">
        <f>IFERROR(VLOOKUP(A289,observations_series_id_PCU22112222112243_api_key_ecc133893ea92a842ee685c73424608[],3,FALSE),"")</f>
        <v>0.77918781725888331</v>
      </c>
      <c r="E289" t="str">
        <f>IFERROR(VLOOKUP($A289,observations_series_id_WPU0613020T_api_key_ecc133893ea92a842ee685c734246086_file[],2,FALSE),"")</f>
        <v/>
      </c>
      <c r="F289" s="2" t="str">
        <f>IFERROR(VLOOKUP($A289,observations_series_id_WPU0613020T_api_key_ecc133893ea92a842ee685c734246086_file[],3,FALSE),"")</f>
        <v/>
      </c>
      <c r="G289" t="str">
        <f>IFERROR(VLOOKUP($A289,observations_series_id_PCU22122212_api_key_ecc133893ea92a842ee685c734246086_file[],2,FALSE),"")</f>
        <v/>
      </c>
      <c r="H289" s="2" t="str">
        <f>IFERROR(VLOOKUP($A289,observations_series_id_PCU22122212_api_key_ecc133893ea92a842ee685c734246086_file[],3,FALSE),"")</f>
        <v/>
      </c>
      <c r="I289">
        <f>IFERROR(VLOOKUP($A289,observations_series_id_PCU3241913241910_api_key_ecc133893ea92a842ee685c734246086[],2,FALSE),"")</f>
        <v>105.9</v>
      </c>
      <c r="J289" s="2">
        <f>IFERROR(VLOOKUP($A289,observations_series_id_PCU3241913241910_api_key_ecc133893ea92a842ee685c734246086[],3,FALSE),"")</f>
        <v>0.51463644948064213</v>
      </c>
      <c r="K289">
        <f>IFERROR(VLOOKUP($A289,observations_series_id_EXJPUS_api_key_ecc133893ea92a842ee685c734246086_file_type[],2,FALSE),"")</f>
        <v>218.9545</v>
      </c>
      <c r="L289" s="2">
        <f>IFERROR(VLOOKUP($A289,observations_series_id_EXJPUS_api_key_ecc133893ea92a842ee685c734246086_file_type[],3,FALSE),"")</f>
        <v>-0.63513424021885823</v>
      </c>
      <c r="M289" t="str">
        <f>IFERROR(AVERAGEIFS(timeseries_access_key_fqeas14oitk235763mntlb1c0brnk9w3fenzqbk313q5kvxyf52kukw1pa[Value.LME-ZNC],timeseries_access_key_fqeas14oitk235763mntlb1c0brnk9w3fenzqbk313q5kvxyf52kukw1pa[Month],MONTH(Data!$A289),timeseries_access_key_fqeas14oitk235763mntlb1c0brnk9w3fenzqbk313q5kvxyf52kukw1pa[Year],YEAR(Data!$A289)),"")</f>
        <v/>
      </c>
      <c r="N289" s="2" t="str">
        <f>IFERROR(AVERAGEIFS(timeseries_access_key_fqeas14oitk235763mntlb1c0brnk9w3fenzqbk313q5kvxyf52kukw1pa[Column1],timeseries_access_key_fqeas14oitk235763mntlb1c0brnk9w3fenzqbk313q5kvxyf52kukw1pa[Month],MONTH(Data!$A289),timeseries_access_key_fqeas14oitk235763mntlb1c0brnk9w3fenzqbk313q5kvxyf52kukw1pa[Year],YEAR(Data!$A289)),"")</f>
        <v/>
      </c>
      <c r="O289" s="8" t="str">
        <f>IFERROR(VLOOKUP($A289,Text_1_2[[Text.1.1.3]:[Text.1.3]],2,FALSE),"")</f>
        <v/>
      </c>
      <c r="P289" s="2"/>
    </row>
    <row r="290" spans="1:16" x14ac:dyDescent="0.25">
      <c r="A290" s="1">
        <v>29952</v>
      </c>
      <c r="B290" t="str">
        <f>HLOOKUP(Dashboard!$I$27,results,ROW(A290),FALSE)</f>
        <v/>
      </c>
      <c r="C290">
        <f>IFERROR(VLOOKUP(A290,observations_series_id_PCU22112222112243_api_key_ecc133893ea92a842ee685c73424608[],2,FALSE),"")</f>
        <v>80.8</v>
      </c>
      <c r="D290" s="2">
        <f>IFERROR(VLOOKUP(A290,observations_series_id_PCU22112222112243_api_key_ecc133893ea92a842ee685c73424608[],3,FALSE),"")</f>
        <v>0.78465346534653468</v>
      </c>
      <c r="E290" t="str">
        <f>IFERROR(VLOOKUP($A290,observations_series_id_WPU0613020T_api_key_ecc133893ea92a842ee685c734246086_file[],2,FALSE),"")</f>
        <v/>
      </c>
      <c r="F290" s="2" t="str">
        <f>IFERROR(VLOOKUP($A290,observations_series_id_WPU0613020T_api_key_ecc133893ea92a842ee685c734246086_file[],3,FALSE),"")</f>
        <v/>
      </c>
      <c r="G290" t="str">
        <f>IFERROR(VLOOKUP($A290,observations_series_id_PCU22122212_api_key_ecc133893ea92a842ee685c734246086_file[],2,FALSE),"")</f>
        <v/>
      </c>
      <c r="H290" s="2" t="str">
        <f>IFERROR(VLOOKUP($A290,observations_series_id_PCU22122212_api_key_ecc133893ea92a842ee685c734246086_file[],3,FALSE),"")</f>
        <v/>
      </c>
      <c r="I290">
        <f>IFERROR(VLOOKUP($A290,observations_series_id_PCU3241913241910_api_key_ecc133893ea92a842ee685c734246086[],2,FALSE),"")</f>
        <v>106.1</v>
      </c>
      <c r="J290" s="2">
        <f>IFERROR(VLOOKUP($A290,observations_series_id_PCU3241913241910_api_key_ecc133893ea92a842ee685c734246086[],3,FALSE),"")</f>
        <v>0.51555136663524981</v>
      </c>
      <c r="K290">
        <f>IFERROR(VLOOKUP($A290,observations_series_id_EXJPUS_api_key_ecc133893ea92a842ee685c734246086_file_type[],2,FALSE),"")</f>
        <v>224.80500000000001</v>
      </c>
      <c r="L290" s="2">
        <f>IFERROR(VLOOKUP($A290,observations_series_id_EXJPUS_api_key_ecc133893ea92a842ee685c734246086_file_type[],3,FALSE),"")</f>
        <v>-0.59258023620471056</v>
      </c>
      <c r="M290" t="str">
        <f>IFERROR(AVERAGEIFS(timeseries_access_key_fqeas14oitk235763mntlb1c0brnk9w3fenzqbk313q5kvxyf52kukw1pa[Value.LME-ZNC],timeseries_access_key_fqeas14oitk235763mntlb1c0brnk9w3fenzqbk313q5kvxyf52kukw1pa[Month],MONTH(Data!$A290),timeseries_access_key_fqeas14oitk235763mntlb1c0brnk9w3fenzqbk313q5kvxyf52kukw1pa[Year],YEAR(Data!$A290)),"")</f>
        <v/>
      </c>
      <c r="N290" s="2" t="str">
        <f>IFERROR(AVERAGEIFS(timeseries_access_key_fqeas14oitk235763mntlb1c0brnk9w3fenzqbk313q5kvxyf52kukw1pa[Column1],timeseries_access_key_fqeas14oitk235763mntlb1c0brnk9w3fenzqbk313q5kvxyf52kukw1pa[Month],MONTH(Data!$A290),timeseries_access_key_fqeas14oitk235763mntlb1c0brnk9w3fenzqbk313q5kvxyf52kukw1pa[Year],YEAR(Data!$A290)),"")</f>
        <v/>
      </c>
      <c r="O290" s="8" t="str">
        <f>IFERROR(VLOOKUP($A290,Text_1_2[[Text.1.1.3]:[Text.1.3]],2,FALSE),"")</f>
        <v/>
      </c>
      <c r="P290" s="2"/>
    </row>
    <row r="291" spans="1:16" x14ac:dyDescent="0.25">
      <c r="A291" s="1">
        <v>29983</v>
      </c>
      <c r="B291" t="str">
        <f>HLOOKUP(Dashboard!$I$27,results,ROW(A291),FALSE)</f>
        <v/>
      </c>
      <c r="C291">
        <f>IFERROR(VLOOKUP(A291,observations_series_id_PCU22112222112243_api_key_ecc133893ea92a842ee685c73424608[],2,FALSE),"")</f>
        <v>80.900000000000006</v>
      </c>
      <c r="D291" s="2">
        <f>IFERROR(VLOOKUP(A291,observations_series_id_PCU22112222112243_api_key_ecc133893ea92a842ee685c73424608[],3,FALSE),"")</f>
        <v>0.784919653893696</v>
      </c>
      <c r="E291" t="str">
        <f>IFERROR(VLOOKUP($A291,observations_series_id_WPU0613020T_api_key_ecc133893ea92a842ee685c734246086_file[],2,FALSE),"")</f>
        <v/>
      </c>
      <c r="F291" s="2" t="str">
        <f>IFERROR(VLOOKUP($A291,observations_series_id_WPU0613020T_api_key_ecc133893ea92a842ee685c734246086_file[],3,FALSE),"")</f>
        <v/>
      </c>
      <c r="G291" t="str">
        <f>IFERROR(VLOOKUP($A291,observations_series_id_PCU22122212_api_key_ecc133893ea92a842ee685c734246086_file[],2,FALSE),"")</f>
        <v/>
      </c>
      <c r="H291" s="2" t="str">
        <f>IFERROR(VLOOKUP($A291,observations_series_id_PCU22122212_api_key_ecc133893ea92a842ee685c734246086_file[],3,FALSE),"")</f>
        <v/>
      </c>
      <c r="I291">
        <f>IFERROR(VLOOKUP($A291,observations_series_id_PCU3241913241910_api_key_ecc133893ea92a842ee685c734246086[],2,FALSE),"")</f>
        <v>106</v>
      </c>
      <c r="J291" s="2">
        <f>IFERROR(VLOOKUP($A291,observations_series_id_PCU3241913241910_api_key_ecc133893ea92a842ee685c734246086[],3,FALSE),"")</f>
        <v>0.51509433962264151</v>
      </c>
      <c r="K291">
        <f>IFERROR(VLOOKUP($A291,observations_series_id_EXJPUS_api_key_ecc133893ea92a842ee685c734246086_file_type[],2,FALSE),"")</f>
        <v>235.3056</v>
      </c>
      <c r="L291" s="2">
        <f>IFERROR(VLOOKUP($A291,observations_series_id_EXJPUS_api_key_ecc133893ea92a842ee685c734246086_file_type[],3,FALSE),"")</f>
        <v>-0.5215107502753864</v>
      </c>
      <c r="M291" t="str">
        <f>IFERROR(AVERAGEIFS(timeseries_access_key_fqeas14oitk235763mntlb1c0brnk9w3fenzqbk313q5kvxyf52kukw1pa[Value.LME-ZNC],timeseries_access_key_fqeas14oitk235763mntlb1c0brnk9w3fenzqbk313q5kvxyf52kukw1pa[Month],MONTH(Data!$A291),timeseries_access_key_fqeas14oitk235763mntlb1c0brnk9w3fenzqbk313q5kvxyf52kukw1pa[Year],YEAR(Data!$A291)),"")</f>
        <v/>
      </c>
      <c r="N291" s="2" t="str">
        <f>IFERROR(AVERAGEIFS(timeseries_access_key_fqeas14oitk235763mntlb1c0brnk9w3fenzqbk313q5kvxyf52kukw1pa[Column1],timeseries_access_key_fqeas14oitk235763mntlb1c0brnk9w3fenzqbk313q5kvxyf52kukw1pa[Month],MONTH(Data!$A291),timeseries_access_key_fqeas14oitk235763mntlb1c0brnk9w3fenzqbk313q5kvxyf52kukw1pa[Year],YEAR(Data!$A291)),"")</f>
        <v/>
      </c>
      <c r="O291" s="8" t="str">
        <f>IFERROR(VLOOKUP($A291,Text_1_2[[Text.1.1.3]:[Text.1.3]],2,FALSE),"")</f>
        <v/>
      </c>
      <c r="P291" s="2"/>
    </row>
    <row r="292" spans="1:16" x14ac:dyDescent="0.25">
      <c r="A292" s="1">
        <v>30011</v>
      </c>
      <c r="B292" t="str">
        <f>HLOOKUP(Dashboard!$I$27,results,ROW(A292),FALSE)</f>
        <v/>
      </c>
      <c r="C292">
        <f>IFERROR(VLOOKUP(A292,observations_series_id_PCU22112222112243_api_key_ecc133893ea92a842ee685c73424608[],2,FALSE),"")</f>
        <v>83.9</v>
      </c>
      <c r="D292" s="2">
        <f>IFERROR(VLOOKUP(A292,observations_series_id_PCU22112222112243_api_key_ecc133893ea92a842ee685c73424608[],3,FALSE),"")</f>
        <v>0.79261025029797383</v>
      </c>
      <c r="E292" t="str">
        <f>IFERROR(VLOOKUP($A292,observations_series_id_WPU0613020T_api_key_ecc133893ea92a842ee685c734246086_file[],2,FALSE),"")</f>
        <v/>
      </c>
      <c r="F292" s="2" t="str">
        <f>IFERROR(VLOOKUP($A292,observations_series_id_WPU0613020T_api_key_ecc133893ea92a842ee685c734246086_file[],3,FALSE),"")</f>
        <v/>
      </c>
      <c r="G292" t="str">
        <f>IFERROR(VLOOKUP($A292,observations_series_id_PCU22122212_api_key_ecc133893ea92a842ee685c734246086_file[],2,FALSE),"")</f>
        <v/>
      </c>
      <c r="H292" s="2" t="str">
        <f>IFERROR(VLOOKUP($A292,observations_series_id_PCU22122212_api_key_ecc133893ea92a842ee685c734246086_file[],3,FALSE),"")</f>
        <v/>
      </c>
      <c r="I292">
        <f>IFERROR(VLOOKUP($A292,observations_series_id_PCU3241913241910_api_key_ecc133893ea92a842ee685c734246086[],2,FALSE),"")</f>
        <v>106.2</v>
      </c>
      <c r="J292" s="2">
        <f>IFERROR(VLOOKUP($A292,observations_series_id_PCU3241913241910_api_key_ecc133893ea92a842ee685c734246086[],3,FALSE),"")</f>
        <v>0.51600753295668556</v>
      </c>
      <c r="K292">
        <f>IFERROR(VLOOKUP($A292,observations_series_id_EXJPUS_api_key_ecc133893ea92a842ee685c734246086_file_type[],2,FALSE),"")</f>
        <v>241.22829999999999</v>
      </c>
      <c r="L292" s="2">
        <f>IFERROR(VLOOKUP($A292,observations_series_id_EXJPUS_api_key_ecc133893ea92a842ee685c734246086_file_type[],3,FALSE),"")</f>
        <v>-0.48415422236943173</v>
      </c>
      <c r="M292" t="str">
        <f>IFERROR(AVERAGEIFS(timeseries_access_key_fqeas14oitk235763mntlb1c0brnk9w3fenzqbk313q5kvxyf52kukw1pa[Value.LME-ZNC],timeseries_access_key_fqeas14oitk235763mntlb1c0brnk9w3fenzqbk313q5kvxyf52kukw1pa[Month],MONTH(Data!$A292),timeseries_access_key_fqeas14oitk235763mntlb1c0brnk9w3fenzqbk313q5kvxyf52kukw1pa[Year],YEAR(Data!$A292)),"")</f>
        <v/>
      </c>
      <c r="N292" s="2" t="str">
        <f>IFERROR(AVERAGEIFS(timeseries_access_key_fqeas14oitk235763mntlb1c0brnk9w3fenzqbk313q5kvxyf52kukw1pa[Column1],timeseries_access_key_fqeas14oitk235763mntlb1c0brnk9w3fenzqbk313q5kvxyf52kukw1pa[Month],MONTH(Data!$A292),timeseries_access_key_fqeas14oitk235763mntlb1c0brnk9w3fenzqbk313q5kvxyf52kukw1pa[Year],YEAR(Data!$A292)),"")</f>
        <v/>
      </c>
      <c r="O292" s="8" t="str">
        <f>IFERROR(VLOOKUP($A292,Text_1_2[[Text.1.1.3]:[Text.1.3]],2,FALSE),"")</f>
        <v/>
      </c>
      <c r="P292" s="2"/>
    </row>
    <row r="293" spans="1:16" x14ac:dyDescent="0.25">
      <c r="A293" s="1">
        <v>30042</v>
      </c>
      <c r="B293" t="str">
        <f>HLOOKUP(Dashboard!$I$27,results,ROW(A293),FALSE)</f>
        <v/>
      </c>
      <c r="C293">
        <f>IFERROR(VLOOKUP(A293,observations_series_id_PCU22112222112243_api_key_ecc133893ea92a842ee685c73424608[],2,FALSE),"")</f>
        <v>84.1</v>
      </c>
      <c r="D293" s="2">
        <f>IFERROR(VLOOKUP(A293,observations_series_id_PCU22112222112243_api_key_ecc133893ea92a842ee685c73424608[],3,FALSE),"")</f>
        <v>0.7931034482758621</v>
      </c>
      <c r="E293" t="str">
        <f>IFERROR(VLOOKUP($A293,observations_series_id_WPU0613020T_api_key_ecc133893ea92a842ee685c734246086_file[],2,FALSE),"")</f>
        <v/>
      </c>
      <c r="F293" s="2" t="str">
        <f>IFERROR(VLOOKUP($A293,observations_series_id_WPU0613020T_api_key_ecc133893ea92a842ee685c734246086_file[],3,FALSE),"")</f>
        <v/>
      </c>
      <c r="G293" t="str">
        <f>IFERROR(VLOOKUP($A293,observations_series_id_PCU22122212_api_key_ecc133893ea92a842ee685c734246086_file[],2,FALSE),"")</f>
        <v/>
      </c>
      <c r="H293" s="2" t="str">
        <f>IFERROR(VLOOKUP($A293,observations_series_id_PCU22122212_api_key_ecc133893ea92a842ee685c734246086_file[],3,FALSE),"")</f>
        <v/>
      </c>
      <c r="I293">
        <f>IFERROR(VLOOKUP($A293,observations_series_id_PCU3241913241910_api_key_ecc133893ea92a842ee685c734246086[],2,FALSE),"")</f>
        <v>106.3</v>
      </c>
      <c r="J293" s="2">
        <f>IFERROR(VLOOKUP($A293,observations_series_id_PCU3241913241910_api_key_ecc133893ea92a842ee685c734246086[],3,FALSE),"")</f>
        <v>0.51646284101599249</v>
      </c>
      <c r="K293">
        <f>IFERROR(VLOOKUP($A293,observations_series_id_EXJPUS_api_key_ecc133893ea92a842ee685c734246086_file_type[],2,FALSE),"")</f>
        <v>244.10679999999999</v>
      </c>
      <c r="L293" s="2">
        <f>IFERROR(VLOOKUP($A293,observations_series_id_EXJPUS_api_key_ecc133893ea92a842ee685c734246086_file_type[],3,FALSE),"")</f>
        <v>-0.46665312068324183</v>
      </c>
      <c r="M293" t="str">
        <f>IFERROR(AVERAGEIFS(timeseries_access_key_fqeas14oitk235763mntlb1c0brnk9w3fenzqbk313q5kvxyf52kukw1pa[Value.LME-ZNC],timeseries_access_key_fqeas14oitk235763mntlb1c0brnk9w3fenzqbk313q5kvxyf52kukw1pa[Month],MONTH(Data!$A293),timeseries_access_key_fqeas14oitk235763mntlb1c0brnk9w3fenzqbk313q5kvxyf52kukw1pa[Year],YEAR(Data!$A293)),"")</f>
        <v/>
      </c>
      <c r="N293" s="2" t="str">
        <f>IFERROR(AVERAGEIFS(timeseries_access_key_fqeas14oitk235763mntlb1c0brnk9w3fenzqbk313q5kvxyf52kukw1pa[Column1],timeseries_access_key_fqeas14oitk235763mntlb1c0brnk9w3fenzqbk313q5kvxyf52kukw1pa[Month],MONTH(Data!$A293),timeseries_access_key_fqeas14oitk235763mntlb1c0brnk9w3fenzqbk313q5kvxyf52kukw1pa[Year],YEAR(Data!$A293)),"")</f>
        <v/>
      </c>
      <c r="O293" s="8" t="str">
        <f>IFERROR(VLOOKUP($A293,Text_1_2[[Text.1.1.3]:[Text.1.3]],2,FALSE),"")</f>
        <v/>
      </c>
      <c r="P293" s="2"/>
    </row>
    <row r="294" spans="1:16" x14ac:dyDescent="0.25">
      <c r="A294" s="1">
        <v>30072</v>
      </c>
      <c r="B294" t="str">
        <f>HLOOKUP(Dashboard!$I$27,results,ROW(A294),FALSE)</f>
        <v/>
      </c>
      <c r="C294">
        <f>IFERROR(VLOOKUP(A294,observations_series_id_PCU22112222112243_api_key_ecc133893ea92a842ee685c73424608[],2,FALSE),"")</f>
        <v>83.8</v>
      </c>
      <c r="D294" s="2">
        <f>IFERROR(VLOOKUP(A294,observations_series_id_PCU22112222112243_api_key_ecc133893ea92a842ee685c73424608[],3,FALSE),"")</f>
        <v>0.79236276849642007</v>
      </c>
      <c r="E294" t="str">
        <f>IFERROR(VLOOKUP($A294,observations_series_id_WPU0613020T_api_key_ecc133893ea92a842ee685c734246086_file[],2,FALSE),"")</f>
        <v/>
      </c>
      <c r="F294" s="2" t="str">
        <f>IFERROR(VLOOKUP($A294,observations_series_id_WPU0613020T_api_key_ecc133893ea92a842ee685c734246086_file[],3,FALSE),"")</f>
        <v/>
      </c>
      <c r="G294" t="str">
        <f>IFERROR(VLOOKUP($A294,observations_series_id_PCU22122212_api_key_ecc133893ea92a842ee685c734246086_file[],2,FALSE),"")</f>
        <v/>
      </c>
      <c r="H294" s="2" t="str">
        <f>IFERROR(VLOOKUP($A294,observations_series_id_PCU22122212_api_key_ecc133893ea92a842ee685c734246086_file[],3,FALSE),"")</f>
        <v/>
      </c>
      <c r="I294">
        <f>IFERROR(VLOOKUP($A294,observations_series_id_PCU3241913241910_api_key_ecc133893ea92a842ee685c734246086[],2,FALSE),"")</f>
        <v>107</v>
      </c>
      <c r="J294" s="2">
        <f>IFERROR(VLOOKUP($A294,observations_series_id_PCU3241913241910_api_key_ecc133893ea92a842ee685c734246086[],3,FALSE),"")</f>
        <v>0.51962616822429908</v>
      </c>
      <c r="K294">
        <f>IFERROR(VLOOKUP($A294,observations_series_id_EXJPUS_api_key_ecc133893ea92a842ee685c734246086_file_type[],2,FALSE),"")</f>
        <v>236.96350000000001</v>
      </c>
      <c r="L294" s="2">
        <f>IFERROR(VLOOKUP($A294,observations_series_id_EXJPUS_api_key_ecc133893ea92a842ee685c734246086_file_type[],3,FALSE),"")</f>
        <v>-0.51086559744433191</v>
      </c>
      <c r="M294" t="str">
        <f>IFERROR(AVERAGEIFS(timeseries_access_key_fqeas14oitk235763mntlb1c0brnk9w3fenzqbk313q5kvxyf52kukw1pa[Value.LME-ZNC],timeseries_access_key_fqeas14oitk235763mntlb1c0brnk9w3fenzqbk313q5kvxyf52kukw1pa[Month],MONTH(Data!$A294),timeseries_access_key_fqeas14oitk235763mntlb1c0brnk9w3fenzqbk313q5kvxyf52kukw1pa[Year],YEAR(Data!$A294)),"")</f>
        <v/>
      </c>
      <c r="N294" s="2" t="str">
        <f>IFERROR(AVERAGEIFS(timeseries_access_key_fqeas14oitk235763mntlb1c0brnk9w3fenzqbk313q5kvxyf52kukw1pa[Column1],timeseries_access_key_fqeas14oitk235763mntlb1c0brnk9w3fenzqbk313q5kvxyf52kukw1pa[Month],MONTH(Data!$A294),timeseries_access_key_fqeas14oitk235763mntlb1c0brnk9w3fenzqbk313q5kvxyf52kukw1pa[Year],YEAR(Data!$A294)),"")</f>
        <v/>
      </c>
      <c r="O294" s="8" t="str">
        <f>IFERROR(VLOOKUP($A294,Text_1_2[[Text.1.1.3]:[Text.1.3]],2,FALSE),"")</f>
        <v/>
      </c>
      <c r="P294" s="2"/>
    </row>
    <row r="295" spans="1:16" x14ac:dyDescent="0.25">
      <c r="A295" s="1">
        <v>30103</v>
      </c>
      <c r="B295" t="str">
        <f>HLOOKUP(Dashboard!$I$27,results,ROW(A295),FALSE)</f>
        <v/>
      </c>
      <c r="C295">
        <f>IFERROR(VLOOKUP(A295,observations_series_id_PCU22112222112243_api_key_ecc133893ea92a842ee685c73424608[],2,FALSE),"")</f>
        <v>83.8</v>
      </c>
      <c r="D295" s="2">
        <f>IFERROR(VLOOKUP(A295,observations_series_id_PCU22112222112243_api_key_ecc133893ea92a842ee685c73424608[],3,FALSE),"")</f>
        <v>0.79236276849642007</v>
      </c>
      <c r="E295" t="str">
        <f>IFERROR(VLOOKUP($A295,observations_series_id_WPU0613020T_api_key_ecc133893ea92a842ee685c734246086_file[],2,FALSE),"")</f>
        <v/>
      </c>
      <c r="F295" s="2" t="str">
        <f>IFERROR(VLOOKUP($A295,observations_series_id_WPU0613020T_api_key_ecc133893ea92a842ee685c734246086_file[],3,FALSE),"")</f>
        <v/>
      </c>
      <c r="G295" t="str">
        <f>IFERROR(VLOOKUP($A295,observations_series_id_PCU22122212_api_key_ecc133893ea92a842ee685c734246086_file[],2,FALSE),"")</f>
        <v/>
      </c>
      <c r="H295" s="2" t="str">
        <f>IFERROR(VLOOKUP($A295,observations_series_id_PCU22122212_api_key_ecc133893ea92a842ee685c734246086_file[],3,FALSE),"")</f>
        <v/>
      </c>
      <c r="I295">
        <f>IFERROR(VLOOKUP($A295,observations_series_id_PCU3241913241910_api_key_ecc133893ea92a842ee685c734246086[],2,FALSE),"")</f>
        <v>107</v>
      </c>
      <c r="J295" s="2">
        <f>IFERROR(VLOOKUP($A295,observations_series_id_PCU3241913241910_api_key_ecc133893ea92a842ee685c734246086[],3,FALSE),"")</f>
        <v>0.51962616822429908</v>
      </c>
      <c r="K295">
        <f>IFERROR(VLOOKUP($A295,observations_series_id_EXJPUS_api_key_ecc133893ea92a842ee685c734246086_file_type[],2,FALSE),"")</f>
        <v>251.1977</v>
      </c>
      <c r="L295" s="2">
        <f>IFERROR(VLOOKUP($A295,observations_series_id_EXJPUS_api_key_ecc133893ea92a842ee685c734246086_file_type[],3,FALSE),"")</f>
        <v>-0.4252519031822346</v>
      </c>
      <c r="M295" t="str">
        <f>IFERROR(AVERAGEIFS(timeseries_access_key_fqeas14oitk235763mntlb1c0brnk9w3fenzqbk313q5kvxyf52kukw1pa[Value.LME-ZNC],timeseries_access_key_fqeas14oitk235763mntlb1c0brnk9w3fenzqbk313q5kvxyf52kukw1pa[Month],MONTH(Data!$A295),timeseries_access_key_fqeas14oitk235763mntlb1c0brnk9w3fenzqbk313q5kvxyf52kukw1pa[Year],YEAR(Data!$A295)),"")</f>
        <v/>
      </c>
      <c r="N295" s="2" t="str">
        <f>IFERROR(AVERAGEIFS(timeseries_access_key_fqeas14oitk235763mntlb1c0brnk9w3fenzqbk313q5kvxyf52kukw1pa[Column1],timeseries_access_key_fqeas14oitk235763mntlb1c0brnk9w3fenzqbk313q5kvxyf52kukw1pa[Month],MONTH(Data!$A295),timeseries_access_key_fqeas14oitk235763mntlb1c0brnk9w3fenzqbk313q5kvxyf52kukw1pa[Year],YEAR(Data!$A295)),"")</f>
        <v/>
      </c>
      <c r="O295" s="8" t="str">
        <f>IFERROR(VLOOKUP($A295,Text_1_2[[Text.1.1.3]:[Text.1.3]],2,FALSE),"")</f>
        <v/>
      </c>
      <c r="P295" s="2"/>
    </row>
    <row r="296" spans="1:16" x14ac:dyDescent="0.25">
      <c r="A296" s="1">
        <v>30133</v>
      </c>
      <c r="B296" t="str">
        <f>HLOOKUP(Dashboard!$I$27,results,ROW(A296),FALSE)</f>
        <v/>
      </c>
      <c r="C296">
        <f>IFERROR(VLOOKUP(A296,observations_series_id_PCU22112222112243_api_key_ecc133893ea92a842ee685c73424608[],2,FALSE),"")</f>
        <v>85.9</v>
      </c>
      <c r="D296" s="2">
        <f>IFERROR(VLOOKUP(A296,observations_series_id_PCU22112222112243_api_key_ecc133893ea92a842ee685c73424608[],3,FALSE),"")</f>
        <v>0.79743888242142025</v>
      </c>
      <c r="E296" t="str">
        <f>IFERROR(VLOOKUP($A296,observations_series_id_WPU0613020T_api_key_ecc133893ea92a842ee685c734246086_file[],2,FALSE),"")</f>
        <v/>
      </c>
      <c r="F296" s="2" t="str">
        <f>IFERROR(VLOOKUP($A296,observations_series_id_WPU0613020T_api_key_ecc133893ea92a842ee685c734246086_file[],3,FALSE),"")</f>
        <v/>
      </c>
      <c r="G296" t="str">
        <f>IFERROR(VLOOKUP($A296,observations_series_id_PCU22122212_api_key_ecc133893ea92a842ee685c734246086_file[],2,FALSE),"")</f>
        <v/>
      </c>
      <c r="H296" s="2" t="str">
        <f>IFERROR(VLOOKUP($A296,observations_series_id_PCU22122212_api_key_ecc133893ea92a842ee685c734246086_file[],3,FALSE),"")</f>
        <v/>
      </c>
      <c r="I296">
        <f>IFERROR(VLOOKUP($A296,observations_series_id_PCU3241913241910_api_key_ecc133893ea92a842ee685c734246086[],2,FALSE),"")</f>
        <v>106.6</v>
      </c>
      <c r="J296" s="2">
        <f>IFERROR(VLOOKUP($A296,observations_series_id_PCU3241913241910_api_key_ecc133893ea92a842ee685c734246086[],3,FALSE),"")</f>
        <v>0.51782363977485923</v>
      </c>
      <c r="K296">
        <f>IFERROR(VLOOKUP($A296,observations_series_id_EXJPUS_api_key_ecc133893ea92a842ee685c734246086_file_type[],2,FALSE),"")</f>
        <v>255.03100000000001</v>
      </c>
      <c r="L296" s="2">
        <f>IFERROR(VLOOKUP($A296,observations_series_id_EXJPUS_api_key_ecc133893ea92a842ee685c734246086_file_type[],3,FALSE),"")</f>
        <v>-0.4038293383941558</v>
      </c>
      <c r="M296" t="str">
        <f>IFERROR(AVERAGEIFS(timeseries_access_key_fqeas14oitk235763mntlb1c0brnk9w3fenzqbk313q5kvxyf52kukw1pa[Value.LME-ZNC],timeseries_access_key_fqeas14oitk235763mntlb1c0brnk9w3fenzqbk313q5kvxyf52kukw1pa[Month],MONTH(Data!$A296),timeseries_access_key_fqeas14oitk235763mntlb1c0brnk9w3fenzqbk313q5kvxyf52kukw1pa[Year],YEAR(Data!$A296)),"")</f>
        <v/>
      </c>
      <c r="N296" s="2" t="str">
        <f>IFERROR(AVERAGEIFS(timeseries_access_key_fqeas14oitk235763mntlb1c0brnk9w3fenzqbk313q5kvxyf52kukw1pa[Column1],timeseries_access_key_fqeas14oitk235763mntlb1c0brnk9w3fenzqbk313q5kvxyf52kukw1pa[Month],MONTH(Data!$A296),timeseries_access_key_fqeas14oitk235763mntlb1c0brnk9w3fenzqbk313q5kvxyf52kukw1pa[Year],YEAR(Data!$A296)),"")</f>
        <v/>
      </c>
      <c r="O296" s="8" t="str">
        <f>IFERROR(VLOOKUP($A296,Text_1_2[[Text.1.1.3]:[Text.1.3]],2,FALSE),"")</f>
        <v/>
      </c>
      <c r="P296" s="2"/>
    </row>
    <row r="297" spans="1:16" x14ac:dyDescent="0.25">
      <c r="A297" s="1">
        <v>30164</v>
      </c>
      <c r="B297" t="str">
        <f>HLOOKUP(Dashboard!$I$27,results,ROW(A297),FALSE)</f>
        <v/>
      </c>
      <c r="C297">
        <f>IFERROR(VLOOKUP(A297,observations_series_id_PCU22112222112243_api_key_ecc133893ea92a842ee685c73424608[],2,FALSE),"")</f>
        <v>85.8</v>
      </c>
      <c r="D297" s="2">
        <f>IFERROR(VLOOKUP(A297,observations_series_id_PCU22112222112243_api_key_ecc133893ea92a842ee685c73424608[],3,FALSE),"")</f>
        <v>0.79720279720279719</v>
      </c>
      <c r="E297" t="str">
        <f>IFERROR(VLOOKUP($A297,observations_series_id_WPU0613020T_api_key_ecc133893ea92a842ee685c734246086_file[],2,FALSE),"")</f>
        <v/>
      </c>
      <c r="F297" s="2" t="str">
        <f>IFERROR(VLOOKUP($A297,observations_series_id_WPU0613020T_api_key_ecc133893ea92a842ee685c734246086_file[],3,FALSE),"")</f>
        <v/>
      </c>
      <c r="G297" t="str">
        <f>IFERROR(VLOOKUP($A297,observations_series_id_PCU22122212_api_key_ecc133893ea92a842ee685c734246086_file[],2,FALSE),"")</f>
        <v/>
      </c>
      <c r="H297" s="2" t="str">
        <f>IFERROR(VLOOKUP($A297,observations_series_id_PCU22122212_api_key_ecc133893ea92a842ee685c734246086_file[],3,FALSE),"")</f>
        <v/>
      </c>
      <c r="I297">
        <f>IFERROR(VLOOKUP($A297,observations_series_id_PCU3241913241910_api_key_ecc133893ea92a842ee685c734246086[],2,FALSE),"")</f>
        <v>106.6</v>
      </c>
      <c r="J297" s="2">
        <f>IFERROR(VLOOKUP($A297,observations_series_id_PCU3241913241910_api_key_ecc133893ea92a842ee685c734246086[],3,FALSE),"")</f>
        <v>0.51782363977485923</v>
      </c>
      <c r="K297">
        <f>IFERROR(VLOOKUP($A297,observations_series_id_EXJPUS_api_key_ecc133893ea92a842ee685c734246086_file_type[],2,FALSE),"")</f>
        <v>259.0455</v>
      </c>
      <c r="L297" s="2">
        <f>IFERROR(VLOOKUP($A297,observations_series_id_EXJPUS_api_key_ecc133893ea92a842ee685c734246086_file_type[],3,FALSE),"")</f>
        <v>-0.38207380556697568</v>
      </c>
      <c r="M297" t="str">
        <f>IFERROR(AVERAGEIFS(timeseries_access_key_fqeas14oitk235763mntlb1c0brnk9w3fenzqbk313q5kvxyf52kukw1pa[Value.LME-ZNC],timeseries_access_key_fqeas14oitk235763mntlb1c0brnk9w3fenzqbk313q5kvxyf52kukw1pa[Month],MONTH(Data!$A297),timeseries_access_key_fqeas14oitk235763mntlb1c0brnk9w3fenzqbk313q5kvxyf52kukw1pa[Year],YEAR(Data!$A297)),"")</f>
        <v/>
      </c>
      <c r="N297" s="2" t="str">
        <f>IFERROR(AVERAGEIFS(timeseries_access_key_fqeas14oitk235763mntlb1c0brnk9w3fenzqbk313q5kvxyf52kukw1pa[Column1],timeseries_access_key_fqeas14oitk235763mntlb1c0brnk9w3fenzqbk313q5kvxyf52kukw1pa[Month],MONTH(Data!$A297),timeseries_access_key_fqeas14oitk235763mntlb1c0brnk9w3fenzqbk313q5kvxyf52kukw1pa[Year],YEAR(Data!$A297)),"")</f>
        <v/>
      </c>
      <c r="O297" s="8" t="str">
        <f>IFERROR(VLOOKUP($A297,Text_1_2[[Text.1.1.3]:[Text.1.3]],2,FALSE),"")</f>
        <v/>
      </c>
      <c r="P297" s="2"/>
    </row>
    <row r="298" spans="1:16" x14ac:dyDescent="0.25">
      <c r="A298" s="1">
        <v>30195</v>
      </c>
      <c r="B298" t="str">
        <f>HLOOKUP(Dashboard!$I$27,results,ROW(A298),FALSE)</f>
        <v/>
      </c>
      <c r="C298">
        <f>IFERROR(VLOOKUP(A298,observations_series_id_PCU22112222112243_api_key_ecc133893ea92a842ee685c73424608[],2,FALSE),"")</f>
        <v>85.6</v>
      </c>
      <c r="D298" s="2">
        <f>IFERROR(VLOOKUP(A298,observations_series_id_PCU22112222112243_api_key_ecc133893ea92a842ee685c73424608[],3,FALSE),"")</f>
        <v>0.79672897196261683</v>
      </c>
      <c r="E298" t="str">
        <f>IFERROR(VLOOKUP($A298,observations_series_id_WPU0613020T_api_key_ecc133893ea92a842ee685c734246086_file[],2,FALSE),"")</f>
        <v/>
      </c>
      <c r="F298" s="2" t="str">
        <f>IFERROR(VLOOKUP($A298,observations_series_id_WPU0613020T_api_key_ecc133893ea92a842ee685c734246086_file[],3,FALSE),"")</f>
        <v/>
      </c>
      <c r="G298" t="str">
        <f>IFERROR(VLOOKUP($A298,observations_series_id_PCU22122212_api_key_ecc133893ea92a842ee685c734246086_file[],2,FALSE),"")</f>
        <v/>
      </c>
      <c r="H298" s="2" t="str">
        <f>IFERROR(VLOOKUP($A298,observations_series_id_PCU22122212_api_key_ecc133893ea92a842ee685c734246086_file[],3,FALSE),"")</f>
        <v/>
      </c>
      <c r="I298">
        <f>IFERROR(VLOOKUP($A298,observations_series_id_PCU3241913241910_api_key_ecc133893ea92a842ee685c734246086[],2,FALSE),"")</f>
        <v>106.7</v>
      </c>
      <c r="J298" s="2">
        <f>IFERROR(VLOOKUP($A298,observations_series_id_PCU3241913241910_api_key_ecc133893ea92a842ee685c734246086[],3,FALSE),"")</f>
        <v>0.51827553889409561</v>
      </c>
      <c r="K298">
        <f>IFERROR(VLOOKUP($A298,observations_series_id_EXJPUS_api_key_ecc133893ea92a842ee685c734246086_file_type[],2,FALSE),"")</f>
        <v>263.28570000000002</v>
      </c>
      <c r="L298" s="2">
        <f>IFERROR(VLOOKUP($A298,observations_series_id_EXJPUS_api_key_ecc133893ea92a842ee685c734246086_file_type[],3,FALSE),"")</f>
        <v>-0.35981559195960866</v>
      </c>
      <c r="M298" t="str">
        <f>IFERROR(AVERAGEIFS(timeseries_access_key_fqeas14oitk235763mntlb1c0brnk9w3fenzqbk313q5kvxyf52kukw1pa[Value.LME-ZNC],timeseries_access_key_fqeas14oitk235763mntlb1c0brnk9w3fenzqbk313q5kvxyf52kukw1pa[Month],MONTH(Data!$A298),timeseries_access_key_fqeas14oitk235763mntlb1c0brnk9w3fenzqbk313q5kvxyf52kukw1pa[Year],YEAR(Data!$A298)),"")</f>
        <v/>
      </c>
      <c r="N298" s="2" t="str">
        <f>IFERROR(AVERAGEIFS(timeseries_access_key_fqeas14oitk235763mntlb1c0brnk9w3fenzqbk313q5kvxyf52kukw1pa[Column1],timeseries_access_key_fqeas14oitk235763mntlb1c0brnk9w3fenzqbk313q5kvxyf52kukw1pa[Month],MONTH(Data!$A298),timeseries_access_key_fqeas14oitk235763mntlb1c0brnk9w3fenzqbk313q5kvxyf52kukw1pa[Year],YEAR(Data!$A298)),"")</f>
        <v/>
      </c>
      <c r="O298" s="8" t="str">
        <f>IFERROR(VLOOKUP($A298,Text_1_2[[Text.1.1.3]:[Text.1.3]],2,FALSE),"")</f>
        <v/>
      </c>
      <c r="P298" s="2"/>
    </row>
    <row r="299" spans="1:16" x14ac:dyDescent="0.25">
      <c r="A299" s="1">
        <v>30225</v>
      </c>
      <c r="B299" t="str">
        <f>HLOOKUP(Dashboard!$I$27,results,ROW(A299),FALSE)</f>
        <v/>
      </c>
      <c r="C299">
        <f>IFERROR(VLOOKUP(A299,observations_series_id_PCU22112222112243_api_key_ecc133893ea92a842ee685c73424608[],2,FALSE),"")</f>
        <v>84.7</v>
      </c>
      <c r="D299" s="2">
        <f>IFERROR(VLOOKUP(A299,observations_series_id_PCU22112222112243_api_key_ecc133893ea92a842ee685c73424608[],3,FALSE),"")</f>
        <v>0.79456906729634003</v>
      </c>
      <c r="E299" t="str">
        <f>IFERROR(VLOOKUP($A299,observations_series_id_WPU0613020T_api_key_ecc133893ea92a842ee685c734246086_file[],2,FALSE),"")</f>
        <v/>
      </c>
      <c r="F299" s="2" t="str">
        <f>IFERROR(VLOOKUP($A299,observations_series_id_WPU0613020T_api_key_ecc133893ea92a842ee685c734246086_file[],3,FALSE),"")</f>
        <v/>
      </c>
      <c r="G299" t="str">
        <f>IFERROR(VLOOKUP($A299,observations_series_id_PCU22122212_api_key_ecc133893ea92a842ee685c734246086_file[],2,FALSE),"")</f>
        <v/>
      </c>
      <c r="H299" s="2" t="str">
        <f>IFERROR(VLOOKUP($A299,observations_series_id_PCU22122212_api_key_ecc133893ea92a842ee685c734246086_file[],3,FALSE),"")</f>
        <v/>
      </c>
      <c r="I299">
        <f>IFERROR(VLOOKUP($A299,observations_series_id_PCU3241913241910_api_key_ecc133893ea92a842ee685c734246086[],2,FALSE),"")</f>
        <v>106.5</v>
      </c>
      <c r="J299" s="2">
        <f>IFERROR(VLOOKUP($A299,observations_series_id_PCU3241913241910_api_key_ecc133893ea92a842ee685c734246086[],3,FALSE),"")</f>
        <v>0.51737089201877939</v>
      </c>
      <c r="K299">
        <f>IFERROR(VLOOKUP($A299,observations_series_id_EXJPUS_api_key_ecc133893ea92a842ee685c734246086_file_type[],2,FALSE),"")</f>
        <v>271.61500000000001</v>
      </c>
      <c r="L299" s="2">
        <f>IFERROR(VLOOKUP($A299,observations_series_id_EXJPUS_api_key_ecc133893ea92a842ee685c734246086_file_type[],3,FALSE),"")</f>
        <v>-0.31811571525873017</v>
      </c>
      <c r="M299" t="str">
        <f>IFERROR(AVERAGEIFS(timeseries_access_key_fqeas14oitk235763mntlb1c0brnk9w3fenzqbk313q5kvxyf52kukw1pa[Value.LME-ZNC],timeseries_access_key_fqeas14oitk235763mntlb1c0brnk9w3fenzqbk313q5kvxyf52kukw1pa[Month],MONTH(Data!$A299),timeseries_access_key_fqeas14oitk235763mntlb1c0brnk9w3fenzqbk313q5kvxyf52kukw1pa[Year],YEAR(Data!$A299)),"")</f>
        <v/>
      </c>
      <c r="N299" s="2" t="str">
        <f>IFERROR(AVERAGEIFS(timeseries_access_key_fqeas14oitk235763mntlb1c0brnk9w3fenzqbk313q5kvxyf52kukw1pa[Column1],timeseries_access_key_fqeas14oitk235763mntlb1c0brnk9w3fenzqbk313q5kvxyf52kukw1pa[Month],MONTH(Data!$A299),timeseries_access_key_fqeas14oitk235763mntlb1c0brnk9w3fenzqbk313q5kvxyf52kukw1pa[Year],YEAR(Data!$A299)),"")</f>
        <v/>
      </c>
      <c r="O299" s="8" t="str">
        <f>IFERROR(VLOOKUP($A299,Text_1_2[[Text.1.1.3]:[Text.1.3]],2,FALSE),"")</f>
        <v/>
      </c>
      <c r="P299" s="2"/>
    </row>
    <row r="300" spans="1:16" x14ac:dyDescent="0.25">
      <c r="A300" s="1">
        <v>30256</v>
      </c>
      <c r="B300" t="str">
        <f>HLOOKUP(Dashboard!$I$27,results,ROW(A300),FALSE)</f>
        <v/>
      </c>
      <c r="C300">
        <f>IFERROR(VLOOKUP(A300,observations_series_id_PCU22112222112243_api_key_ecc133893ea92a842ee685c73424608[],2,FALSE),"")</f>
        <v>84.3</v>
      </c>
      <c r="D300" s="2">
        <f>IFERROR(VLOOKUP(A300,observations_series_id_PCU22112222112243_api_key_ecc133893ea92a842ee685c73424608[],3,FALSE),"")</f>
        <v>0.79359430604982206</v>
      </c>
      <c r="E300" t="str">
        <f>IFERROR(VLOOKUP($A300,observations_series_id_WPU0613020T_api_key_ecc133893ea92a842ee685c734246086_file[],2,FALSE),"")</f>
        <v/>
      </c>
      <c r="F300" s="2" t="str">
        <f>IFERROR(VLOOKUP($A300,observations_series_id_WPU0613020T_api_key_ecc133893ea92a842ee685c734246086_file[],3,FALSE),"")</f>
        <v/>
      </c>
      <c r="G300" t="str">
        <f>IFERROR(VLOOKUP($A300,observations_series_id_PCU22122212_api_key_ecc133893ea92a842ee685c734246086_file[],2,FALSE),"")</f>
        <v/>
      </c>
      <c r="H300" s="2" t="str">
        <f>IFERROR(VLOOKUP($A300,observations_series_id_PCU22122212_api_key_ecc133893ea92a842ee685c734246086_file[],3,FALSE),"")</f>
        <v/>
      </c>
      <c r="I300">
        <f>IFERROR(VLOOKUP($A300,observations_series_id_PCU3241913241910_api_key_ecc133893ea92a842ee685c734246086[],2,FALSE),"")</f>
        <v>106.4</v>
      </c>
      <c r="J300" s="2">
        <f>IFERROR(VLOOKUP($A300,observations_series_id_PCU3241913241910_api_key_ecc133893ea92a842ee685c734246086[],3,FALSE),"")</f>
        <v>0.51691729323308278</v>
      </c>
      <c r="K300">
        <f>IFERROR(VLOOKUP($A300,observations_series_id_EXJPUS_api_key_ecc133893ea92a842ee685c734246086_file_type[],2,FALSE),"")</f>
        <v>264.08789999999999</v>
      </c>
      <c r="L300" s="2">
        <f>IFERROR(VLOOKUP($A300,observations_series_id_EXJPUS_api_key_ecc133893ea92a842ee685c734246086_file_type[],3,FALSE),"")</f>
        <v>-0.35568498215934929</v>
      </c>
      <c r="M300" t="str">
        <f>IFERROR(AVERAGEIFS(timeseries_access_key_fqeas14oitk235763mntlb1c0brnk9w3fenzqbk313q5kvxyf52kukw1pa[Value.LME-ZNC],timeseries_access_key_fqeas14oitk235763mntlb1c0brnk9w3fenzqbk313q5kvxyf52kukw1pa[Month],MONTH(Data!$A300),timeseries_access_key_fqeas14oitk235763mntlb1c0brnk9w3fenzqbk313q5kvxyf52kukw1pa[Year],YEAR(Data!$A300)),"")</f>
        <v/>
      </c>
      <c r="N300" s="2" t="str">
        <f>IFERROR(AVERAGEIFS(timeseries_access_key_fqeas14oitk235763mntlb1c0brnk9w3fenzqbk313q5kvxyf52kukw1pa[Column1],timeseries_access_key_fqeas14oitk235763mntlb1c0brnk9w3fenzqbk313q5kvxyf52kukw1pa[Month],MONTH(Data!$A300),timeseries_access_key_fqeas14oitk235763mntlb1c0brnk9w3fenzqbk313q5kvxyf52kukw1pa[Year],YEAR(Data!$A300)),"")</f>
        <v/>
      </c>
      <c r="O300" s="8" t="str">
        <f>IFERROR(VLOOKUP($A300,Text_1_2[[Text.1.1.3]:[Text.1.3]],2,FALSE),"")</f>
        <v/>
      </c>
      <c r="P300" s="2"/>
    </row>
    <row r="301" spans="1:16" x14ac:dyDescent="0.25">
      <c r="A301" s="1">
        <v>30286</v>
      </c>
      <c r="B301" t="str">
        <f>HLOOKUP(Dashboard!$I$27,results,ROW(A301),FALSE)</f>
        <v/>
      </c>
      <c r="C301">
        <f>IFERROR(VLOOKUP(A301,observations_series_id_PCU22112222112243_api_key_ecc133893ea92a842ee685c73424608[],2,FALSE),"")</f>
        <v>85.5</v>
      </c>
      <c r="D301" s="2">
        <f>IFERROR(VLOOKUP(A301,observations_series_id_PCU22112222112243_api_key_ecc133893ea92a842ee685c73424608[],3,FALSE),"")</f>
        <v>0.79649122807017547</v>
      </c>
      <c r="E301" t="str">
        <f>IFERROR(VLOOKUP($A301,observations_series_id_WPU0613020T_api_key_ecc133893ea92a842ee685c734246086_file[],2,FALSE),"")</f>
        <v/>
      </c>
      <c r="F301" s="2" t="str">
        <f>IFERROR(VLOOKUP($A301,observations_series_id_WPU0613020T_api_key_ecc133893ea92a842ee685c734246086_file[],3,FALSE),"")</f>
        <v/>
      </c>
      <c r="G301" t="str">
        <f>IFERROR(VLOOKUP($A301,observations_series_id_PCU22122212_api_key_ecc133893ea92a842ee685c734246086_file[],2,FALSE),"")</f>
        <v/>
      </c>
      <c r="H301" s="2" t="str">
        <f>IFERROR(VLOOKUP($A301,observations_series_id_PCU22122212_api_key_ecc133893ea92a842ee685c734246086_file[],3,FALSE),"")</f>
        <v/>
      </c>
      <c r="I301">
        <f>IFERROR(VLOOKUP($A301,observations_series_id_PCU3241913241910_api_key_ecc133893ea92a842ee685c734246086[],2,FALSE),"")</f>
        <v>106.3</v>
      </c>
      <c r="J301" s="2">
        <f>IFERROR(VLOOKUP($A301,observations_series_id_PCU3241913241910_api_key_ecc133893ea92a842ee685c734246086[],3,FALSE),"")</f>
        <v>0.51646284101599249</v>
      </c>
      <c r="K301">
        <f>IFERROR(VLOOKUP($A301,observations_series_id_EXJPUS_api_key_ecc133893ea92a842ee685c734246086_file_type[],2,FALSE),"")</f>
        <v>241.94130000000001</v>
      </c>
      <c r="L301" s="2">
        <f>IFERROR(VLOOKUP($A301,observations_series_id_EXJPUS_api_key_ecc133893ea92a842ee685c734246086_file_type[],3,FALSE),"")</f>
        <v>-0.47978042607855698</v>
      </c>
      <c r="M301" t="str">
        <f>IFERROR(AVERAGEIFS(timeseries_access_key_fqeas14oitk235763mntlb1c0brnk9w3fenzqbk313q5kvxyf52kukw1pa[Value.LME-ZNC],timeseries_access_key_fqeas14oitk235763mntlb1c0brnk9w3fenzqbk313q5kvxyf52kukw1pa[Month],MONTH(Data!$A301),timeseries_access_key_fqeas14oitk235763mntlb1c0brnk9w3fenzqbk313q5kvxyf52kukw1pa[Year],YEAR(Data!$A301)),"")</f>
        <v/>
      </c>
      <c r="N301" s="2" t="str">
        <f>IFERROR(AVERAGEIFS(timeseries_access_key_fqeas14oitk235763mntlb1c0brnk9w3fenzqbk313q5kvxyf52kukw1pa[Column1],timeseries_access_key_fqeas14oitk235763mntlb1c0brnk9w3fenzqbk313q5kvxyf52kukw1pa[Month],MONTH(Data!$A301),timeseries_access_key_fqeas14oitk235763mntlb1c0brnk9w3fenzqbk313q5kvxyf52kukw1pa[Year],YEAR(Data!$A301)),"")</f>
        <v/>
      </c>
      <c r="O301" s="8" t="str">
        <f>IFERROR(VLOOKUP($A301,Text_1_2[[Text.1.1.3]:[Text.1.3]],2,FALSE),"")</f>
        <v/>
      </c>
      <c r="P301" s="2"/>
    </row>
    <row r="302" spans="1:16" x14ac:dyDescent="0.25">
      <c r="A302" s="1">
        <v>30317</v>
      </c>
      <c r="B302" t="str">
        <f>HLOOKUP(Dashboard!$I$27,results,ROW(A302),FALSE)</f>
        <v/>
      </c>
      <c r="C302">
        <f>IFERROR(VLOOKUP(A302,observations_series_id_PCU22112222112243_api_key_ecc133893ea92a842ee685c73424608[],2,FALSE),"")</f>
        <v>85.6</v>
      </c>
      <c r="D302" s="2">
        <f>IFERROR(VLOOKUP(A302,observations_series_id_PCU22112222112243_api_key_ecc133893ea92a842ee685c73424608[],3,FALSE),"")</f>
        <v>0.79672897196261683</v>
      </c>
      <c r="E302" t="str">
        <f>IFERROR(VLOOKUP($A302,observations_series_id_WPU0613020T_api_key_ecc133893ea92a842ee685c734246086_file[],2,FALSE),"")</f>
        <v/>
      </c>
      <c r="F302" s="2" t="str">
        <f>IFERROR(VLOOKUP($A302,observations_series_id_WPU0613020T_api_key_ecc133893ea92a842ee685c734246086_file[],3,FALSE),"")</f>
        <v/>
      </c>
      <c r="G302" t="str">
        <f>IFERROR(VLOOKUP($A302,observations_series_id_PCU22122212_api_key_ecc133893ea92a842ee685c734246086_file[],2,FALSE),"")</f>
        <v/>
      </c>
      <c r="H302" s="2" t="str">
        <f>IFERROR(VLOOKUP($A302,observations_series_id_PCU22122212_api_key_ecc133893ea92a842ee685c734246086_file[],3,FALSE),"")</f>
        <v/>
      </c>
      <c r="I302">
        <f>IFERROR(VLOOKUP($A302,observations_series_id_PCU3241913241910_api_key_ecc133893ea92a842ee685c734246086[],2,FALSE),"")</f>
        <v>106.4</v>
      </c>
      <c r="J302" s="2">
        <f>IFERROR(VLOOKUP($A302,observations_series_id_PCU3241913241910_api_key_ecc133893ea92a842ee685c734246086[],3,FALSE),"")</f>
        <v>0.51691729323308278</v>
      </c>
      <c r="K302">
        <f>IFERROR(VLOOKUP($A302,observations_series_id_EXJPUS_api_key_ecc133893ea92a842ee685c734246086_file_type[],2,FALSE),"")</f>
        <v>232.73099999999999</v>
      </c>
      <c r="L302" s="2">
        <f>IFERROR(VLOOKUP($A302,observations_series_id_EXJPUS_api_key_ecc133893ea92a842ee685c734246086_file_type[],3,FALSE),"")</f>
        <v>-0.53834254998259778</v>
      </c>
      <c r="M302" t="str">
        <f>IFERROR(AVERAGEIFS(timeseries_access_key_fqeas14oitk235763mntlb1c0brnk9w3fenzqbk313q5kvxyf52kukw1pa[Value.LME-ZNC],timeseries_access_key_fqeas14oitk235763mntlb1c0brnk9w3fenzqbk313q5kvxyf52kukw1pa[Month],MONTH(Data!$A302),timeseries_access_key_fqeas14oitk235763mntlb1c0brnk9w3fenzqbk313q5kvxyf52kukw1pa[Year],YEAR(Data!$A302)),"")</f>
        <v/>
      </c>
      <c r="N302" s="2" t="str">
        <f>IFERROR(AVERAGEIFS(timeseries_access_key_fqeas14oitk235763mntlb1c0brnk9w3fenzqbk313q5kvxyf52kukw1pa[Column1],timeseries_access_key_fqeas14oitk235763mntlb1c0brnk9w3fenzqbk313q5kvxyf52kukw1pa[Month],MONTH(Data!$A302),timeseries_access_key_fqeas14oitk235763mntlb1c0brnk9w3fenzqbk313q5kvxyf52kukw1pa[Year],YEAR(Data!$A302)),"")</f>
        <v/>
      </c>
      <c r="O302" s="8" t="str">
        <f>IFERROR(VLOOKUP($A302,Text_1_2[[Text.1.1.3]:[Text.1.3]],2,FALSE),"")</f>
        <v/>
      </c>
      <c r="P302" s="2"/>
    </row>
    <row r="303" spans="1:16" x14ac:dyDescent="0.25">
      <c r="A303" s="1">
        <v>30348</v>
      </c>
      <c r="B303" t="str">
        <f>HLOOKUP(Dashboard!$I$27,results,ROW(A303),FALSE)</f>
        <v/>
      </c>
      <c r="C303">
        <f>IFERROR(VLOOKUP(A303,observations_series_id_PCU22112222112243_api_key_ecc133893ea92a842ee685c73424608[],2,FALSE),"")</f>
        <v>85.6</v>
      </c>
      <c r="D303" s="2">
        <f>IFERROR(VLOOKUP(A303,observations_series_id_PCU22112222112243_api_key_ecc133893ea92a842ee685c73424608[],3,FALSE),"")</f>
        <v>0.79672897196261683</v>
      </c>
      <c r="E303" t="str">
        <f>IFERROR(VLOOKUP($A303,observations_series_id_WPU0613020T_api_key_ecc133893ea92a842ee685c734246086_file[],2,FALSE),"")</f>
        <v/>
      </c>
      <c r="F303" s="2" t="str">
        <f>IFERROR(VLOOKUP($A303,observations_series_id_WPU0613020T_api_key_ecc133893ea92a842ee685c734246086_file[],3,FALSE),"")</f>
        <v/>
      </c>
      <c r="G303" t="str">
        <f>IFERROR(VLOOKUP($A303,observations_series_id_PCU22122212_api_key_ecc133893ea92a842ee685c734246086_file[],2,FALSE),"")</f>
        <v/>
      </c>
      <c r="H303" s="2" t="str">
        <f>IFERROR(VLOOKUP($A303,observations_series_id_PCU22122212_api_key_ecc133893ea92a842ee685c734246086_file[],3,FALSE),"")</f>
        <v/>
      </c>
      <c r="I303">
        <f>IFERROR(VLOOKUP($A303,observations_series_id_PCU3241913241910_api_key_ecc133893ea92a842ee685c734246086[],2,FALSE),"")</f>
        <v>106.7</v>
      </c>
      <c r="J303" s="2">
        <f>IFERROR(VLOOKUP($A303,observations_series_id_PCU3241913241910_api_key_ecc133893ea92a842ee685c734246086[],3,FALSE),"")</f>
        <v>0.51827553889409561</v>
      </c>
      <c r="K303">
        <f>IFERROR(VLOOKUP($A303,observations_series_id_EXJPUS_api_key_ecc133893ea92a842ee685c734246086_file_type[],2,FALSE),"")</f>
        <v>236.12110000000001</v>
      </c>
      <c r="L303" s="2">
        <f>IFERROR(VLOOKUP($A303,observations_series_id_EXJPUS_api_key_ecc133893ea92a842ee685c734246086_file_type[],3,FALSE),"")</f>
        <v>-0.51625585345824643</v>
      </c>
      <c r="M303" t="str">
        <f>IFERROR(AVERAGEIFS(timeseries_access_key_fqeas14oitk235763mntlb1c0brnk9w3fenzqbk313q5kvxyf52kukw1pa[Value.LME-ZNC],timeseries_access_key_fqeas14oitk235763mntlb1c0brnk9w3fenzqbk313q5kvxyf52kukw1pa[Month],MONTH(Data!$A303),timeseries_access_key_fqeas14oitk235763mntlb1c0brnk9w3fenzqbk313q5kvxyf52kukw1pa[Year],YEAR(Data!$A303)),"")</f>
        <v/>
      </c>
      <c r="N303" s="2" t="str">
        <f>IFERROR(AVERAGEIFS(timeseries_access_key_fqeas14oitk235763mntlb1c0brnk9w3fenzqbk313q5kvxyf52kukw1pa[Column1],timeseries_access_key_fqeas14oitk235763mntlb1c0brnk9w3fenzqbk313q5kvxyf52kukw1pa[Month],MONTH(Data!$A303),timeseries_access_key_fqeas14oitk235763mntlb1c0brnk9w3fenzqbk313q5kvxyf52kukw1pa[Year],YEAR(Data!$A303)),"")</f>
        <v/>
      </c>
      <c r="O303" s="8" t="str">
        <f>IFERROR(VLOOKUP($A303,Text_1_2[[Text.1.1.3]:[Text.1.3]],2,FALSE),"")</f>
        <v/>
      </c>
      <c r="P303" s="2"/>
    </row>
    <row r="304" spans="1:16" x14ac:dyDescent="0.25">
      <c r="A304" s="1">
        <v>30376</v>
      </c>
      <c r="B304" t="str">
        <f>HLOOKUP(Dashboard!$I$27,results,ROW(A304),FALSE)</f>
        <v/>
      </c>
      <c r="C304">
        <f>IFERROR(VLOOKUP(A304,observations_series_id_PCU22112222112243_api_key_ecc133893ea92a842ee685c73424608[],2,FALSE),"")</f>
        <v>85.6</v>
      </c>
      <c r="D304" s="2">
        <f>IFERROR(VLOOKUP(A304,observations_series_id_PCU22112222112243_api_key_ecc133893ea92a842ee685c73424608[],3,FALSE),"")</f>
        <v>0.79672897196261683</v>
      </c>
      <c r="E304" t="str">
        <f>IFERROR(VLOOKUP($A304,observations_series_id_WPU0613020T_api_key_ecc133893ea92a842ee685c734246086_file[],2,FALSE),"")</f>
        <v/>
      </c>
      <c r="F304" s="2" t="str">
        <f>IFERROR(VLOOKUP($A304,observations_series_id_WPU0613020T_api_key_ecc133893ea92a842ee685c734246086_file[],3,FALSE),"")</f>
        <v/>
      </c>
      <c r="G304" t="str">
        <f>IFERROR(VLOOKUP($A304,observations_series_id_PCU22122212_api_key_ecc133893ea92a842ee685c734246086_file[],2,FALSE),"")</f>
        <v/>
      </c>
      <c r="H304" s="2" t="str">
        <f>IFERROR(VLOOKUP($A304,observations_series_id_PCU22122212_api_key_ecc133893ea92a842ee685c734246086_file[],3,FALSE),"")</f>
        <v/>
      </c>
      <c r="I304">
        <f>IFERROR(VLOOKUP($A304,observations_series_id_PCU3241913241910_api_key_ecc133893ea92a842ee685c734246086[],2,FALSE),"")</f>
        <v>106.6</v>
      </c>
      <c r="J304" s="2">
        <f>IFERROR(VLOOKUP($A304,observations_series_id_PCU3241913241910_api_key_ecc133893ea92a842ee685c734246086[],3,FALSE),"")</f>
        <v>0.51782363977485923</v>
      </c>
      <c r="K304">
        <f>IFERROR(VLOOKUP($A304,observations_series_id_EXJPUS_api_key_ecc133893ea92a842ee685c734246086_file_type[],2,FALSE),"")</f>
        <v>238.2543</v>
      </c>
      <c r="L304" s="2">
        <f>IFERROR(VLOOKUP($A304,observations_series_id_EXJPUS_api_key_ecc133893ea92a842ee685c734246086_file_type[],3,FALSE),"")</f>
        <v>-0.50268011951935376</v>
      </c>
      <c r="M304" t="str">
        <f>IFERROR(AVERAGEIFS(timeseries_access_key_fqeas14oitk235763mntlb1c0brnk9w3fenzqbk313q5kvxyf52kukw1pa[Value.LME-ZNC],timeseries_access_key_fqeas14oitk235763mntlb1c0brnk9w3fenzqbk313q5kvxyf52kukw1pa[Month],MONTH(Data!$A304),timeseries_access_key_fqeas14oitk235763mntlb1c0brnk9w3fenzqbk313q5kvxyf52kukw1pa[Year],YEAR(Data!$A304)),"")</f>
        <v/>
      </c>
      <c r="N304" s="2" t="str">
        <f>IFERROR(AVERAGEIFS(timeseries_access_key_fqeas14oitk235763mntlb1c0brnk9w3fenzqbk313q5kvxyf52kukw1pa[Column1],timeseries_access_key_fqeas14oitk235763mntlb1c0brnk9w3fenzqbk313q5kvxyf52kukw1pa[Month],MONTH(Data!$A304),timeseries_access_key_fqeas14oitk235763mntlb1c0brnk9w3fenzqbk313q5kvxyf52kukw1pa[Year],YEAR(Data!$A304)),"")</f>
        <v/>
      </c>
      <c r="O304" s="8" t="str">
        <f>IFERROR(VLOOKUP($A304,Text_1_2[[Text.1.1.3]:[Text.1.3]],2,FALSE),"")</f>
        <v/>
      </c>
      <c r="P304" s="2"/>
    </row>
    <row r="305" spans="1:16" x14ac:dyDescent="0.25">
      <c r="A305" s="1">
        <v>30407</v>
      </c>
      <c r="B305" t="str">
        <f>HLOOKUP(Dashboard!$I$27,results,ROW(A305),FALSE)</f>
        <v/>
      </c>
      <c r="C305">
        <f>IFERROR(VLOOKUP(A305,observations_series_id_PCU22112222112243_api_key_ecc133893ea92a842ee685c73424608[],2,FALSE),"")</f>
        <v>85.3</v>
      </c>
      <c r="D305" s="2">
        <f>IFERROR(VLOOKUP(A305,observations_series_id_PCU22112222112243_api_key_ecc133893ea92a842ee685c73424608[],3,FALSE),"")</f>
        <v>0.79601406799531071</v>
      </c>
      <c r="E305" t="str">
        <f>IFERROR(VLOOKUP($A305,observations_series_id_WPU0613020T_api_key_ecc133893ea92a842ee685c734246086_file[],2,FALSE),"")</f>
        <v/>
      </c>
      <c r="F305" s="2" t="str">
        <f>IFERROR(VLOOKUP($A305,observations_series_id_WPU0613020T_api_key_ecc133893ea92a842ee685c734246086_file[],3,FALSE),"")</f>
        <v/>
      </c>
      <c r="G305" t="str">
        <f>IFERROR(VLOOKUP($A305,observations_series_id_PCU22122212_api_key_ecc133893ea92a842ee685c734246086_file[],2,FALSE),"")</f>
        <v/>
      </c>
      <c r="H305" s="2" t="str">
        <f>IFERROR(VLOOKUP($A305,observations_series_id_PCU22122212_api_key_ecc133893ea92a842ee685c734246086_file[],3,FALSE),"")</f>
        <v/>
      </c>
      <c r="I305">
        <f>IFERROR(VLOOKUP($A305,observations_series_id_PCU3241913241910_api_key_ecc133893ea92a842ee685c734246086[],2,FALSE),"")</f>
        <v>106.6</v>
      </c>
      <c r="J305" s="2">
        <f>IFERROR(VLOOKUP($A305,observations_series_id_PCU3241913241910_api_key_ecc133893ea92a842ee685c734246086[],3,FALSE),"")</f>
        <v>0.51782363977485923</v>
      </c>
      <c r="K305">
        <f>IFERROR(VLOOKUP($A305,observations_series_id_EXJPUS_api_key_ecc133893ea92a842ee685c734246086_file_type[],2,FALSE),"")</f>
        <v>237.7467</v>
      </c>
      <c r="L305" s="2">
        <f>IFERROR(VLOOKUP($A305,observations_series_id_EXJPUS_api_key_ecc133893ea92a842ee685c734246086_file_type[],3,FALSE),"")</f>
        <v>-0.50588840980758087</v>
      </c>
      <c r="M305" t="str">
        <f>IFERROR(AVERAGEIFS(timeseries_access_key_fqeas14oitk235763mntlb1c0brnk9w3fenzqbk313q5kvxyf52kukw1pa[Value.LME-ZNC],timeseries_access_key_fqeas14oitk235763mntlb1c0brnk9w3fenzqbk313q5kvxyf52kukw1pa[Month],MONTH(Data!$A305),timeseries_access_key_fqeas14oitk235763mntlb1c0brnk9w3fenzqbk313q5kvxyf52kukw1pa[Year],YEAR(Data!$A305)),"")</f>
        <v/>
      </c>
      <c r="N305" s="2" t="str">
        <f>IFERROR(AVERAGEIFS(timeseries_access_key_fqeas14oitk235763mntlb1c0brnk9w3fenzqbk313q5kvxyf52kukw1pa[Column1],timeseries_access_key_fqeas14oitk235763mntlb1c0brnk9w3fenzqbk313q5kvxyf52kukw1pa[Month],MONTH(Data!$A305),timeseries_access_key_fqeas14oitk235763mntlb1c0brnk9w3fenzqbk313q5kvxyf52kukw1pa[Year],YEAR(Data!$A305)),"")</f>
        <v/>
      </c>
      <c r="O305" s="8" t="str">
        <f>IFERROR(VLOOKUP($A305,Text_1_2[[Text.1.1.3]:[Text.1.3]],2,FALSE),"")</f>
        <v/>
      </c>
      <c r="P305" s="2"/>
    </row>
    <row r="306" spans="1:16" x14ac:dyDescent="0.25">
      <c r="A306" s="1">
        <v>30437</v>
      </c>
      <c r="B306" t="str">
        <f>HLOOKUP(Dashboard!$I$27,results,ROW(A306),FALSE)</f>
        <v/>
      </c>
      <c r="C306">
        <f>IFERROR(VLOOKUP(A306,observations_series_id_PCU22112222112243_api_key_ecc133893ea92a842ee685c73424608[],2,FALSE),"")</f>
        <v>85.8</v>
      </c>
      <c r="D306" s="2">
        <f>IFERROR(VLOOKUP(A306,observations_series_id_PCU22112222112243_api_key_ecc133893ea92a842ee685c73424608[],3,FALSE),"")</f>
        <v>0.79720279720279719</v>
      </c>
      <c r="E306" t="str">
        <f>IFERROR(VLOOKUP($A306,observations_series_id_WPU0613020T_api_key_ecc133893ea92a842ee685c734246086_file[],2,FALSE),"")</f>
        <v/>
      </c>
      <c r="F306" s="2" t="str">
        <f>IFERROR(VLOOKUP($A306,observations_series_id_WPU0613020T_api_key_ecc133893ea92a842ee685c734246086_file[],3,FALSE),"")</f>
        <v/>
      </c>
      <c r="G306" t="str">
        <f>IFERROR(VLOOKUP($A306,observations_series_id_PCU22122212_api_key_ecc133893ea92a842ee685c734246086_file[],2,FALSE),"")</f>
        <v/>
      </c>
      <c r="H306" s="2" t="str">
        <f>IFERROR(VLOOKUP($A306,observations_series_id_PCU22122212_api_key_ecc133893ea92a842ee685c734246086_file[],3,FALSE),"")</f>
        <v/>
      </c>
      <c r="I306">
        <f>IFERROR(VLOOKUP($A306,observations_series_id_PCU3241913241910_api_key_ecc133893ea92a842ee685c734246086[],2,FALSE),"")</f>
        <v>106.2</v>
      </c>
      <c r="J306" s="2">
        <f>IFERROR(VLOOKUP($A306,observations_series_id_PCU3241913241910_api_key_ecc133893ea92a842ee685c734246086[],3,FALSE),"")</f>
        <v>0.51600753295668556</v>
      </c>
      <c r="K306">
        <f>IFERROR(VLOOKUP($A306,observations_series_id_EXJPUS_api_key_ecc133893ea92a842ee685c734246086_file_type[],2,FALSE),"")</f>
        <v>234.75569999999999</v>
      </c>
      <c r="L306" s="2">
        <f>IFERROR(VLOOKUP($A306,observations_series_id_EXJPUS_api_key_ecc133893ea92a842ee685c734246086_file_type[],3,FALSE),"")</f>
        <v>-0.52507479051626871</v>
      </c>
      <c r="M306" t="str">
        <f>IFERROR(AVERAGEIFS(timeseries_access_key_fqeas14oitk235763mntlb1c0brnk9w3fenzqbk313q5kvxyf52kukw1pa[Value.LME-ZNC],timeseries_access_key_fqeas14oitk235763mntlb1c0brnk9w3fenzqbk313q5kvxyf52kukw1pa[Month],MONTH(Data!$A306),timeseries_access_key_fqeas14oitk235763mntlb1c0brnk9w3fenzqbk313q5kvxyf52kukw1pa[Year],YEAR(Data!$A306)),"")</f>
        <v/>
      </c>
      <c r="N306" s="2" t="str">
        <f>IFERROR(AVERAGEIFS(timeseries_access_key_fqeas14oitk235763mntlb1c0brnk9w3fenzqbk313q5kvxyf52kukw1pa[Column1],timeseries_access_key_fqeas14oitk235763mntlb1c0brnk9w3fenzqbk313q5kvxyf52kukw1pa[Month],MONTH(Data!$A306),timeseries_access_key_fqeas14oitk235763mntlb1c0brnk9w3fenzqbk313q5kvxyf52kukw1pa[Year],YEAR(Data!$A306)),"")</f>
        <v/>
      </c>
      <c r="O306" s="8" t="str">
        <f>IFERROR(VLOOKUP($A306,Text_1_2[[Text.1.1.3]:[Text.1.3]],2,FALSE),"")</f>
        <v/>
      </c>
      <c r="P306" s="2"/>
    </row>
    <row r="307" spans="1:16" x14ac:dyDescent="0.25">
      <c r="A307" s="1">
        <v>30468</v>
      </c>
      <c r="B307" t="str">
        <f>HLOOKUP(Dashboard!$I$27,results,ROW(A307),FALSE)</f>
        <v/>
      </c>
      <c r="C307">
        <f>IFERROR(VLOOKUP(A307,observations_series_id_PCU22112222112243_api_key_ecc133893ea92a842ee685c73424608[],2,FALSE),"")</f>
        <v>87.2</v>
      </c>
      <c r="D307" s="2">
        <f>IFERROR(VLOOKUP(A307,observations_series_id_PCU22112222112243_api_key_ecc133893ea92a842ee685c73424608[],3,FALSE),"")</f>
        <v>0.80045871559633031</v>
      </c>
      <c r="E307" t="str">
        <f>IFERROR(VLOOKUP($A307,observations_series_id_WPU0613020T_api_key_ecc133893ea92a842ee685c734246086_file[],2,FALSE),"")</f>
        <v/>
      </c>
      <c r="F307" s="2" t="str">
        <f>IFERROR(VLOOKUP($A307,observations_series_id_WPU0613020T_api_key_ecc133893ea92a842ee685c734246086_file[],3,FALSE),"")</f>
        <v/>
      </c>
      <c r="G307" t="str">
        <f>IFERROR(VLOOKUP($A307,observations_series_id_PCU22122212_api_key_ecc133893ea92a842ee685c734246086_file[],2,FALSE),"")</f>
        <v/>
      </c>
      <c r="H307" s="2" t="str">
        <f>IFERROR(VLOOKUP($A307,observations_series_id_PCU22122212_api_key_ecc133893ea92a842ee685c734246086_file[],3,FALSE),"")</f>
        <v/>
      </c>
      <c r="I307">
        <f>IFERROR(VLOOKUP($A307,observations_series_id_PCU3241913241910_api_key_ecc133893ea92a842ee685c734246086[],2,FALSE),"")</f>
        <v>105</v>
      </c>
      <c r="J307" s="2">
        <f>IFERROR(VLOOKUP($A307,observations_series_id_PCU3241913241910_api_key_ecc133893ea92a842ee685c734246086[],3,FALSE),"")</f>
        <v>0.51047619047619053</v>
      </c>
      <c r="K307">
        <f>IFERROR(VLOOKUP($A307,observations_series_id_EXJPUS_api_key_ecc133893ea92a842ee685c734246086_file_type[],2,FALSE),"")</f>
        <v>240.03139999999999</v>
      </c>
      <c r="L307" s="2">
        <f>IFERROR(VLOOKUP($A307,observations_series_id_EXJPUS_api_key_ecc133893ea92a842ee685c734246086_file_type[],3,FALSE),"")</f>
        <v>-0.49155485490648299</v>
      </c>
      <c r="M307" t="str">
        <f>IFERROR(AVERAGEIFS(timeseries_access_key_fqeas14oitk235763mntlb1c0brnk9w3fenzqbk313q5kvxyf52kukw1pa[Value.LME-ZNC],timeseries_access_key_fqeas14oitk235763mntlb1c0brnk9w3fenzqbk313q5kvxyf52kukw1pa[Month],MONTH(Data!$A307),timeseries_access_key_fqeas14oitk235763mntlb1c0brnk9w3fenzqbk313q5kvxyf52kukw1pa[Year],YEAR(Data!$A307)),"")</f>
        <v/>
      </c>
      <c r="N307" s="2" t="str">
        <f>IFERROR(AVERAGEIFS(timeseries_access_key_fqeas14oitk235763mntlb1c0brnk9w3fenzqbk313q5kvxyf52kukw1pa[Column1],timeseries_access_key_fqeas14oitk235763mntlb1c0brnk9w3fenzqbk313q5kvxyf52kukw1pa[Month],MONTH(Data!$A307),timeseries_access_key_fqeas14oitk235763mntlb1c0brnk9w3fenzqbk313q5kvxyf52kukw1pa[Year],YEAR(Data!$A307)),"")</f>
        <v/>
      </c>
      <c r="O307" s="8" t="str">
        <f>IFERROR(VLOOKUP($A307,Text_1_2[[Text.1.1.3]:[Text.1.3]],2,FALSE),"")</f>
        <v/>
      </c>
      <c r="P307" s="2"/>
    </row>
    <row r="308" spans="1:16" x14ac:dyDescent="0.25">
      <c r="A308" s="1">
        <v>30498</v>
      </c>
      <c r="B308" t="str">
        <f>HLOOKUP(Dashboard!$I$27,results,ROW(A308),FALSE)</f>
        <v/>
      </c>
      <c r="C308">
        <f>IFERROR(VLOOKUP(A308,observations_series_id_PCU22112222112243_api_key_ecc133893ea92a842ee685c73424608[],2,FALSE),"")</f>
        <v>88</v>
      </c>
      <c r="D308" s="2">
        <f>IFERROR(VLOOKUP(A308,observations_series_id_PCU22112222112243_api_key_ecc133893ea92a842ee685c73424608[],3,FALSE),"")</f>
        <v>0.80227272727272725</v>
      </c>
      <c r="E308" t="str">
        <f>IFERROR(VLOOKUP($A308,observations_series_id_WPU0613020T_api_key_ecc133893ea92a842ee685c734246086_file[],2,FALSE),"")</f>
        <v/>
      </c>
      <c r="F308" s="2" t="str">
        <f>IFERROR(VLOOKUP($A308,observations_series_id_WPU0613020T_api_key_ecc133893ea92a842ee685c734246086_file[],3,FALSE),"")</f>
        <v/>
      </c>
      <c r="G308" t="str">
        <f>IFERROR(VLOOKUP($A308,observations_series_id_PCU22122212_api_key_ecc133893ea92a842ee685c734246086_file[],2,FALSE),"")</f>
        <v/>
      </c>
      <c r="H308" s="2" t="str">
        <f>IFERROR(VLOOKUP($A308,observations_series_id_PCU22122212_api_key_ecc133893ea92a842ee685c734246086_file[],3,FALSE),"")</f>
        <v/>
      </c>
      <c r="I308">
        <f>IFERROR(VLOOKUP($A308,observations_series_id_PCU3241913241910_api_key_ecc133893ea92a842ee685c734246086[],2,FALSE),"")</f>
        <v>105.2</v>
      </c>
      <c r="J308" s="2">
        <f>IFERROR(VLOOKUP($A308,observations_series_id_PCU3241913241910_api_key_ecc133893ea92a842ee685c734246086[],3,FALSE),"")</f>
        <v>0.51140684410646386</v>
      </c>
      <c r="K308">
        <f>IFERROR(VLOOKUP($A308,observations_series_id_EXJPUS_api_key_ecc133893ea92a842ee685c734246086_file_type[],2,FALSE),"")</f>
        <v>240.51599999999999</v>
      </c>
      <c r="L308" s="2">
        <f>IFERROR(VLOOKUP($A308,observations_series_id_EXJPUS_api_key_ecc133893ea92a842ee685c734246086_file_type[],3,FALSE),"")</f>
        <v>-0.48854961832061061</v>
      </c>
      <c r="M308" t="str">
        <f>IFERROR(AVERAGEIFS(timeseries_access_key_fqeas14oitk235763mntlb1c0brnk9w3fenzqbk313q5kvxyf52kukw1pa[Value.LME-ZNC],timeseries_access_key_fqeas14oitk235763mntlb1c0brnk9w3fenzqbk313q5kvxyf52kukw1pa[Month],MONTH(Data!$A308),timeseries_access_key_fqeas14oitk235763mntlb1c0brnk9w3fenzqbk313q5kvxyf52kukw1pa[Year],YEAR(Data!$A308)),"")</f>
        <v/>
      </c>
      <c r="N308" s="2" t="str">
        <f>IFERROR(AVERAGEIFS(timeseries_access_key_fqeas14oitk235763mntlb1c0brnk9w3fenzqbk313q5kvxyf52kukw1pa[Column1],timeseries_access_key_fqeas14oitk235763mntlb1c0brnk9w3fenzqbk313q5kvxyf52kukw1pa[Month],MONTH(Data!$A308),timeseries_access_key_fqeas14oitk235763mntlb1c0brnk9w3fenzqbk313q5kvxyf52kukw1pa[Year],YEAR(Data!$A308)),"")</f>
        <v/>
      </c>
      <c r="O308" s="8" t="str">
        <f>IFERROR(VLOOKUP($A308,Text_1_2[[Text.1.1.3]:[Text.1.3]],2,FALSE),"")</f>
        <v/>
      </c>
      <c r="P308" s="2"/>
    </row>
    <row r="309" spans="1:16" x14ac:dyDescent="0.25">
      <c r="A309" s="1">
        <v>30529</v>
      </c>
      <c r="B309" t="str">
        <f>HLOOKUP(Dashboard!$I$27,results,ROW(A309),FALSE)</f>
        <v/>
      </c>
      <c r="C309">
        <f>IFERROR(VLOOKUP(A309,observations_series_id_PCU22112222112243_api_key_ecc133893ea92a842ee685c73424608[],2,FALSE),"")</f>
        <v>87.8</v>
      </c>
      <c r="D309" s="2">
        <f>IFERROR(VLOOKUP(A309,observations_series_id_PCU22112222112243_api_key_ecc133893ea92a842ee685c73424608[],3,FALSE),"")</f>
        <v>0.80182232346241455</v>
      </c>
      <c r="E309" t="str">
        <f>IFERROR(VLOOKUP($A309,observations_series_id_WPU0613020T_api_key_ecc133893ea92a842ee685c734246086_file[],2,FALSE),"")</f>
        <v/>
      </c>
      <c r="F309" s="2" t="str">
        <f>IFERROR(VLOOKUP($A309,observations_series_id_WPU0613020T_api_key_ecc133893ea92a842ee685c734246086_file[],3,FALSE),"")</f>
        <v/>
      </c>
      <c r="G309" t="str">
        <f>IFERROR(VLOOKUP($A309,observations_series_id_PCU22122212_api_key_ecc133893ea92a842ee685c734246086_file[],2,FALSE),"")</f>
        <v/>
      </c>
      <c r="H309" s="2" t="str">
        <f>IFERROR(VLOOKUP($A309,observations_series_id_PCU22122212_api_key_ecc133893ea92a842ee685c734246086_file[],3,FALSE),"")</f>
        <v/>
      </c>
      <c r="I309">
        <f>IFERROR(VLOOKUP($A309,observations_series_id_PCU3241913241910_api_key_ecc133893ea92a842ee685c734246086[],2,FALSE),"")</f>
        <v>105.1</v>
      </c>
      <c r="J309" s="2">
        <f>IFERROR(VLOOKUP($A309,observations_series_id_PCU3241913241910_api_key_ecc133893ea92a842ee685c734246086[],3,FALSE),"")</f>
        <v>0.51094196003805892</v>
      </c>
      <c r="K309">
        <f>IFERROR(VLOOKUP($A309,observations_series_id_EXJPUS_api_key_ecc133893ea92a842ee685c734246086_file_type[],2,FALSE),"")</f>
        <v>244.46129999999999</v>
      </c>
      <c r="L309" s="2">
        <f>IFERROR(VLOOKUP($A309,observations_series_id_EXJPUS_api_key_ecc133893ea92a842ee685c734246086_file_type[],3,FALSE),"")</f>
        <v>-0.46452628698284748</v>
      </c>
      <c r="M309" t="str">
        <f>IFERROR(AVERAGEIFS(timeseries_access_key_fqeas14oitk235763mntlb1c0brnk9w3fenzqbk313q5kvxyf52kukw1pa[Value.LME-ZNC],timeseries_access_key_fqeas14oitk235763mntlb1c0brnk9w3fenzqbk313q5kvxyf52kukw1pa[Month],MONTH(Data!$A309),timeseries_access_key_fqeas14oitk235763mntlb1c0brnk9w3fenzqbk313q5kvxyf52kukw1pa[Year],YEAR(Data!$A309)),"")</f>
        <v/>
      </c>
      <c r="N309" s="2" t="str">
        <f>IFERROR(AVERAGEIFS(timeseries_access_key_fqeas14oitk235763mntlb1c0brnk9w3fenzqbk313q5kvxyf52kukw1pa[Column1],timeseries_access_key_fqeas14oitk235763mntlb1c0brnk9w3fenzqbk313q5kvxyf52kukw1pa[Month],MONTH(Data!$A309),timeseries_access_key_fqeas14oitk235763mntlb1c0brnk9w3fenzqbk313q5kvxyf52kukw1pa[Year],YEAR(Data!$A309)),"")</f>
        <v/>
      </c>
      <c r="O309" s="8" t="str">
        <f>IFERROR(VLOOKUP($A309,Text_1_2[[Text.1.1.3]:[Text.1.3]],2,FALSE),"")</f>
        <v/>
      </c>
      <c r="P309" s="2"/>
    </row>
    <row r="310" spans="1:16" x14ac:dyDescent="0.25">
      <c r="A310" s="1">
        <v>30560</v>
      </c>
      <c r="B310" t="str">
        <f>HLOOKUP(Dashboard!$I$27,results,ROW(A310),FALSE)</f>
        <v/>
      </c>
      <c r="C310">
        <f>IFERROR(VLOOKUP(A310,observations_series_id_PCU22112222112243_api_key_ecc133893ea92a842ee685c73424608[],2,FALSE),"")</f>
        <v>88</v>
      </c>
      <c r="D310" s="2">
        <f>IFERROR(VLOOKUP(A310,observations_series_id_PCU22112222112243_api_key_ecc133893ea92a842ee685c73424608[],3,FALSE),"")</f>
        <v>0.80227272727272725</v>
      </c>
      <c r="E310" t="str">
        <f>IFERROR(VLOOKUP($A310,observations_series_id_WPU0613020T_api_key_ecc133893ea92a842ee685c734246086_file[],2,FALSE),"")</f>
        <v/>
      </c>
      <c r="F310" s="2" t="str">
        <f>IFERROR(VLOOKUP($A310,observations_series_id_WPU0613020T_api_key_ecc133893ea92a842ee685c734246086_file[],3,FALSE),"")</f>
        <v/>
      </c>
      <c r="G310" t="str">
        <f>IFERROR(VLOOKUP($A310,observations_series_id_PCU22122212_api_key_ecc133893ea92a842ee685c734246086_file[],2,FALSE),"")</f>
        <v/>
      </c>
      <c r="H310" s="2" t="str">
        <f>IFERROR(VLOOKUP($A310,observations_series_id_PCU22122212_api_key_ecc133893ea92a842ee685c734246086_file[],3,FALSE),"")</f>
        <v/>
      </c>
      <c r="I310">
        <f>IFERROR(VLOOKUP($A310,observations_series_id_PCU3241913241910_api_key_ecc133893ea92a842ee685c734246086[],2,FALSE),"")</f>
        <v>105.2</v>
      </c>
      <c r="J310" s="2">
        <f>IFERROR(VLOOKUP($A310,observations_series_id_PCU3241913241910_api_key_ecc133893ea92a842ee685c734246086[],3,FALSE),"")</f>
        <v>0.51140684410646386</v>
      </c>
      <c r="K310">
        <f>IFERROR(VLOOKUP($A310,observations_series_id_EXJPUS_api_key_ecc133893ea92a842ee685c734246086_file_type[],2,FALSE),"")</f>
        <v>242.34620000000001</v>
      </c>
      <c r="L310" s="2">
        <f>IFERROR(VLOOKUP($A310,observations_series_id_EXJPUS_api_key_ecc133893ea92a842ee685c734246086_file_type[],3,FALSE),"")</f>
        <v>-0.47730808240442801</v>
      </c>
      <c r="M310" t="str">
        <f>IFERROR(AVERAGEIFS(timeseries_access_key_fqeas14oitk235763mntlb1c0brnk9w3fenzqbk313q5kvxyf52kukw1pa[Value.LME-ZNC],timeseries_access_key_fqeas14oitk235763mntlb1c0brnk9w3fenzqbk313q5kvxyf52kukw1pa[Month],MONTH(Data!$A310),timeseries_access_key_fqeas14oitk235763mntlb1c0brnk9w3fenzqbk313q5kvxyf52kukw1pa[Year],YEAR(Data!$A310)),"")</f>
        <v/>
      </c>
      <c r="N310" s="2" t="str">
        <f>IFERROR(AVERAGEIFS(timeseries_access_key_fqeas14oitk235763mntlb1c0brnk9w3fenzqbk313q5kvxyf52kukw1pa[Column1],timeseries_access_key_fqeas14oitk235763mntlb1c0brnk9w3fenzqbk313q5kvxyf52kukw1pa[Month],MONTH(Data!$A310),timeseries_access_key_fqeas14oitk235763mntlb1c0brnk9w3fenzqbk313q5kvxyf52kukw1pa[Year],YEAR(Data!$A310)),"")</f>
        <v/>
      </c>
      <c r="O310" s="8" t="str">
        <f>IFERROR(VLOOKUP($A310,Text_1_2[[Text.1.1.3]:[Text.1.3]],2,FALSE),"")</f>
        <v/>
      </c>
      <c r="P310" s="2"/>
    </row>
    <row r="311" spans="1:16" x14ac:dyDescent="0.25">
      <c r="A311" s="1">
        <v>30590</v>
      </c>
      <c r="B311" t="str">
        <f>HLOOKUP(Dashboard!$I$27,results,ROW(A311),FALSE)</f>
        <v/>
      </c>
      <c r="C311">
        <f>IFERROR(VLOOKUP(A311,observations_series_id_PCU22112222112243_api_key_ecc133893ea92a842ee685c73424608[],2,FALSE),"")</f>
        <v>88.1</v>
      </c>
      <c r="D311" s="2">
        <f>IFERROR(VLOOKUP(A311,observations_series_id_PCU22112222112243_api_key_ecc133893ea92a842ee685c73424608[],3,FALSE),"")</f>
        <v>0.80249716231555057</v>
      </c>
      <c r="E311" t="str">
        <f>IFERROR(VLOOKUP($A311,observations_series_id_WPU0613020T_api_key_ecc133893ea92a842ee685c734246086_file[],2,FALSE),"")</f>
        <v/>
      </c>
      <c r="F311" s="2" t="str">
        <f>IFERROR(VLOOKUP($A311,observations_series_id_WPU0613020T_api_key_ecc133893ea92a842ee685c734246086_file[],3,FALSE),"")</f>
        <v/>
      </c>
      <c r="G311" t="str">
        <f>IFERROR(VLOOKUP($A311,observations_series_id_PCU22122212_api_key_ecc133893ea92a842ee685c734246086_file[],2,FALSE),"")</f>
        <v/>
      </c>
      <c r="H311" s="2" t="str">
        <f>IFERROR(VLOOKUP($A311,observations_series_id_PCU22122212_api_key_ecc133893ea92a842ee685c734246086_file[],3,FALSE),"")</f>
        <v/>
      </c>
      <c r="I311">
        <f>IFERROR(VLOOKUP($A311,observations_series_id_PCU3241913241910_api_key_ecc133893ea92a842ee685c734246086[],2,FALSE),"")</f>
        <v>107.7</v>
      </c>
      <c r="J311" s="2">
        <f>IFERROR(VLOOKUP($A311,observations_series_id_PCU3241913241910_api_key_ecc133893ea92a842ee685c734246086[],3,FALSE),"")</f>
        <v>0.52274837511606309</v>
      </c>
      <c r="K311">
        <f>IFERROR(VLOOKUP($A311,observations_series_id_EXJPUS_api_key_ecc133893ea92a842ee685c734246086_file_type[],2,FALSE),"")</f>
        <v>232.88550000000001</v>
      </c>
      <c r="L311" s="2">
        <f>IFERROR(VLOOKUP($A311,observations_series_id_EXJPUS_api_key_ecc133893ea92a842ee685c734246086_file_type[],3,FALSE),"")</f>
        <v>-0.53732198870260262</v>
      </c>
      <c r="M311" t="str">
        <f>IFERROR(AVERAGEIFS(timeseries_access_key_fqeas14oitk235763mntlb1c0brnk9w3fenzqbk313q5kvxyf52kukw1pa[Value.LME-ZNC],timeseries_access_key_fqeas14oitk235763mntlb1c0brnk9w3fenzqbk313q5kvxyf52kukw1pa[Month],MONTH(Data!$A311),timeseries_access_key_fqeas14oitk235763mntlb1c0brnk9w3fenzqbk313q5kvxyf52kukw1pa[Year],YEAR(Data!$A311)),"")</f>
        <v/>
      </c>
      <c r="N311" s="2" t="str">
        <f>IFERROR(AVERAGEIFS(timeseries_access_key_fqeas14oitk235763mntlb1c0brnk9w3fenzqbk313q5kvxyf52kukw1pa[Column1],timeseries_access_key_fqeas14oitk235763mntlb1c0brnk9w3fenzqbk313q5kvxyf52kukw1pa[Month],MONTH(Data!$A311),timeseries_access_key_fqeas14oitk235763mntlb1c0brnk9w3fenzqbk313q5kvxyf52kukw1pa[Year],YEAR(Data!$A311)),"")</f>
        <v/>
      </c>
      <c r="O311" s="8" t="str">
        <f>IFERROR(VLOOKUP($A311,Text_1_2[[Text.1.1.3]:[Text.1.3]],2,FALSE),"")</f>
        <v/>
      </c>
      <c r="P311" s="2"/>
    </row>
    <row r="312" spans="1:16" x14ac:dyDescent="0.25">
      <c r="A312" s="1">
        <v>30621</v>
      </c>
      <c r="B312" t="str">
        <f>HLOOKUP(Dashboard!$I$27,results,ROW(A312),FALSE)</f>
        <v/>
      </c>
      <c r="C312">
        <f>IFERROR(VLOOKUP(A312,observations_series_id_PCU22112222112243_api_key_ecc133893ea92a842ee685c73424608[],2,FALSE),"")</f>
        <v>86.7</v>
      </c>
      <c r="D312" s="2">
        <f>IFERROR(VLOOKUP(A312,observations_series_id_PCU22112222112243_api_key_ecc133893ea92a842ee685c73424608[],3,FALSE),"")</f>
        <v>0.79930795847750868</v>
      </c>
      <c r="E312" t="str">
        <f>IFERROR(VLOOKUP($A312,observations_series_id_WPU0613020T_api_key_ecc133893ea92a842ee685c734246086_file[],2,FALSE),"")</f>
        <v/>
      </c>
      <c r="F312" s="2" t="str">
        <f>IFERROR(VLOOKUP($A312,observations_series_id_WPU0613020T_api_key_ecc133893ea92a842ee685c734246086_file[],3,FALSE),"")</f>
        <v/>
      </c>
      <c r="G312" t="str">
        <f>IFERROR(VLOOKUP($A312,observations_series_id_PCU22122212_api_key_ecc133893ea92a842ee685c734246086_file[],2,FALSE),"")</f>
        <v/>
      </c>
      <c r="H312" s="2" t="str">
        <f>IFERROR(VLOOKUP($A312,observations_series_id_PCU22122212_api_key_ecc133893ea92a842ee685c734246086_file[],3,FALSE),"")</f>
        <v/>
      </c>
      <c r="I312">
        <f>IFERROR(VLOOKUP($A312,observations_series_id_PCU3241913241910_api_key_ecc133893ea92a842ee685c734246086[],2,FALSE),"")</f>
        <v>111.8</v>
      </c>
      <c r="J312" s="2">
        <f>IFERROR(VLOOKUP($A312,observations_series_id_PCU3241913241910_api_key_ecc133893ea92a842ee685c734246086[],3,FALSE),"")</f>
        <v>0.5402504472271914</v>
      </c>
      <c r="K312">
        <f>IFERROR(VLOOKUP($A312,observations_series_id_EXJPUS_api_key_ecc133893ea92a842ee685c734246086_file_type[],2,FALSE),"")</f>
        <v>235.03</v>
      </c>
      <c r="L312" s="2">
        <f>IFERROR(VLOOKUP($A312,observations_series_id_EXJPUS_api_key_ecc133893ea92a842ee685c734246086_file_type[],3,FALSE),"")</f>
        <v>-0.52329489852359257</v>
      </c>
      <c r="M312" t="str">
        <f>IFERROR(AVERAGEIFS(timeseries_access_key_fqeas14oitk235763mntlb1c0brnk9w3fenzqbk313q5kvxyf52kukw1pa[Value.LME-ZNC],timeseries_access_key_fqeas14oitk235763mntlb1c0brnk9w3fenzqbk313q5kvxyf52kukw1pa[Month],MONTH(Data!$A312),timeseries_access_key_fqeas14oitk235763mntlb1c0brnk9w3fenzqbk313q5kvxyf52kukw1pa[Year],YEAR(Data!$A312)),"")</f>
        <v/>
      </c>
      <c r="N312" s="2" t="str">
        <f>IFERROR(AVERAGEIFS(timeseries_access_key_fqeas14oitk235763mntlb1c0brnk9w3fenzqbk313q5kvxyf52kukw1pa[Column1],timeseries_access_key_fqeas14oitk235763mntlb1c0brnk9w3fenzqbk313q5kvxyf52kukw1pa[Month],MONTH(Data!$A312),timeseries_access_key_fqeas14oitk235763mntlb1c0brnk9w3fenzqbk313q5kvxyf52kukw1pa[Year],YEAR(Data!$A312)),"")</f>
        <v/>
      </c>
      <c r="O312" s="8" t="str">
        <f>IFERROR(VLOOKUP($A312,Text_1_2[[Text.1.1.3]:[Text.1.3]],2,FALSE),"")</f>
        <v/>
      </c>
      <c r="P312" s="2"/>
    </row>
    <row r="313" spans="1:16" x14ac:dyDescent="0.25">
      <c r="A313" s="1">
        <v>30651</v>
      </c>
      <c r="B313" t="str">
        <f>HLOOKUP(Dashboard!$I$27,results,ROW(A313),FALSE)</f>
        <v/>
      </c>
      <c r="C313">
        <f>IFERROR(VLOOKUP(A313,observations_series_id_PCU22112222112243_api_key_ecc133893ea92a842ee685c73424608[],2,FALSE),"")</f>
        <v>86.7</v>
      </c>
      <c r="D313" s="2">
        <f>IFERROR(VLOOKUP(A313,observations_series_id_PCU22112222112243_api_key_ecc133893ea92a842ee685c73424608[],3,FALSE),"")</f>
        <v>0.79930795847750868</v>
      </c>
      <c r="E313" t="str">
        <f>IFERROR(VLOOKUP($A313,observations_series_id_WPU0613020T_api_key_ecc133893ea92a842ee685c734246086_file[],2,FALSE),"")</f>
        <v/>
      </c>
      <c r="F313" s="2" t="str">
        <f>IFERROR(VLOOKUP($A313,observations_series_id_WPU0613020T_api_key_ecc133893ea92a842ee685c734246086_file[],3,FALSE),"")</f>
        <v/>
      </c>
      <c r="G313" t="str">
        <f>IFERROR(VLOOKUP($A313,observations_series_id_PCU22122212_api_key_ecc133893ea92a842ee685c734246086_file[],2,FALSE),"")</f>
        <v/>
      </c>
      <c r="H313" s="2" t="str">
        <f>IFERROR(VLOOKUP($A313,observations_series_id_PCU22122212_api_key_ecc133893ea92a842ee685c734246086_file[],3,FALSE),"")</f>
        <v/>
      </c>
      <c r="I313">
        <f>IFERROR(VLOOKUP($A313,observations_series_id_PCU3241913241910_api_key_ecc133893ea92a842ee685c734246086[],2,FALSE),"")</f>
        <v>112.2</v>
      </c>
      <c r="J313" s="2">
        <f>IFERROR(VLOOKUP($A313,observations_series_id_PCU3241913241910_api_key_ecc133893ea92a842ee685c734246086[],3,FALSE),"")</f>
        <v>0.54188948306595375</v>
      </c>
      <c r="K313">
        <f>IFERROR(VLOOKUP($A313,observations_series_id_EXJPUS_api_key_ecc133893ea92a842ee685c734246086_file_type[],2,FALSE),"")</f>
        <v>234.4624</v>
      </c>
      <c r="L313" s="2">
        <f>IFERROR(VLOOKUP($A313,observations_series_id_EXJPUS_api_key_ecc133893ea92a842ee685c734246086_file_type[],3,FALSE),"")</f>
        <v>-0.52698257801677362</v>
      </c>
      <c r="M313" t="str">
        <f>IFERROR(AVERAGEIFS(timeseries_access_key_fqeas14oitk235763mntlb1c0brnk9w3fenzqbk313q5kvxyf52kukw1pa[Value.LME-ZNC],timeseries_access_key_fqeas14oitk235763mntlb1c0brnk9w3fenzqbk313q5kvxyf52kukw1pa[Month],MONTH(Data!$A313),timeseries_access_key_fqeas14oitk235763mntlb1c0brnk9w3fenzqbk313q5kvxyf52kukw1pa[Year],YEAR(Data!$A313)),"")</f>
        <v/>
      </c>
      <c r="N313" s="2" t="str">
        <f>IFERROR(AVERAGEIFS(timeseries_access_key_fqeas14oitk235763mntlb1c0brnk9w3fenzqbk313q5kvxyf52kukw1pa[Column1],timeseries_access_key_fqeas14oitk235763mntlb1c0brnk9w3fenzqbk313q5kvxyf52kukw1pa[Month],MONTH(Data!$A313),timeseries_access_key_fqeas14oitk235763mntlb1c0brnk9w3fenzqbk313q5kvxyf52kukw1pa[Year],YEAR(Data!$A313)),"")</f>
        <v/>
      </c>
      <c r="O313" s="8" t="str">
        <f>IFERROR(VLOOKUP($A313,Text_1_2[[Text.1.1.3]:[Text.1.3]],2,FALSE),"")</f>
        <v/>
      </c>
      <c r="P313" s="2"/>
    </row>
    <row r="314" spans="1:16" x14ac:dyDescent="0.25">
      <c r="A314" s="1">
        <v>30682</v>
      </c>
      <c r="B314" t="str">
        <f>HLOOKUP(Dashboard!$I$27,results,ROW(A314),FALSE)</f>
        <v/>
      </c>
      <c r="C314">
        <f>IFERROR(VLOOKUP(A314,observations_series_id_PCU22112222112243_api_key_ecc133893ea92a842ee685c73424608[],2,FALSE),"")</f>
        <v>87.3</v>
      </c>
      <c r="D314" s="2">
        <f>IFERROR(VLOOKUP(A314,observations_series_id_PCU22112222112243_api_key_ecc133893ea92a842ee685c73424608[],3,FALSE),"")</f>
        <v>0.80068728522336774</v>
      </c>
      <c r="E314" t="str">
        <f>IFERROR(VLOOKUP($A314,observations_series_id_WPU0613020T_api_key_ecc133893ea92a842ee685c734246086_file[],2,FALSE),"")</f>
        <v/>
      </c>
      <c r="F314" s="2" t="str">
        <f>IFERROR(VLOOKUP($A314,observations_series_id_WPU0613020T_api_key_ecc133893ea92a842ee685c734246086_file[],3,FALSE),"")</f>
        <v/>
      </c>
      <c r="G314" t="str">
        <f>IFERROR(VLOOKUP($A314,observations_series_id_PCU22122212_api_key_ecc133893ea92a842ee685c734246086_file[],2,FALSE),"")</f>
        <v/>
      </c>
      <c r="H314" s="2" t="str">
        <f>IFERROR(VLOOKUP($A314,observations_series_id_PCU22122212_api_key_ecc133893ea92a842ee685c734246086_file[],3,FALSE),"")</f>
        <v/>
      </c>
      <c r="I314">
        <f>IFERROR(VLOOKUP($A314,observations_series_id_PCU3241913241910_api_key_ecc133893ea92a842ee685c734246086[],2,FALSE),"")</f>
        <v>113.5</v>
      </c>
      <c r="J314" s="2">
        <f>IFERROR(VLOOKUP($A314,observations_series_id_PCU3241913241910_api_key_ecc133893ea92a842ee685c734246086[],3,FALSE),"")</f>
        <v>0.54713656387665199</v>
      </c>
      <c r="K314">
        <f>IFERROR(VLOOKUP($A314,observations_series_id_EXJPUS_api_key_ecc133893ea92a842ee685c734246086_file_type[],2,FALSE),"")</f>
        <v>233.8</v>
      </c>
      <c r="L314" s="2">
        <f>IFERROR(VLOOKUP($A314,observations_series_id_EXJPUS_api_key_ecc133893ea92a842ee685c734246086_file_type[],3,FALSE),"")</f>
        <v>-0.53130881094952942</v>
      </c>
      <c r="M314" t="str">
        <f>IFERROR(AVERAGEIFS(timeseries_access_key_fqeas14oitk235763mntlb1c0brnk9w3fenzqbk313q5kvxyf52kukw1pa[Value.LME-ZNC],timeseries_access_key_fqeas14oitk235763mntlb1c0brnk9w3fenzqbk313q5kvxyf52kukw1pa[Month],MONTH(Data!$A314),timeseries_access_key_fqeas14oitk235763mntlb1c0brnk9w3fenzqbk313q5kvxyf52kukw1pa[Year],YEAR(Data!$A314)),"")</f>
        <v/>
      </c>
      <c r="N314" s="2" t="str">
        <f>IFERROR(AVERAGEIFS(timeseries_access_key_fqeas14oitk235763mntlb1c0brnk9w3fenzqbk313q5kvxyf52kukw1pa[Column1],timeseries_access_key_fqeas14oitk235763mntlb1c0brnk9w3fenzqbk313q5kvxyf52kukw1pa[Month],MONTH(Data!$A314),timeseries_access_key_fqeas14oitk235763mntlb1c0brnk9w3fenzqbk313q5kvxyf52kukw1pa[Year],YEAR(Data!$A314)),"")</f>
        <v/>
      </c>
      <c r="O314" s="8" t="str">
        <f>IFERROR(VLOOKUP($A314,Text_1_2[[Text.1.1.3]:[Text.1.3]],2,FALSE),"")</f>
        <v/>
      </c>
      <c r="P314" s="2"/>
    </row>
    <row r="315" spans="1:16" x14ac:dyDescent="0.25">
      <c r="A315" s="1">
        <v>30713</v>
      </c>
      <c r="B315" t="str">
        <f>HLOOKUP(Dashboard!$I$27,results,ROW(A315),FALSE)</f>
        <v/>
      </c>
      <c r="C315">
        <f>IFERROR(VLOOKUP(A315,observations_series_id_PCU22112222112243_api_key_ecc133893ea92a842ee685c73424608[],2,FALSE),"")</f>
        <v>87.9</v>
      </c>
      <c r="D315" s="2">
        <f>IFERROR(VLOOKUP(A315,observations_series_id_PCU22112222112243_api_key_ecc133893ea92a842ee685c73424608[],3,FALSE),"")</f>
        <v>0.80204778156996592</v>
      </c>
      <c r="E315" t="str">
        <f>IFERROR(VLOOKUP($A315,observations_series_id_WPU0613020T_api_key_ecc133893ea92a842ee685c734246086_file[],2,FALSE),"")</f>
        <v/>
      </c>
      <c r="F315" s="2" t="str">
        <f>IFERROR(VLOOKUP($A315,observations_series_id_WPU0613020T_api_key_ecc133893ea92a842ee685c734246086_file[],3,FALSE),"")</f>
        <v/>
      </c>
      <c r="G315" t="str">
        <f>IFERROR(VLOOKUP($A315,observations_series_id_PCU22122212_api_key_ecc133893ea92a842ee685c734246086_file[],2,FALSE),"")</f>
        <v/>
      </c>
      <c r="H315" s="2" t="str">
        <f>IFERROR(VLOOKUP($A315,observations_series_id_PCU22122212_api_key_ecc133893ea92a842ee685c734246086_file[],3,FALSE),"")</f>
        <v/>
      </c>
      <c r="I315">
        <f>IFERROR(VLOOKUP($A315,observations_series_id_PCU3241913241910_api_key_ecc133893ea92a842ee685c734246086[],2,FALSE),"")</f>
        <v>112.7</v>
      </c>
      <c r="J315" s="2">
        <f>IFERROR(VLOOKUP($A315,observations_series_id_PCU3241913241910_api_key_ecc133893ea92a842ee685c734246086[],3,FALSE),"")</f>
        <v>0.54392191659272404</v>
      </c>
      <c r="K315">
        <f>IFERROR(VLOOKUP($A315,observations_series_id_EXJPUS_api_key_ecc133893ea92a842ee685c734246086_file_type[],2,FALSE),"")</f>
        <v>233.59630000000001</v>
      </c>
      <c r="L315" s="2">
        <f>IFERROR(VLOOKUP($A315,observations_series_id_EXJPUS_api_key_ecc133893ea92a842ee685c734246086_file_type[],3,FALSE),"")</f>
        <v>-0.53264413862719562</v>
      </c>
      <c r="M315" t="str">
        <f>IFERROR(AVERAGEIFS(timeseries_access_key_fqeas14oitk235763mntlb1c0brnk9w3fenzqbk313q5kvxyf52kukw1pa[Value.LME-ZNC],timeseries_access_key_fqeas14oitk235763mntlb1c0brnk9w3fenzqbk313q5kvxyf52kukw1pa[Month],MONTH(Data!$A315),timeseries_access_key_fqeas14oitk235763mntlb1c0brnk9w3fenzqbk313q5kvxyf52kukw1pa[Year],YEAR(Data!$A315)),"")</f>
        <v/>
      </c>
      <c r="N315" s="2" t="str">
        <f>IFERROR(AVERAGEIFS(timeseries_access_key_fqeas14oitk235763mntlb1c0brnk9w3fenzqbk313q5kvxyf52kukw1pa[Column1],timeseries_access_key_fqeas14oitk235763mntlb1c0brnk9w3fenzqbk313q5kvxyf52kukw1pa[Month],MONTH(Data!$A315),timeseries_access_key_fqeas14oitk235763mntlb1c0brnk9w3fenzqbk313q5kvxyf52kukw1pa[Year],YEAR(Data!$A315)),"")</f>
        <v/>
      </c>
      <c r="O315" s="8" t="str">
        <f>IFERROR(VLOOKUP($A315,Text_1_2[[Text.1.1.3]:[Text.1.3]],2,FALSE),"")</f>
        <v/>
      </c>
      <c r="P315" s="2"/>
    </row>
    <row r="316" spans="1:16" x14ac:dyDescent="0.25">
      <c r="A316" s="1">
        <v>30742</v>
      </c>
      <c r="B316" t="str">
        <f>HLOOKUP(Dashboard!$I$27,results,ROW(A316),FALSE)</f>
        <v/>
      </c>
      <c r="C316">
        <f>IFERROR(VLOOKUP(A316,observations_series_id_PCU22112222112243_api_key_ecc133893ea92a842ee685c73424608[],2,FALSE),"")</f>
        <v>88.5</v>
      </c>
      <c r="D316" s="2">
        <f>IFERROR(VLOOKUP(A316,observations_series_id_PCU22112222112243_api_key_ecc133893ea92a842ee685c73424608[],3,FALSE),"")</f>
        <v>0.80338983050847457</v>
      </c>
      <c r="E316" t="str">
        <f>IFERROR(VLOOKUP($A316,observations_series_id_WPU0613020T_api_key_ecc133893ea92a842ee685c734246086_file[],2,FALSE),"")</f>
        <v/>
      </c>
      <c r="F316" s="2" t="str">
        <f>IFERROR(VLOOKUP($A316,observations_series_id_WPU0613020T_api_key_ecc133893ea92a842ee685c734246086_file[],3,FALSE),"")</f>
        <v/>
      </c>
      <c r="G316" t="str">
        <f>IFERROR(VLOOKUP($A316,observations_series_id_PCU22122212_api_key_ecc133893ea92a842ee685c734246086_file[],2,FALSE),"")</f>
        <v/>
      </c>
      <c r="H316" s="2" t="str">
        <f>IFERROR(VLOOKUP($A316,observations_series_id_PCU22122212_api_key_ecc133893ea92a842ee685c734246086_file[],3,FALSE),"")</f>
        <v/>
      </c>
      <c r="I316">
        <f>IFERROR(VLOOKUP($A316,observations_series_id_PCU3241913241910_api_key_ecc133893ea92a842ee685c734246086[],2,FALSE),"")</f>
        <v>113.3</v>
      </c>
      <c r="J316" s="2">
        <f>IFERROR(VLOOKUP($A316,observations_series_id_PCU3241913241910_api_key_ecc133893ea92a842ee685c734246086[],3,FALSE),"")</f>
        <v>0.54633715798764348</v>
      </c>
      <c r="K316">
        <f>IFERROR(VLOOKUP($A316,observations_series_id_EXJPUS_api_key_ecc133893ea92a842ee685c734246086_file_type[],2,FALSE),"")</f>
        <v>225.2664</v>
      </c>
      <c r="L316" s="2">
        <f>IFERROR(VLOOKUP($A316,observations_series_id_EXJPUS_api_key_ecc133893ea92a842ee685c734246086_file_type[],3,FALSE),"")</f>
        <v>-0.58931824719532067</v>
      </c>
      <c r="M316" t="str">
        <f>IFERROR(AVERAGEIFS(timeseries_access_key_fqeas14oitk235763mntlb1c0brnk9w3fenzqbk313q5kvxyf52kukw1pa[Value.LME-ZNC],timeseries_access_key_fqeas14oitk235763mntlb1c0brnk9w3fenzqbk313q5kvxyf52kukw1pa[Month],MONTH(Data!$A316),timeseries_access_key_fqeas14oitk235763mntlb1c0brnk9w3fenzqbk313q5kvxyf52kukw1pa[Year],YEAR(Data!$A316)),"")</f>
        <v/>
      </c>
      <c r="N316" s="2" t="str">
        <f>IFERROR(AVERAGEIFS(timeseries_access_key_fqeas14oitk235763mntlb1c0brnk9w3fenzqbk313q5kvxyf52kukw1pa[Column1],timeseries_access_key_fqeas14oitk235763mntlb1c0brnk9w3fenzqbk313q5kvxyf52kukw1pa[Month],MONTH(Data!$A316),timeseries_access_key_fqeas14oitk235763mntlb1c0brnk9w3fenzqbk313q5kvxyf52kukw1pa[Year],YEAR(Data!$A316)),"")</f>
        <v/>
      </c>
      <c r="O316" s="8" t="str">
        <f>IFERROR(VLOOKUP($A316,Text_1_2[[Text.1.1.3]:[Text.1.3]],2,FALSE),"")</f>
        <v/>
      </c>
      <c r="P316" s="2"/>
    </row>
    <row r="317" spans="1:16" x14ac:dyDescent="0.25">
      <c r="A317" s="1">
        <v>30773</v>
      </c>
      <c r="B317" t="str">
        <f>HLOOKUP(Dashboard!$I$27,results,ROW(A317),FALSE)</f>
        <v/>
      </c>
      <c r="C317">
        <f>IFERROR(VLOOKUP(A317,observations_series_id_PCU22112222112243_api_key_ecc133893ea92a842ee685c73424608[],2,FALSE),"")</f>
        <v>89.8</v>
      </c>
      <c r="D317" s="2">
        <f>IFERROR(VLOOKUP(A317,observations_series_id_PCU22112222112243_api_key_ecc133893ea92a842ee685c73424608[],3,FALSE),"")</f>
        <v>0.80623608017817372</v>
      </c>
      <c r="E317" t="str">
        <f>IFERROR(VLOOKUP($A317,observations_series_id_WPU0613020T_api_key_ecc133893ea92a842ee685c734246086_file[],2,FALSE),"")</f>
        <v/>
      </c>
      <c r="F317" s="2" t="str">
        <f>IFERROR(VLOOKUP($A317,observations_series_id_WPU0613020T_api_key_ecc133893ea92a842ee685c734246086_file[],3,FALSE),"")</f>
        <v/>
      </c>
      <c r="G317" t="str">
        <f>IFERROR(VLOOKUP($A317,observations_series_id_PCU22122212_api_key_ecc133893ea92a842ee685c734246086_file[],2,FALSE),"")</f>
        <v/>
      </c>
      <c r="H317" s="2" t="str">
        <f>IFERROR(VLOOKUP($A317,observations_series_id_PCU22122212_api_key_ecc133893ea92a842ee685c734246086_file[],3,FALSE),"")</f>
        <v/>
      </c>
      <c r="I317">
        <f>IFERROR(VLOOKUP($A317,observations_series_id_PCU3241913241910_api_key_ecc133893ea92a842ee685c734246086[],2,FALSE),"")</f>
        <v>113.6</v>
      </c>
      <c r="J317" s="2">
        <f>IFERROR(VLOOKUP($A317,observations_series_id_PCU3241913241910_api_key_ecc133893ea92a842ee685c734246086[],3,FALSE),"")</f>
        <v>0.54753521126760563</v>
      </c>
      <c r="K317">
        <f>IFERROR(VLOOKUP($A317,observations_series_id_EXJPUS_api_key_ecc133893ea92a842ee685c734246086_file_type[],2,FALSE),"")</f>
        <v>225.2</v>
      </c>
      <c r="L317" s="2">
        <f>IFERROR(VLOOKUP($A317,observations_series_id_EXJPUS_api_key_ecc133893ea92a842ee685c734246086_file_type[],3,FALSE),"")</f>
        <v>-0.58978685612788628</v>
      </c>
      <c r="M317" t="str">
        <f>IFERROR(AVERAGEIFS(timeseries_access_key_fqeas14oitk235763mntlb1c0brnk9w3fenzqbk313q5kvxyf52kukw1pa[Value.LME-ZNC],timeseries_access_key_fqeas14oitk235763mntlb1c0brnk9w3fenzqbk313q5kvxyf52kukw1pa[Month],MONTH(Data!$A317),timeseries_access_key_fqeas14oitk235763mntlb1c0brnk9w3fenzqbk313q5kvxyf52kukw1pa[Year],YEAR(Data!$A317)),"")</f>
        <v/>
      </c>
      <c r="N317" s="2" t="str">
        <f>IFERROR(AVERAGEIFS(timeseries_access_key_fqeas14oitk235763mntlb1c0brnk9w3fenzqbk313q5kvxyf52kukw1pa[Column1],timeseries_access_key_fqeas14oitk235763mntlb1c0brnk9w3fenzqbk313q5kvxyf52kukw1pa[Month],MONTH(Data!$A317),timeseries_access_key_fqeas14oitk235763mntlb1c0brnk9w3fenzqbk313q5kvxyf52kukw1pa[Year],YEAR(Data!$A317)),"")</f>
        <v/>
      </c>
      <c r="O317" s="8" t="str">
        <f>IFERROR(VLOOKUP($A317,Text_1_2[[Text.1.1.3]:[Text.1.3]],2,FALSE),"")</f>
        <v/>
      </c>
      <c r="P317" s="2"/>
    </row>
    <row r="318" spans="1:16" x14ac:dyDescent="0.25">
      <c r="A318" s="1">
        <v>30803</v>
      </c>
      <c r="B318" t="str">
        <f>HLOOKUP(Dashboard!$I$27,results,ROW(A318),FALSE)</f>
        <v/>
      </c>
      <c r="C318">
        <f>IFERROR(VLOOKUP(A318,observations_series_id_PCU22112222112243_api_key_ecc133893ea92a842ee685c73424608[],2,FALSE),"")</f>
        <v>90.4</v>
      </c>
      <c r="D318" s="2">
        <f>IFERROR(VLOOKUP(A318,observations_series_id_PCU22112222112243_api_key_ecc133893ea92a842ee685c73424608[],3,FALSE),"")</f>
        <v>0.80752212389380529</v>
      </c>
      <c r="E318" t="str">
        <f>IFERROR(VLOOKUP($A318,observations_series_id_WPU0613020T_api_key_ecc133893ea92a842ee685c734246086_file[],2,FALSE),"")</f>
        <v/>
      </c>
      <c r="F318" s="2" t="str">
        <f>IFERROR(VLOOKUP($A318,observations_series_id_WPU0613020T_api_key_ecc133893ea92a842ee685c734246086_file[],3,FALSE),"")</f>
        <v/>
      </c>
      <c r="G318" t="str">
        <f>IFERROR(VLOOKUP($A318,observations_series_id_PCU22122212_api_key_ecc133893ea92a842ee685c734246086_file[],2,FALSE),"")</f>
        <v/>
      </c>
      <c r="H318" s="2" t="str">
        <f>IFERROR(VLOOKUP($A318,observations_series_id_PCU22122212_api_key_ecc133893ea92a842ee685c734246086_file[],3,FALSE),"")</f>
        <v/>
      </c>
      <c r="I318">
        <f>IFERROR(VLOOKUP($A318,observations_series_id_PCU3241913241910_api_key_ecc133893ea92a842ee685c734246086[],2,FALSE),"")</f>
        <v>113.5</v>
      </c>
      <c r="J318" s="2">
        <f>IFERROR(VLOOKUP($A318,observations_series_id_PCU3241913241910_api_key_ecc133893ea92a842ee685c734246086[],3,FALSE),"")</f>
        <v>0.54713656387665199</v>
      </c>
      <c r="K318">
        <f>IFERROR(VLOOKUP($A318,observations_series_id_EXJPUS_api_key_ecc133893ea92a842ee685c734246086_file_type[],2,FALSE),"")</f>
        <v>230.4777</v>
      </c>
      <c r="L318" s="2">
        <f>IFERROR(VLOOKUP($A318,observations_series_id_EXJPUS_api_key_ecc133893ea92a842ee685c734246086_file_type[],3,FALSE),"")</f>
        <v>-0.55338238797072337</v>
      </c>
      <c r="M318" t="str">
        <f>IFERROR(AVERAGEIFS(timeseries_access_key_fqeas14oitk235763mntlb1c0brnk9w3fenzqbk313q5kvxyf52kukw1pa[Value.LME-ZNC],timeseries_access_key_fqeas14oitk235763mntlb1c0brnk9w3fenzqbk313q5kvxyf52kukw1pa[Month],MONTH(Data!$A318),timeseries_access_key_fqeas14oitk235763mntlb1c0brnk9w3fenzqbk313q5kvxyf52kukw1pa[Year],YEAR(Data!$A318)),"")</f>
        <v/>
      </c>
      <c r="N318" s="2" t="str">
        <f>IFERROR(AVERAGEIFS(timeseries_access_key_fqeas14oitk235763mntlb1c0brnk9w3fenzqbk313q5kvxyf52kukw1pa[Column1],timeseries_access_key_fqeas14oitk235763mntlb1c0brnk9w3fenzqbk313q5kvxyf52kukw1pa[Month],MONTH(Data!$A318),timeseries_access_key_fqeas14oitk235763mntlb1c0brnk9w3fenzqbk313q5kvxyf52kukw1pa[Year],YEAR(Data!$A318)),"")</f>
        <v/>
      </c>
      <c r="O318" s="8" t="str">
        <f>IFERROR(VLOOKUP($A318,Text_1_2[[Text.1.1.3]:[Text.1.3]],2,FALSE),"")</f>
        <v/>
      </c>
      <c r="P318" s="2"/>
    </row>
    <row r="319" spans="1:16" x14ac:dyDescent="0.25">
      <c r="A319" s="1">
        <v>30834</v>
      </c>
      <c r="B319" t="str">
        <f>HLOOKUP(Dashboard!$I$27,results,ROW(A319),FALSE)</f>
        <v/>
      </c>
      <c r="C319">
        <f>IFERROR(VLOOKUP(A319,observations_series_id_PCU22112222112243_api_key_ecc133893ea92a842ee685c73424608[],2,FALSE),"")</f>
        <v>92.2</v>
      </c>
      <c r="D319" s="2">
        <f>IFERROR(VLOOKUP(A319,observations_series_id_PCU22112222112243_api_key_ecc133893ea92a842ee685c73424608[],3,FALSE),"")</f>
        <v>0.81127982646420826</v>
      </c>
      <c r="E319" t="str">
        <f>IFERROR(VLOOKUP($A319,observations_series_id_WPU0613020T_api_key_ecc133893ea92a842ee685c734246086_file[],2,FALSE),"")</f>
        <v/>
      </c>
      <c r="F319" s="2" t="str">
        <f>IFERROR(VLOOKUP($A319,observations_series_id_WPU0613020T_api_key_ecc133893ea92a842ee685c734246086_file[],3,FALSE),"")</f>
        <v/>
      </c>
      <c r="G319" t="str">
        <f>IFERROR(VLOOKUP($A319,observations_series_id_PCU22122212_api_key_ecc133893ea92a842ee685c734246086_file[],2,FALSE),"")</f>
        <v/>
      </c>
      <c r="H319" s="2" t="str">
        <f>IFERROR(VLOOKUP($A319,observations_series_id_PCU22122212_api_key_ecc133893ea92a842ee685c734246086_file[],3,FALSE),"")</f>
        <v/>
      </c>
      <c r="I319">
        <f>IFERROR(VLOOKUP($A319,observations_series_id_PCU3241913241910_api_key_ecc133893ea92a842ee685c734246086[],2,FALSE),"")</f>
        <v>113.6</v>
      </c>
      <c r="J319" s="2">
        <f>IFERROR(VLOOKUP($A319,observations_series_id_PCU3241913241910_api_key_ecc133893ea92a842ee685c734246086[],3,FALSE),"")</f>
        <v>0.54753521126760563</v>
      </c>
      <c r="K319">
        <f>IFERROR(VLOOKUP($A319,observations_series_id_EXJPUS_api_key_ecc133893ea92a842ee685c734246086_file_type[],2,FALSE),"")</f>
        <v>233.56569999999999</v>
      </c>
      <c r="L319" s="2">
        <f>IFERROR(VLOOKUP($A319,observations_series_id_EXJPUS_api_key_ecc133893ea92a842ee685c734246086_file_type[],3,FALSE),"")</f>
        <v>-0.5328449339950172</v>
      </c>
      <c r="M319" t="str">
        <f>IFERROR(AVERAGEIFS(timeseries_access_key_fqeas14oitk235763mntlb1c0brnk9w3fenzqbk313q5kvxyf52kukw1pa[Value.LME-ZNC],timeseries_access_key_fqeas14oitk235763mntlb1c0brnk9w3fenzqbk313q5kvxyf52kukw1pa[Month],MONTH(Data!$A319),timeseries_access_key_fqeas14oitk235763mntlb1c0brnk9w3fenzqbk313q5kvxyf52kukw1pa[Year],YEAR(Data!$A319)),"")</f>
        <v/>
      </c>
      <c r="N319" s="2" t="str">
        <f>IFERROR(AVERAGEIFS(timeseries_access_key_fqeas14oitk235763mntlb1c0brnk9w3fenzqbk313q5kvxyf52kukw1pa[Column1],timeseries_access_key_fqeas14oitk235763mntlb1c0brnk9w3fenzqbk313q5kvxyf52kukw1pa[Month],MONTH(Data!$A319),timeseries_access_key_fqeas14oitk235763mntlb1c0brnk9w3fenzqbk313q5kvxyf52kukw1pa[Year],YEAR(Data!$A319)),"")</f>
        <v/>
      </c>
      <c r="O319" s="8" t="str">
        <f>IFERROR(VLOOKUP($A319,Text_1_2[[Text.1.1.3]:[Text.1.3]],2,FALSE),"")</f>
        <v/>
      </c>
      <c r="P319" s="2"/>
    </row>
    <row r="320" spans="1:16" x14ac:dyDescent="0.25">
      <c r="A320" s="1">
        <v>30864</v>
      </c>
      <c r="B320" t="str">
        <f>HLOOKUP(Dashboard!$I$27,results,ROW(A320),FALSE)</f>
        <v/>
      </c>
      <c r="C320">
        <f>IFERROR(VLOOKUP(A320,observations_series_id_PCU22112222112243_api_key_ecc133893ea92a842ee685c73424608[],2,FALSE),"")</f>
        <v>93.3</v>
      </c>
      <c r="D320" s="2">
        <f>IFERROR(VLOOKUP(A320,observations_series_id_PCU22112222112243_api_key_ecc133893ea92a842ee685c73424608[],3,FALSE),"")</f>
        <v>0.81350482315112538</v>
      </c>
      <c r="E320" t="str">
        <f>IFERROR(VLOOKUP($A320,observations_series_id_WPU0613020T_api_key_ecc133893ea92a842ee685c734246086_file[],2,FALSE),"")</f>
        <v/>
      </c>
      <c r="F320" s="2" t="str">
        <f>IFERROR(VLOOKUP($A320,observations_series_id_WPU0613020T_api_key_ecc133893ea92a842ee685c734246086_file[],3,FALSE),"")</f>
        <v/>
      </c>
      <c r="G320" t="str">
        <f>IFERROR(VLOOKUP($A320,observations_series_id_PCU22122212_api_key_ecc133893ea92a842ee685c734246086_file[],2,FALSE),"")</f>
        <v/>
      </c>
      <c r="H320" s="2" t="str">
        <f>IFERROR(VLOOKUP($A320,observations_series_id_PCU22122212_api_key_ecc133893ea92a842ee685c734246086_file[],3,FALSE),"")</f>
        <v/>
      </c>
      <c r="I320">
        <f>IFERROR(VLOOKUP($A320,observations_series_id_PCU3241913241910_api_key_ecc133893ea92a842ee685c734246086[],2,FALSE),"")</f>
        <v>113.5</v>
      </c>
      <c r="J320" s="2">
        <f>IFERROR(VLOOKUP($A320,observations_series_id_PCU3241913241910_api_key_ecc133893ea92a842ee685c734246086[],3,FALSE),"")</f>
        <v>0.54713656387665199</v>
      </c>
      <c r="K320">
        <f>IFERROR(VLOOKUP($A320,observations_series_id_EXJPUS_api_key_ecc133893ea92a842ee685c734246086_file_type[],2,FALSE),"")</f>
        <v>243.0676</v>
      </c>
      <c r="L320" s="2">
        <f>IFERROR(VLOOKUP($A320,observations_series_id_EXJPUS_api_key_ecc133893ea92a842ee685c734246086_file_type[],3,FALSE),"")</f>
        <v>-0.47292358175256588</v>
      </c>
      <c r="M320" t="str">
        <f>IFERROR(AVERAGEIFS(timeseries_access_key_fqeas14oitk235763mntlb1c0brnk9w3fenzqbk313q5kvxyf52kukw1pa[Value.LME-ZNC],timeseries_access_key_fqeas14oitk235763mntlb1c0brnk9w3fenzqbk313q5kvxyf52kukw1pa[Month],MONTH(Data!$A320),timeseries_access_key_fqeas14oitk235763mntlb1c0brnk9w3fenzqbk313q5kvxyf52kukw1pa[Year],YEAR(Data!$A320)),"")</f>
        <v/>
      </c>
      <c r="N320" s="2" t="str">
        <f>IFERROR(AVERAGEIFS(timeseries_access_key_fqeas14oitk235763mntlb1c0brnk9w3fenzqbk313q5kvxyf52kukw1pa[Column1],timeseries_access_key_fqeas14oitk235763mntlb1c0brnk9w3fenzqbk313q5kvxyf52kukw1pa[Month],MONTH(Data!$A320),timeseries_access_key_fqeas14oitk235763mntlb1c0brnk9w3fenzqbk313q5kvxyf52kukw1pa[Year],YEAR(Data!$A320)),"")</f>
        <v/>
      </c>
      <c r="O320" s="8" t="str">
        <f>IFERROR(VLOOKUP($A320,Text_1_2[[Text.1.1.3]:[Text.1.3]],2,FALSE),"")</f>
        <v/>
      </c>
      <c r="P320" s="2"/>
    </row>
    <row r="321" spans="1:16" x14ac:dyDescent="0.25">
      <c r="A321" s="1">
        <v>30895</v>
      </c>
      <c r="B321" t="str">
        <f>HLOOKUP(Dashboard!$I$27,results,ROW(A321),FALSE)</f>
        <v/>
      </c>
      <c r="C321">
        <f>IFERROR(VLOOKUP(A321,observations_series_id_PCU22112222112243_api_key_ecc133893ea92a842ee685c73424608[],2,FALSE),"")</f>
        <v>93.8</v>
      </c>
      <c r="D321" s="2">
        <f>IFERROR(VLOOKUP(A321,observations_series_id_PCU22112222112243_api_key_ecc133893ea92a842ee685c73424608[],3,FALSE),"")</f>
        <v>0.81449893390191896</v>
      </c>
      <c r="E321" t="str">
        <f>IFERROR(VLOOKUP($A321,observations_series_id_WPU0613020T_api_key_ecc133893ea92a842ee685c734246086_file[],2,FALSE),"")</f>
        <v/>
      </c>
      <c r="F321" s="2" t="str">
        <f>IFERROR(VLOOKUP($A321,observations_series_id_WPU0613020T_api_key_ecc133893ea92a842ee685c734246086_file[],3,FALSE),"")</f>
        <v/>
      </c>
      <c r="G321" t="str">
        <f>IFERROR(VLOOKUP($A321,observations_series_id_PCU22122212_api_key_ecc133893ea92a842ee685c734246086_file[],2,FALSE),"")</f>
        <v/>
      </c>
      <c r="H321" s="2" t="str">
        <f>IFERROR(VLOOKUP($A321,observations_series_id_PCU22122212_api_key_ecc133893ea92a842ee685c734246086_file[],3,FALSE),"")</f>
        <v/>
      </c>
      <c r="I321">
        <f>IFERROR(VLOOKUP($A321,observations_series_id_PCU3241913241910_api_key_ecc133893ea92a842ee685c734246086[],2,FALSE),"")</f>
        <v>113.3</v>
      </c>
      <c r="J321" s="2">
        <f>IFERROR(VLOOKUP($A321,observations_series_id_PCU3241913241910_api_key_ecc133893ea92a842ee685c734246086[],3,FALSE),"")</f>
        <v>0.54633715798764348</v>
      </c>
      <c r="K321">
        <f>IFERROR(VLOOKUP($A321,observations_series_id_EXJPUS_api_key_ecc133893ea92a842ee685c734246086_file_type[],2,FALSE),"")</f>
        <v>242.26089999999999</v>
      </c>
      <c r="L321" s="2">
        <f>IFERROR(VLOOKUP($A321,observations_series_id_EXJPUS_api_key_ecc133893ea92a842ee685c734246086_file_type[],3,FALSE),"")</f>
        <v>-0.47782824219673903</v>
      </c>
      <c r="M321" t="str">
        <f>IFERROR(AVERAGEIFS(timeseries_access_key_fqeas14oitk235763mntlb1c0brnk9w3fenzqbk313q5kvxyf52kukw1pa[Value.LME-ZNC],timeseries_access_key_fqeas14oitk235763mntlb1c0brnk9w3fenzqbk313q5kvxyf52kukw1pa[Month],MONTH(Data!$A321),timeseries_access_key_fqeas14oitk235763mntlb1c0brnk9w3fenzqbk313q5kvxyf52kukw1pa[Year],YEAR(Data!$A321)),"")</f>
        <v/>
      </c>
      <c r="N321" s="2" t="str">
        <f>IFERROR(AVERAGEIFS(timeseries_access_key_fqeas14oitk235763mntlb1c0brnk9w3fenzqbk313q5kvxyf52kukw1pa[Column1],timeseries_access_key_fqeas14oitk235763mntlb1c0brnk9w3fenzqbk313q5kvxyf52kukw1pa[Month],MONTH(Data!$A321),timeseries_access_key_fqeas14oitk235763mntlb1c0brnk9w3fenzqbk313q5kvxyf52kukw1pa[Year],YEAR(Data!$A321)),"")</f>
        <v/>
      </c>
      <c r="O321" s="8" t="str">
        <f>IFERROR(VLOOKUP($A321,Text_1_2[[Text.1.1.3]:[Text.1.3]],2,FALSE),"")</f>
        <v/>
      </c>
      <c r="P321" s="2"/>
    </row>
    <row r="322" spans="1:16" x14ac:dyDescent="0.25">
      <c r="A322" s="1">
        <v>30926</v>
      </c>
      <c r="B322" t="str">
        <f>HLOOKUP(Dashboard!$I$27,results,ROW(A322),FALSE)</f>
        <v/>
      </c>
      <c r="C322">
        <f>IFERROR(VLOOKUP(A322,observations_series_id_PCU22112222112243_api_key_ecc133893ea92a842ee685c73424608[],2,FALSE),"")</f>
        <v>93.7</v>
      </c>
      <c r="D322" s="2">
        <f>IFERROR(VLOOKUP(A322,observations_series_id_PCU22112222112243_api_key_ecc133893ea92a842ee685c73424608[],3,FALSE),"")</f>
        <v>0.8143009605122733</v>
      </c>
      <c r="E322" t="str">
        <f>IFERROR(VLOOKUP($A322,observations_series_id_WPU0613020T_api_key_ecc133893ea92a842ee685c734246086_file[],2,FALSE),"")</f>
        <v/>
      </c>
      <c r="F322" s="2" t="str">
        <f>IFERROR(VLOOKUP($A322,observations_series_id_WPU0613020T_api_key_ecc133893ea92a842ee685c734246086_file[],3,FALSE),"")</f>
        <v/>
      </c>
      <c r="G322" t="str">
        <f>IFERROR(VLOOKUP($A322,observations_series_id_PCU22122212_api_key_ecc133893ea92a842ee685c734246086_file[],2,FALSE),"")</f>
        <v/>
      </c>
      <c r="H322" s="2" t="str">
        <f>IFERROR(VLOOKUP($A322,observations_series_id_PCU22122212_api_key_ecc133893ea92a842ee685c734246086_file[],3,FALSE),"")</f>
        <v/>
      </c>
      <c r="I322">
        <f>IFERROR(VLOOKUP($A322,observations_series_id_PCU3241913241910_api_key_ecc133893ea92a842ee685c734246086[],2,FALSE),"")</f>
        <v>113.4</v>
      </c>
      <c r="J322" s="2">
        <f>IFERROR(VLOOKUP($A322,observations_series_id_PCU3241913241910_api_key_ecc133893ea92a842ee685c734246086[],3,FALSE),"")</f>
        <v>0.54673721340388015</v>
      </c>
      <c r="K322">
        <f>IFERROR(VLOOKUP($A322,observations_series_id_EXJPUS_api_key_ecc133893ea92a842ee685c734246086_file_type[],2,FALSE),"")</f>
        <v>245.45679999999999</v>
      </c>
      <c r="L322" s="2">
        <f>IFERROR(VLOOKUP($A322,observations_series_id_EXJPUS_api_key_ecc133893ea92a842ee685c734246086_file_type[],3,FALSE),"")</f>
        <v>-0.45858660261194628</v>
      </c>
      <c r="M322" t="str">
        <f>IFERROR(AVERAGEIFS(timeseries_access_key_fqeas14oitk235763mntlb1c0brnk9w3fenzqbk313q5kvxyf52kukw1pa[Value.LME-ZNC],timeseries_access_key_fqeas14oitk235763mntlb1c0brnk9w3fenzqbk313q5kvxyf52kukw1pa[Month],MONTH(Data!$A322),timeseries_access_key_fqeas14oitk235763mntlb1c0brnk9w3fenzqbk313q5kvxyf52kukw1pa[Year],YEAR(Data!$A322)),"")</f>
        <v/>
      </c>
      <c r="N322" s="2" t="str">
        <f>IFERROR(AVERAGEIFS(timeseries_access_key_fqeas14oitk235763mntlb1c0brnk9w3fenzqbk313q5kvxyf52kukw1pa[Column1],timeseries_access_key_fqeas14oitk235763mntlb1c0brnk9w3fenzqbk313q5kvxyf52kukw1pa[Month],MONTH(Data!$A322),timeseries_access_key_fqeas14oitk235763mntlb1c0brnk9w3fenzqbk313q5kvxyf52kukw1pa[Year],YEAR(Data!$A322)),"")</f>
        <v/>
      </c>
      <c r="O322" s="8" t="str">
        <f>IFERROR(VLOOKUP($A322,Text_1_2[[Text.1.1.3]:[Text.1.3]],2,FALSE),"")</f>
        <v/>
      </c>
      <c r="P322" s="2"/>
    </row>
    <row r="323" spans="1:16" x14ac:dyDescent="0.25">
      <c r="A323" s="1">
        <v>30956</v>
      </c>
      <c r="B323" t="str">
        <f>HLOOKUP(Dashboard!$I$27,results,ROW(A323),FALSE)</f>
        <v/>
      </c>
      <c r="C323">
        <f>IFERROR(VLOOKUP(A323,observations_series_id_PCU22112222112243_api_key_ecc133893ea92a842ee685c73424608[],2,FALSE),"")</f>
        <v>92.6</v>
      </c>
      <c r="D323" s="2">
        <f>IFERROR(VLOOKUP(A323,observations_series_id_PCU22112222112243_api_key_ecc133893ea92a842ee685c73424608[],3,FALSE),"")</f>
        <v>0.81209503239740821</v>
      </c>
      <c r="E323" t="str">
        <f>IFERROR(VLOOKUP($A323,observations_series_id_WPU0613020T_api_key_ecc133893ea92a842ee685c734246086_file[],2,FALSE),"")</f>
        <v/>
      </c>
      <c r="F323" s="2" t="str">
        <f>IFERROR(VLOOKUP($A323,observations_series_id_WPU0613020T_api_key_ecc133893ea92a842ee685c734246086_file[],3,FALSE),"")</f>
        <v/>
      </c>
      <c r="G323" t="str">
        <f>IFERROR(VLOOKUP($A323,observations_series_id_PCU22122212_api_key_ecc133893ea92a842ee685c734246086_file[],2,FALSE),"")</f>
        <v/>
      </c>
      <c r="H323" s="2" t="str">
        <f>IFERROR(VLOOKUP($A323,observations_series_id_PCU22122212_api_key_ecc133893ea92a842ee685c734246086_file[],3,FALSE),"")</f>
        <v/>
      </c>
      <c r="I323">
        <f>IFERROR(VLOOKUP($A323,observations_series_id_PCU3241913241910_api_key_ecc133893ea92a842ee685c734246086[],2,FALSE),"")</f>
        <v>113.5</v>
      </c>
      <c r="J323" s="2">
        <f>IFERROR(VLOOKUP($A323,observations_series_id_PCU3241913241910_api_key_ecc133893ea92a842ee685c734246086[],3,FALSE),"")</f>
        <v>0.54713656387665199</v>
      </c>
      <c r="K323">
        <f>IFERROR(VLOOKUP($A323,observations_series_id_EXJPUS_api_key_ecc133893ea92a842ee685c734246086_file_type[],2,FALSE),"")</f>
        <v>246.75450000000001</v>
      </c>
      <c r="L323" s="2">
        <f>IFERROR(VLOOKUP($A323,observations_series_id_EXJPUS_api_key_ecc133893ea92a842ee685c734246086_file_type[],3,FALSE),"")</f>
        <v>-0.45091578876980964</v>
      </c>
      <c r="M323" t="str">
        <f>IFERROR(AVERAGEIFS(timeseries_access_key_fqeas14oitk235763mntlb1c0brnk9w3fenzqbk313q5kvxyf52kukw1pa[Value.LME-ZNC],timeseries_access_key_fqeas14oitk235763mntlb1c0brnk9w3fenzqbk313q5kvxyf52kukw1pa[Month],MONTH(Data!$A323),timeseries_access_key_fqeas14oitk235763mntlb1c0brnk9w3fenzqbk313q5kvxyf52kukw1pa[Year],YEAR(Data!$A323)),"")</f>
        <v/>
      </c>
      <c r="N323" s="2" t="str">
        <f>IFERROR(AVERAGEIFS(timeseries_access_key_fqeas14oitk235763mntlb1c0brnk9w3fenzqbk313q5kvxyf52kukw1pa[Column1],timeseries_access_key_fqeas14oitk235763mntlb1c0brnk9w3fenzqbk313q5kvxyf52kukw1pa[Month],MONTH(Data!$A323),timeseries_access_key_fqeas14oitk235763mntlb1c0brnk9w3fenzqbk313q5kvxyf52kukw1pa[Year],YEAR(Data!$A323)),"")</f>
        <v/>
      </c>
      <c r="O323" s="8" t="str">
        <f>IFERROR(VLOOKUP($A323,Text_1_2[[Text.1.1.3]:[Text.1.3]],2,FALSE),"")</f>
        <v/>
      </c>
      <c r="P323" s="2"/>
    </row>
    <row r="324" spans="1:16" x14ac:dyDescent="0.25">
      <c r="A324" s="1">
        <v>30987</v>
      </c>
      <c r="B324" t="str">
        <f>HLOOKUP(Dashboard!$I$27,results,ROW(A324),FALSE)</f>
        <v/>
      </c>
      <c r="C324">
        <f>IFERROR(VLOOKUP(A324,observations_series_id_PCU22112222112243_api_key_ecc133893ea92a842ee685c73424608[],2,FALSE),"")</f>
        <v>92.1</v>
      </c>
      <c r="D324" s="2">
        <f>IFERROR(VLOOKUP(A324,observations_series_id_PCU22112222112243_api_key_ecc133893ea92a842ee685c73424608[],3,FALSE),"")</f>
        <v>0.81107491856677527</v>
      </c>
      <c r="E324" t="str">
        <f>IFERROR(VLOOKUP($A324,observations_series_id_WPU0613020T_api_key_ecc133893ea92a842ee685c734246086_file[],2,FALSE),"")</f>
        <v/>
      </c>
      <c r="F324" s="2" t="str">
        <f>IFERROR(VLOOKUP($A324,observations_series_id_WPU0613020T_api_key_ecc133893ea92a842ee685c734246086_file[],3,FALSE),"")</f>
        <v/>
      </c>
      <c r="G324" t="str">
        <f>IFERROR(VLOOKUP($A324,observations_series_id_PCU22122212_api_key_ecc133893ea92a842ee685c734246086_file[],2,FALSE),"")</f>
        <v/>
      </c>
      <c r="H324" s="2" t="str">
        <f>IFERROR(VLOOKUP($A324,observations_series_id_PCU22122212_api_key_ecc133893ea92a842ee685c734246086_file[],3,FALSE),"")</f>
        <v/>
      </c>
      <c r="I324">
        <f>IFERROR(VLOOKUP($A324,observations_series_id_PCU3241913241910_api_key_ecc133893ea92a842ee685c734246086[],2,FALSE),"")</f>
        <v>113.6</v>
      </c>
      <c r="J324" s="2">
        <f>IFERROR(VLOOKUP($A324,observations_series_id_PCU3241913241910_api_key_ecc133893ea92a842ee685c734246086[],3,FALSE),"")</f>
        <v>0.54753521126760563</v>
      </c>
      <c r="K324">
        <f>IFERROR(VLOOKUP($A324,observations_series_id_EXJPUS_api_key_ecc133893ea92a842ee685c734246086_file_type[],2,FALSE),"")</f>
        <v>243.63050000000001</v>
      </c>
      <c r="L324" s="2">
        <f>IFERROR(VLOOKUP($A324,observations_series_id_EXJPUS_api_key_ecc133893ea92a842ee685c734246086_file_type[],3,FALSE),"")</f>
        <v>-0.46952044181660324</v>
      </c>
      <c r="M324" t="str">
        <f>IFERROR(AVERAGEIFS(timeseries_access_key_fqeas14oitk235763mntlb1c0brnk9w3fenzqbk313q5kvxyf52kukw1pa[Value.LME-ZNC],timeseries_access_key_fqeas14oitk235763mntlb1c0brnk9w3fenzqbk313q5kvxyf52kukw1pa[Month],MONTH(Data!$A324),timeseries_access_key_fqeas14oitk235763mntlb1c0brnk9w3fenzqbk313q5kvxyf52kukw1pa[Year],YEAR(Data!$A324)),"")</f>
        <v/>
      </c>
      <c r="N324" s="2" t="str">
        <f>IFERROR(AVERAGEIFS(timeseries_access_key_fqeas14oitk235763mntlb1c0brnk9w3fenzqbk313q5kvxyf52kukw1pa[Column1],timeseries_access_key_fqeas14oitk235763mntlb1c0brnk9w3fenzqbk313q5kvxyf52kukw1pa[Month],MONTH(Data!$A324),timeseries_access_key_fqeas14oitk235763mntlb1c0brnk9w3fenzqbk313q5kvxyf52kukw1pa[Year],YEAR(Data!$A324)),"")</f>
        <v/>
      </c>
      <c r="O324" s="8" t="str">
        <f>IFERROR(VLOOKUP($A324,Text_1_2[[Text.1.1.3]:[Text.1.3]],2,FALSE),"")</f>
        <v/>
      </c>
      <c r="P324" s="2"/>
    </row>
    <row r="325" spans="1:16" x14ac:dyDescent="0.25">
      <c r="A325" s="1">
        <v>31017</v>
      </c>
      <c r="B325" t="str">
        <f>HLOOKUP(Dashboard!$I$27,results,ROW(A325),FALSE)</f>
        <v/>
      </c>
      <c r="C325">
        <f>IFERROR(VLOOKUP(A325,observations_series_id_PCU22112222112243_api_key_ecc133893ea92a842ee685c73424608[],2,FALSE),"")</f>
        <v>92.1</v>
      </c>
      <c r="D325" s="2">
        <f>IFERROR(VLOOKUP(A325,observations_series_id_PCU22112222112243_api_key_ecc133893ea92a842ee685c73424608[],3,FALSE),"")</f>
        <v>0.81107491856677527</v>
      </c>
      <c r="E325" t="str">
        <f>IFERROR(VLOOKUP($A325,observations_series_id_WPU0613020T_api_key_ecc133893ea92a842ee685c734246086_file[],2,FALSE),"")</f>
        <v/>
      </c>
      <c r="F325" s="2" t="str">
        <f>IFERROR(VLOOKUP($A325,observations_series_id_WPU0613020T_api_key_ecc133893ea92a842ee685c734246086_file[],3,FALSE),"")</f>
        <v/>
      </c>
      <c r="G325" t="str">
        <f>IFERROR(VLOOKUP($A325,observations_series_id_PCU22122212_api_key_ecc133893ea92a842ee685c734246086_file[],2,FALSE),"")</f>
        <v/>
      </c>
      <c r="H325" s="2" t="str">
        <f>IFERROR(VLOOKUP($A325,observations_series_id_PCU22122212_api_key_ecc133893ea92a842ee685c734246086_file[],3,FALSE),"")</f>
        <v/>
      </c>
      <c r="I325">
        <f>IFERROR(VLOOKUP($A325,observations_series_id_PCU3241913241910_api_key_ecc133893ea92a842ee685c734246086[],2,FALSE),"")</f>
        <v>113.6</v>
      </c>
      <c r="J325" s="2">
        <f>IFERROR(VLOOKUP($A325,observations_series_id_PCU3241913241910_api_key_ecc133893ea92a842ee685c734246086[],3,FALSE),"")</f>
        <v>0.54753521126760563</v>
      </c>
      <c r="K325">
        <f>IFERROR(VLOOKUP($A325,observations_series_id_EXJPUS_api_key_ecc133893ea92a842ee685c734246086_file_type[],2,FALSE),"")</f>
        <v>247.964</v>
      </c>
      <c r="L325" s="2">
        <f>IFERROR(VLOOKUP($A325,observations_series_id_EXJPUS_api_key_ecc133893ea92a842ee685c734246086_file_type[],3,FALSE),"")</f>
        <v>-0.44383862173541311</v>
      </c>
      <c r="M325" t="str">
        <f>IFERROR(AVERAGEIFS(timeseries_access_key_fqeas14oitk235763mntlb1c0brnk9w3fenzqbk313q5kvxyf52kukw1pa[Value.LME-ZNC],timeseries_access_key_fqeas14oitk235763mntlb1c0brnk9w3fenzqbk313q5kvxyf52kukw1pa[Month],MONTH(Data!$A325),timeseries_access_key_fqeas14oitk235763mntlb1c0brnk9w3fenzqbk313q5kvxyf52kukw1pa[Year],YEAR(Data!$A325)),"")</f>
        <v/>
      </c>
      <c r="N325" s="2" t="str">
        <f>IFERROR(AVERAGEIFS(timeseries_access_key_fqeas14oitk235763mntlb1c0brnk9w3fenzqbk313q5kvxyf52kukw1pa[Column1],timeseries_access_key_fqeas14oitk235763mntlb1c0brnk9w3fenzqbk313q5kvxyf52kukw1pa[Month],MONTH(Data!$A325),timeseries_access_key_fqeas14oitk235763mntlb1c0brnk9w3fenzqbk313q5kvxyf52kukw1pa[Year],YEAR(Data!$A325)),"")</f>
        <v/>
      </c>
      <c r="O325" s="8" t="str">
        <f>IFERROR(VLOOKUP($A325,Text_1_2[[Text.1.1.3]:[Text.1.3]],2,FALSE),"")</f>
        <v/>
      </c>
      <c r="P325" s="2"/>
    </row>
    <row r="326" spans="1:16" x14ac:dyDescent="0.25">
      <c r="A326" s="1">
        <v>31048</v>
      </c>
      <c r="B326" t="str">
        <f>HLOOKUP(Dashboard!$I$27,results,ROW(A326),FALSE)</f>
        <v/>
      </c>
      <c r="C326">
        <f>IFERROR(VLOOKUP(A326,observations_series_id_PCU22112222112243_api_key_ecc133893ea92a842ee685c73424608[],2,FALSE),"")</f>
        <v>93.1</v>
      </c>
      <c r="D326" s="2">
        <f>IFERROR(VLOOKUP(A326,observations_series_id_PCU22112222112243_api_key_ecc133893ea92a842ee685c73424608[],3,FALSE),"")</f>
        <v>0.81310418904403869</v>
      </c>
      <c r="E326" t="str">
        <f>IFERROR(VLOOKUP($A326,observations_series_id_WPU0613020T_api_key_ecc133893ea92a842ee685c734246086_file[],2,FALSE),"")</f>
        <v/>
      </c>
      <c r="F326" s="2" t="str">
        <f>IFERROR(VLOOKUP($A326,observations_series_id_WPU0613020T_api_key_ecc133893ea92a842ee685c734246086_file[],3,FALSE),"")</f>
        <v/>
      </c>
      <c r="G326" t="str">
        <f>IFERROR(VLOOKUP($A326,observations_series_id_PCU22122212_api_key_ecc133893ea92a842ee685c734246086_file[],2,FALSE),"")</f>
        <v/>
      </c>
      <c r="H326" s="2" t="str">
        <f>IFERROR(VLOOKUP($A326,observations_series_id_PCU22122212_api_key_ecc133893ea92a842ee685c734246086_file[],3,FALSE),"")</f>
        <v/>
      </c>
      <c r="I326">
        <f>IFERROR(VLOOKUP($A326,observations_series_id_PCU3241913241910_api_key_ecc133893ea92a842ee685c734246086[],2,FALSE),"")</f>
        <v>114.3</v>
      </c>
      <c r="J326" s="2">
        <f>IFERROR(VLOOKUP($A326,observations_series_id_PCU3241913241910_api_key_ecc133893ea92a842ee685c734246086[],3,FALSE),"")</f>
        <v>0.55030621172353456</v>
      </c>
      <c r="K326">
        <f>IFERROR(VLOOKUP($A326,observations_series_id_EXJPUS_api_key_ecc133893ea92a842ee685c734246086_file_type[],2,FALSE),"")</f>
        <v>254.18289999999999</v>
      </c>
      <c r="L326" s="2">
        <f>IFERROR(VLOOKUP($A326,observations_series_id_EXJPUS_api_key_ecc133893ea92a842ee685c734246086_file_type[],3,FALSE),"")</f>
        <v>-0.40851331855919493</v>
      </c>
      <c r="M326" t="str">
        <f>IFERROR(AVERAGEIFS(timeseries_access_key_fqeas14oitk235763mntlb1c0brnk9w3fenzqbk313q5kvxyf52kukw1pa[Value.LME-ZNC],timeseries_access_key_fqeas14oitk235763mntlb1c0brnk9w3fenzqbk313q5kvxyf52kukw1pa[Month],MONTH(Data!$A326),timeseries_access_key_fqeas14oitk235763mntlb1c0brnk9w3fenzqbk313q5kvxyf52kukw1pa[Year],YEAR(Data!$A326)),"")</f>
        <v/>
      </c>
      <c r="N326" s="2" t="str">
        <f>IFERROR(AVERAGEIFS(timeseries_access_key_fqeas14oitk235763mntlb1c0brnk9w3fenzqbk313q5kvxyf52kukw1pa[Column1],timeseries_access_key_fqeas14oitk235763mntlb1c0brnk9w3fenzqbk313q5kvxyf52kukw1pa[Month],MONTH(Data!$A326),timeseries_access_key_fqeas14oitk235763mntlb1c0brnk9w3fenzqbk313q5kvxyf52kukw1pa[Year],YEAR(Data!$A326)),"")</f>
        <v/>
      </c>
      <c r="O326" s="8" t="str">
        <f>IFERROR(VLOOKUP($A326,Text_1_2[[Text.1.1.3]:[Text.1.3]],2,FALSE),"")</f>
        <v/>
      </c>
      <c r="P326" s="2"/>
    </row>
    <row r="327" spans="1:16" x14ac:dyDescent="0.25">
      <c r="A327" s="1">
        <v>31079</v>
      </c>
      <c r="B327" t="str">
        <f>HLOOKUP(Dashboard!$I$27,results,ROW(A327),FALSE)</f>
        <v/>
      </c>
      <c r="C327">
        <f>IFERROR(VLOOKUP(A327,observations_series_id_PCU22112222112243_api_key_ecc133893ea92a842ee685c73424608[],2,FALSE),"")</f>
        <v>93.2</v>
      </c>
      <c r="D327" s="2">
        <f>IFERROR(VLOOKUP(A327,observations_series_id_PCU22112222112243_api_key_ecc133893ea92a842ee685c73424608[],3,FALSE),"")</f>
        <v>0.81330472103004292</v>
      </c>
      <c r="E327" t="str">
        <f>IFERROR(VLOOKUP($A327,observations_series_id_WPU0613020T_api_key_ecc133893ea92a842ee685c734246086_file[],2,FALSE),"")</f>
        <v/>
      </c>
      <c r="F327" s="2" t="str">
        <f>IFERROR(VLOOKUP($A327,observations_series_id_WPU0613020T_api_key_ecc133893ea92a842ee685c734246086_file[],3,FALSE),"")</f>
        <v/>
      </c>
      <c r="G327" t="str">
        <f>IFERROR(VLOOKUP($A327,observations_series_id_PCU22122212_api_key_ecc133893ea92a842ee685c734246086_file[],2,FALSE),"")</f>
        <v/>
      </c>
      <c r="H327" s="2" t="str">
        <f>IFERROR(VLOOKUP($A327,observations_series_id_PCU22122212_api_key_ecc133893ea92a842ee685c734246086_file[],3,FALSE),"")</f>
        <v/>
      </c>
      <c r="I327">
        <f>IFERROR(VLOOKUP($A327,observations_series_id_PCU3241913241910_api_key_ecc133893ea92a842ee685c734246086[],2,FALSE),"")</f>
        <v>113.8</v>
      </c>
      <c r="J327" s="2">
        <f>IFERROR(VLOOKUP($A327,observations_series_id_PCU3241913241910_api_key_ecc133893ea92a842ee685c734246086[],3,FALSE),"")</f>
        <v>0.54833040421792623</v>
      </c>
      <c r="K327">
        <f>IFERROR(VLOOKUP($A327,observations_series_id_EXJPUS_api_key_ecc133893ea92a842ee685c734246086_file_type[],2,FALSE),"")</f>
        <v>260.4778</v>
      </c>
      <c r="L327" s="2">
        <f>IFERROR(VLOOKUP($A327,observations_series_id_EXJPUS_api_key_ecc133893ea92a842ee685c734246086_file_type[],3,FALSE),"")</f>
        <v>-0.37447413944681651</v>
      </c>
      <c r="M327" t="str">
        <f>IFERROR(AVERAGEIFS(timeseries_access_key_fqeas14oitk235763mntlb1c0brnk9w3fenzqbk313q5kvxyf52kukw1pa[Value.LME-ZNC],timeseries_access_key_fqeas14oitk235763mntlb1c0brnk9w3fenzqbk313q5kvxyf52kukw1pa[Month],MONTH(Data!$A327),timeseries_access_key_fqeas14oitk235763mntlb1c0brnk9w3fenzqbk313q5kvxyf52kukw1pa[Year],YEAR(Data!$A327)),"")</f>
        <v/>
      </c>
      <c r="N327" s="2" t="str">
        <f>IFERROR(AVERAGEIFS(timeseries_access_key_fqeas14oitk235763mntlb1c0brnk9w3fenzqbk313q5kvxyf52kukw1pa[Column1],timeseries_access_key_fqeas14oitk235763mntlb1c0brnk9w3fenzqbk313q5kvxyf52kukw1pa[Month],MONTH(Data!$A327),timeseries_access_key_fqeas14oitk235763mntlb1c0brnk9w3fenzqbk313q5kvxyf52kukw1pa[Year],YEAR(Data!$A327)),"")</f>
        <v/>
      </c>
      <c r="O327" s="8" t="str">
        <f>IFERROR(VLOOKUP($A327,Text_1_2[[Text.1.1.3]:[Text.1.3]],2,FALSE),"")</f>
        <v/>
      </c>
      <c r="P327" s="2"/>
    </row>
    <row r="328" spans="1:16" x14ac:dyDescent="0.25">
      <c r="A328" s="1">
        <v>31107</v>
      </c>
      <c r="B328" t="str">
        <f>HLOOKUP(Dashboard!$I$27,results,ROW(A328),FALSE)</f>
        <v/>
      </c>
      <c r="C328">
        <f>IFERROR(VLOOKUP(A328,observations_series_id_PCU22112222112243_api_key_ecc133893ea92a842ee685c73424608[],2,FALSE),"")</f>
        <v>93.7</v>
      </c>
      <c r="D328" s="2">
        <f>IFERROR(VLOOKUP(A328,observations_series_id_PCU22112222112243_api_key_ecc133893ea92a842ee685c73424608[],3,FALSE),"")</f>
        <v>0.8143009605122733</v>
      </c>
      <c r="E328" t="str">
        <f>IFERROR(VLOOKUP($A328,observations_series_id_WPU0613020T_api_key_ecc133893ea92a842ee685c734246086_file[],2,FALSE),"")</f>
        <v/>
      </c>
      <c r="F328" s="2" t="str">
        <f>IFERROR(VLOOKUP($A328,observations_series_id_WPU0613020T_api_key_ecc133893ea92a842ee685c734246086_file[],3,FALSE),"")</f>
        <v/>
      </c>
      <c r="G328" t="str">
        <f>IFERROR(VLOOKUP($A328,observations_series_id_PCU22122212_api_key_ecc133893ea92a842ee685c734246086_file[],2,FALSE),"")</f>
        <v/>
      </c>
      <c r="H328" s="2" t="str">
        <f>IFERROR(VLOOKUP($A328,observations_series_id_PCU22122212_api_key_ecc133893ea92a842ee685c734246086_file[],3,FALSE),"")</f>
        <v/>
      </c>
      <c r="I328">
        <f>IFERROR(VLOOKUP($A328,observations_series_id_PCU3241913241910_api_key_ecc133893ea92a842ee685c734246086[],2,FALSE),"")</f>
        <v>113.8</v>
      </c>
      <c r="J328" s="2">
        <f>IFERROR(VLOOKUP($A328,observations_series_id_PCU3241913241910_api_key_ecc133893ea92a842ee685c734246086[],3,FALSE),"")</f>
        <v>0.54833040421792623</v>
      </c>
      <c r="K328">
        <f>IFERROR(VLOOKUP($A328,observations_series_id_EXJPUS_api_key_ecc133893ea92a842ee685c734246086_file_type[],2,FALSE),"")</f>
        <v>257.9205</v>
      </c>
      <c r="L328" s="2">
        <f>IFERROR(VLOOKUP($A328,observations_series_id_EXJPUS_api_key_ecc133893ea92a842ee685c734246086_file_type[],3,FALSE),"")</f>
        <v>-0.38810214775483143</v>
      </c>
      <c r="M328" t="str">
        <f>IFERROR(AVERAGEIFS(timeseries_access_key_fqeas14oitk235763mntlb1c0brnk9w3fenzqbk313q5kvxyf52kukw1pa[Value.LME-ZNC],timeseries_access_key_fqeas14oitk235763mntlb1c0brnk9w3fenzqbk313q5kvxyf52kukw1pa[Month],MONTH(Data!$A328),timeseries_access_key_fqeas14oitk235763mntlb1c0brnk9w3fenzqbk313q5kvxyf52kukw1pa[Year],YEAR(Data!$A328)),"")</f>
        <v/>
      </c>
      <c r="N328" s="2" t="str">
        <f>IFERROR(AVERAGEIFS(timeseries_access_key_fqeas14oitk235763mntlb1c0brnk9w3fenzqbk313q5kvxyf52kukw1pa[Column1],timeseries_access_key_fqeas14oitk235763mntlb1c0brnk9w3fenzqbk313q5kvxyf52kukw1pa[Month],MONTH(Data!$A328),timeseries_access_key_fqeas14oitk235763mntlb1c0brnk9w3fenzqbk313q5kvxyf52kukw1pa[Year],YEAR(Data!$A328)),"")</f>
        <v/>
      </c>
      <c r="O328" s="8" t="str">
        <f>IFERROR(VLOOKUP($A328,Text_1_2[[Text.1.1.3]:[Text.1.3]],2,FALSE),"")</f>
        <v/>
      </c>
      <c r="P328" s="2"/>
    </row>
    <row r="329" spans="1:16" x14ac:dyDescent="0.25">
      <c r="A329" s="1">
        <v>31138</v>
      </c>
      <c r="B329" t="str">
        <f>HLOOKUP(Dashboard!$I$27,results,ROW(A329),FALSE)</f>
        <v/>
      </c>
      <c r="C329">
        <f>IFERROR(VLOOKUP(A329,observations_series_id_PCU22112222112243_api_key_ecc133893ea92a842ee685c73424608[],2,FALSE),"")</f>
        <v>94.3</v>
      </c>
      <c r="D329" s="2">
        <f>IFERROR(VLOOKUP(A329,observations_series_id_PCU22112222112243_api_key_ecc133893ea92a842ee685c73424608[],3,FALSE),"")</f>
        <v>0.81548250265111344</v>
      </c>
      <c r="E329" t="str">
        <f>IFERROR(VLOOKUP($A329,observations_series_id_WPU0613020T_api_key_ecc133893ea92a842ee685c734246086_file[],2,FALSE),"")</f>
        <v/>
      </c>
      <c r="F329" s="2" t="str">
        <f>IFERROR(VLOOKUP($A329,observations_series_id_WPU0613020T_api_key_ecc133893ea92a842ee685c734246086_file[],3,FALSE),"")</f>
        <v/>
      </c>
      <c r="G329" t="str">
        <f>IFERROR(VLOOKUP($A329,observations_series_id_PCU22122212_api_key_ecc133893ea92a842ee685c734246086_file[],2,FALSE),"")</f>
        <v/>
      </c>
      <c r="H329" s="2" t="str">
        <f>IFERROR(VLOOKUP($A329,observations_series_id_PCU22122212_api_key_ecc133893ea92a842ee685c734246086_file[],3,FALSE),"")</f>
        <v/>
      </c>
      <c r="I329">
        <f>IFERROR(VLOOKUP($A329,observations_series_id_PCU3241913241910_api_key_ecc133893ea92a842ee685c734246086[],2,FALSE),"")</f>
        <v>114.3</v>
      </c>
      <c r="J329" s="2">
        <f>IFERROR(VLOOKUP($A329,observations_series_id_PCU3241913241910_api_key_ecc133893ea92a842ee685c734246086[],3,FALSE),"")</f>
        <v>0.55030621172353456</v>
      </c>
      <c r="K329">
        <f>IFERROR(VLOOKUP($A329,observations_series_id_EXJPUS_api_key_ecc133893ea92a842ee685c734246086_file_type[],2,FALSE),"")</f>
        <v>251.84549999999999</v>
      </c>
      <c r="L329" s="2">
        <f>IFERROR(VLOOKUP($A329,observations_series_id_EXJPUS_api_key_ecc133893ea92a842ee685c734246086_file_type[],3,FALSE),"")</f>
        <v>-0.42158585323144537</v>
      </c>
      <c r="M329" t="str">
        <f>IFERROR(AVERAGEIFS(timeseries_access_key_fqeas14oitk235763mntlb1c0brnk9w3fenzqbk313q5kvxyf52kukw1pa[Value.LME-ZNC],timeseries_access_key_fqeas14oitk235763mntlb1c0brnk9w3fenzqbk313q5kvxyf52kukw1pa[Month],MONTH(Data!$A329),timeseries_access_key_fqeas14oitk235763mntlb1c0brnk9w3fenzqbk313q5kvxyf52kukw1pa[Year],YEAR(Data!$A329)),"")</f>
        <v/>
      </c>
      <c r="N329" s="2" t="str">
        <f>IFERROR(AVERAGEIFS(timeseries_access_key_fqeas14oitk235763mntlb1c0brnk9w3fenzqbk313q5kvxyf52kukw1pa[Column1],timeseries_access_key_fqeas14oitk235763mntlb1c0brnk9w3fenzqbk313q5kvxyf52kukw1pa[Month],MONTH(Data!$A329),timeseries_access_key_fqeas14oitk235763mntlb1c0brnk9w3fenzqbk313q5kvxyf52kukw1pa[Year],YEAR(Data!$A329)),"")</f>
        <v/>
      </c>
      <c r="O329" s="8" t="str">
        <f>IFERROR(VLOOKUP($A329,Text_1_2[[Text.1.1.3]:[Text.1.3]],2,FALSE),"")</f>
        <v/>
      </c>
      <c r="P329" s="2"/>
    </row>
    <row r="330" spans="1:16" x14ac:dyDescent="0.25">
      <c r="A330" s="1">
        <v>31168</v>
      </c>
      <c r="B330" t="str">
        <f>HLOOKUP(Dashboard!$I$27,results,ROW(A330),FALSE)</f>
        <v/>
      </c>
      <c r="C330">
        <f>IFERROR(VLOOKUP(A330,observations_series_id_PCU22112222112243_api_key_ecc133893ea92a842ee685c73424608[],2,FALSE),"")</f>
        <v>94.1</v>
      </c>
      <c r="D330" s="2">
        <f>IFERROR(VLOOKUP(A330,observations_series_id_PCU22112222112243_api_key_ecc133893ea92a842ee685c73424608[],3,FALSE),"")</f>
        <v>0.8150903294367694</v>
      </c>
      <c r="E330" t="str">
        <f>IFERROR(VLOOKUP($A330,observations_series_id_WPU0613020T_api_key_ecc133893ea92a842ee685c734246086_file[],2,FALSE),"")</f>
        <v/>
      </c>
      <c r="F330" s="2" t="str">
        <f>IFERROR(VLOOKUP($A330,observations_series_id_WPU0613020T_api_key_ecc133893ea92a842ee685c734246086_file[],3,FALSE),"")</f>
        <v/>
      </c>
      <c r="G330" t="str">
        <f>IFERROR(VLOOKUP($A330,observations_series_id_PCU22122212_api_key_ecc133893ea92a842ee685c734246086_file[],2,FALSE),"")</f>
        <v/>
      </c>
      <c r="H330" s="2" t="str">
        <f>IFERROR(VLOOKUP($A330,observations_series_id_PCU22122212_api_key_ecc133893ea92a842ee685c734246086_file[],3,FALSE),"")</f>
        <v/>
      </c>
      <c r="I330">
        <f>IFERROR(VLOOKUP($A330,observations_series_id_PCU3241913241910_api_key_ecc133893ea92a842ee685c734246086[],2,FALSE),"")</f>
        <v>114.7</v>
      </c>
      <c r="J330" s="2">
        <f>IFERROR(VLOOKUP($A330,observations_series_id_PCU3241913241910_api_key_ecc133893ea92a842ee685c734246086[],3,FALSE),"")</f>
        <v>0.55187445510026156</v>
      </c>
      <c r="K330">
        <f>IFERROR(VLOOKUP($A330,observations_series_id_EXJPUS_api_key_ecc133893ea92a842ee685c734246086_file_type[],2,FALSE),"")</f>
        <v>251.7295</v>
      </c>
      <c r="L330" s="2">
        <f>IFERROR(VLOOKUP($A330,observations_series_id_EXJPUS_api_key_ecc133893ea92a842ee685c734246086_file_type[],3,FALSE),"")</f>
        <v>-0.4222409371964746</v>
      </c>
      <c r="M330" t="str">
        <f>IFERROR(AVERAGEIFS(timeseries_access_key_fqeas14oitk235763mntlb1c0brnk9w3fenzqbk313q5kvxyf52kukw1pa[Value.LME-ZNC],timeseries_access_key_fqeas14oitk235763mntlb1c0brnk9w3fenzqbk313q5kvxyf52kukw1pa[Month],MONTH(Data!$A330),timeseries_access_key_fqeas14oitk235763mntlb1c0brnk9w3fenzqbk313q5kvxyf52kukw1pa[Year],YEAR(Data!$A330)),"")</f>
        <v/>
      </c>
      <c r="N330" s="2" t="str">
        <f>IFERROR(AVERAGEIFS(timeseries_access_key_fqeas14oitk235763mntlb1c0brnk9w3fenzqbk313q5kvxyf52kukw1pa[Column1],timeseries_access_key_fqeas14oitk235763mntlb1c0brnk9w3fenzqbk313q5kvxyf52kukw1pa[Month],MONTH(Data!$A330),timeseries_access_key_fqeas14oitk235763mntlb1c0brnk9w3fenzqbk313q5kvxyf52kukw1pa[Year],YEAR(Data!$A330)),"")</f>
        <v/>
      </c>
      <c r="O330" s="8" t="str">
        <f>IFERROR(VLOOKUP($A330,Text_1_2[[Text.1.1.3]:[Text.1.3]],2,FALSE),"")</f>
        <v/>
      </c>
      <c r="P330" s="2"/>
    </row>
    <row r="331" spans="1:16" x14ac:dyDescent="0.25">
      <c r="A331" s="1">
        <v>31199</v>
      </c>
      <c r="B331" t="str">
        <f>HLOOKUP(Dashboard!$I$27,results,ROW(A331),FALSE)</f>
        <v/>
      </c>
      <c r="C331">
        <f>IFERROR(VLOOKUP(A331,observations_series_id_PCU22112222112243_api_key_ecc133893ea92a842ee685c73424608[],2,FALSE),"")</f>
        <v>95.8</v>
      </c>
      <c r="D331" s="2">
        <f>IFERROR(VLOOKUP(A331,observations_series_id_PCU22112222112243_api_key_ecc133893ea92a842ee685c73424608[],3,FALSE),"")</f>
        <v>0.81837160751565763</v>
      </c>
      <c r="E331" t="str">
        <f>IFERROR(VLOOKUP($A331,observations_series_id_WPU0613020T_api_key_ecc133893ea92a842ee685c734246086_file[],2,FALSE),"")</f>
        <v/>
      </c>
      <c r="F331" s="2" t="str">
        <f>IFERROR(VLOOKUP($A331,observations_series_id_WPU0613020T_api_key_ecc133893ea92a842ee685c734246086_file[],3,FALSE),"")</f>
        <v/>
      </c>
      <c r="G331" t="str">
        <f>IFERROR(VLOOKUP($A331,observations_series_id_PCU22122212_api_key_ecc133893ea92a842ee685c734246086_file[],2,FALSE),"")</f>
        <v/>
      </c>
      <c r="H331" s="2" t="str">
        <f>IFERROR(VLOOKUP($A331,observations_series_id_PCU22122212_api_key_ecc133893ea92a842ee685c734246086_file[],3,FALSE),"")</f>
        <v/>
      </c>
      <c r="I331">
        <f>IFERROR(VLOOKUP($A331,observations_series_id_PCU3241913241910_api_key_ecc133893ea92a842ee685c734246086[],2,FALSE),"")</f>
        <v>114.8</v>
      </c>
      <c r="J331" s="2">
        <f>IFERROR(VLOOKUP($A331,observations_series_id_PCU3241913241910_api_key_ecc133893ea92a842ee685c734246086[],3,FALSE),"")</f>
        <v>0.55226480836236935</v>
      </c>
      <c r="K331">
        <f>IFERROR(VLOOKUP($A331,observations_series_id_EXJPUS_api_key_ecc133893ea92a842ee685c734246086_file_type[],2,FALSE),"")</f>
        <v>248.84</v>
      </c>
      <c r="L331" s="2">
        <f>IFERROR(VLOOKUP($A331,observations_series_id_EXJPUS_api_key_ecc133893ea92a842ee685c734246086_file_type[],3,FALSE),"")</f>
        <v>-0.43875582703745364</v>
      </c>
      <c r="M331" t="str">
        <f>IFERROR(AVERAGEIFS(timeseries_access_key_fqeas14oitk235763mntlb1c0brnk9w3fenzqbk313q5kvxyf52kukw1pa[Value.LME-ZNC],timeseries_access_key_fqeas14oitk235763mntlb1c0brnk9w3fenzqbk313q5kvxyf52kukw1pa[Month],MONTH(Data!$A331),timeseries_access_key_fqeas14oitk235763mntlb1c0brnk9w3fenzqbk313q5kvxyf52kukw1pa[Year],YEAR(Data!$A331)),"")</f>
        <v/>
      </c>
      <c r="N331" s="2" t="str">
        <f>IFERROR(AVERAGEIFS(timeseries_access_key_fqeas14oitk235763mntlb1c0brnk9w3fenzqbk313q5kvxyf52kukw1pa[Column1],timeseries_access_key_fqeas14oitk235763mntlb1c0brnk9w3fenzqbk313q5kvxyf52kukw1pa[Month],MONTH(Data!$A331),timeseries_access_key_fqeas14oitk235763mntlb1c0brnk9w3fenzqbk313q5kvxyf52kukw1pa[Year],YEAR(Data!$A331)),"")</f>
        <v/>
      </c>
      <c r="O331" s="8" t="str">
        <f>IFERROR(VLOOKUP($A331,Text_1_2[[Text.1.1.3]:[Text.1.3]],2,FALSE),"")</f>
        <v/>
      </c>
      <c r="P331" s="2"/>
    </row>
    <row r="332" spans="1:16" x14ac:dyDescent="0.25">
      <c r="A332" s="1">
        <v>31229</v>
      </c>
      <c r="B332" t="str">
        <f>HLOOKUP(Dashboard!$I$27,results,ROW(A332),FALSE)</f>
        <v/>
      </c>
      <c r="C332">
        <f>IFERROR(VLOOKUP(A332,observations_series_id_PCU22112222112243_api_key_ecc133893ea92a842ee685c73424608[],2,FALSE),"")</f>
        <v>95.9</v>
      </c>
      <c r="D332" s="2">
        <f>IFERROR(VLOOKUP(A332,observations_series_id_PCU22112222112243_api_key_ecc133893ea92a842ee685c73424608[],3,FALSE),"")</f>
        <v>0.81856100104275287</v>
      </c>
      <c r="E332" t="str">
        <f>IFERROR(VLOOKUP($A332,observations_series_id_WPU0613020T_api_key_ecc133893ea92a842ee685c734246086_file[],2,FALSE),"")</f>
        <v/>
      </c>
      <c r="F332" s="2" t="str">
        <f>IFERROR(VLOOKUP($A332,observations_series_id_WPU0613020T_api_key_ecc133893ea92a842ee685c734246086_file[],3,FALSE),"")</f>
        <v/>
      </c>
      <c r="G332" t="str">
        <f>IFERROR(VLOOKUP($A332,observations_series_id_PCU22122212_api_key_ecc133893ea92a842ee685c734246086_file[],2,FALSE),"")</f>
        <v/>
      </c>
      <c r="H332" s="2" t="str">
        <f>IFERROR(VLOOKUP($A332,observations_series_id_PCU22122212_api_key_ecc133893ea92a842ee685c734246086_file[],3,FALSE),"")</f>
        <v/>
      </c>
      <c r="I332">
        <f>IFERROR(VLOOKUP($A332,observations_series_id_PCU3241913241910_api_key_ecc133893ea92a842ee685c734246086[],2,FALSE),"")</f>
        <v>114.5</v>
      </c>
      <c r="J332" s="2">
        <f>IFERROR(VLOOKUP($A332,observations_series_id_PCU3241913241910_api_key_ecc133893ea92a842ee685c734246086[],3,FALSE),"")</f>
        <v>0.55109170305676858</v>
      </c>
      <c r="K332">
        <f>IFERROR(VLOOKUP($A332,observations_series_id_EXJPUS_api_key_ecc133893ea92a842ee685c734246086_file_type[],2,FALSE),"")</f>
        <v>241.13640000000001</v>
      </c>
      <c r="L332" s="2">
        <f>IFERROR(VLOOKUP($A332,observations_series_id_EXJPUS_api_key_ecc133893ea92a842ee685c734246086_file_type[],3,FALSE),"")</f>
        <v>-0.48471985150313257</v>
      </c>
      <c r="M332" t="str">
        <f>IFERROR(AVERAGEIFS(timeseries_access_key_fqeas14oitk235763mntlb1c0brnk9w3fenzqbk313q5kvxyf52kukw1pa[Value.LME-ZNC],timeseries_access_key_fqeas14oitk235763mntlb1c0brnk9w3fenzqbk313q5kvxyf52kukw1pa[Month],MONTH(Data!$A332),timeseries_access_key_fqeas14oitk235763mntlb1c0brnk9w3fenzqbk313q5kvxyf52kukw1pa[Year],YEAR(Data!$A332)),"")</f>
        <v/>
      </c>
      <c r="N332" s="2" t="str">
        <f>IFERROR(AVERAGEIFS(timeseries_access_key_fqeas14oitk235763mntlb1c0brnk9w3fenzqbk313q5kvxyf52kukw1pa[Column1],timeseries_access_key_fqeas14oitk235763mntlb1c0brnk9w3fenzqbk313q5kvxyf52kukw1pa[Month],MONTH(Data!$A332),timeseries_access_key_fqeas14oitk235763mntlb1c0brnk9w3fenzqbk313q5kvxyf52kukw1pa[Year],YEAR(Data!$A332)),"")</f>
        <v/>
      </c>
      <c r="O332" s="8" t="str">
        <f>IFERROR(VLOOKUP($A332,Text_1_2[[Text.1.1.3]:[Text.1.3]],2,FALSE),"")</f>
        <v/>
      </c>
      <c r="P332" s="2"/>
    </row>
    <row r="333" spans="1:16" x14ac:dyDescent="0.25">
      <c r="A333" s="1">
        <v>31260</v>
      </c>
      <c r="B333" t="str">
        <f>HLOOKUP(Dashboard!$I$27,results,ROW(A333),FALSE)</f>
        <v/>
      </c>
      <c r="C333">
        <f>IFERROR(VLOOKUP(A333,observations_series_id_PCU22112222112243_api_key_ecc133893ea92a842ee685c73424608[],2,FALSE),"")</f>
        <v>96.3</v>
      </c>
      <c r="D333" s="2">
        <f>IFERROR(VLOOKUP(A333,observations_series_id_PCU22112222112243_api_key_ecc133893ea92a842ee685c73424608[],3,FALSE),"")</f>
        <v>0.81931464174454827</v>
      </c>
      <c r="E333" t="str">
        <f>IFERROR(VLOOKUP($A333,observations_series_id_WPU0613020T_api_key_ecc133893ea92a842ee685c734246086_file[],2,FALSE),"")</f>
        <v/>
      </c>
      <c r="F333" s="2" t="str">
        <f>IFERROR(VLOOKUP($A333,observations_series_id_WPU0613020T_api_key_ecc133893ea92a842ee685c734246086_file[],3,FALSE),"")</f>
        <v/>
      </c>
      <c r="G333" t="str">
        <f>IFERROR(VLOOKUP($A333,observations_series_id_PCU22122212_api_key_ecc133893ea92a842ee685c734246086_file[],2,FALSE),"")</f>
        <v/>
      </c>
      <c r="H333" s="2" t="str">
        <f>IFERROR(VLOOKUP($A333,observations_series_id_PCU22122212_api_key_ecc133893ea92a842ee685c734246086_file[],3,FALSE),"")</f>
        <v/>
      </c>
      <c r="I333">
        <f>IFERROR(VLOOKUP($A333,observations_series_id_PCU3241913241910_api_key_ecc133893ea92a842ee685c734246086[],2,FALSE),"")</f>
        <v>114.5</v>
      </c>
      <c r="J333" s="2">
        <f>IFERROR(VLOOKUP($A333,observations_series_id_PCU3241913241910_api_key_ecc133893ea92a842ee685c734246086[],3,FALSE),"")</f>
        <v>0.55109170305676858</v>
      </c>
      <c r="K333">
        <f>IFERROR(VLOOKUP($A333,observations_series_id_EXJPUS_api_key_ecc133893ea92a842ee685c734246086_file_type[],2,FALSE),"")</f>
        <v>237.46090000000001</v>
      </c>
      <c r="L333" s="2">
        <f>IFERROR(VLOOKUP($A333,observations_series_id_EXJPUS_api_key_ecc133893ea92a842ee685c734246086_file_type[],3,FALSE),"")</f>
        <v>-0.50770084674992799</v>
      </c>
      <c r="M333" t="str">
        <f>IFERROR(AVERAGEIFS(timeseries_access_key_fqeas14oitk235763mntlb1c0brnk9w3fenzqbk313q5kvxyf52kukw1pa[Value.LME-ZNC],timeseries_access_key_fqeas14oitk235763mntlb1c0brnk9w3fenzqbk313q5kvxyf52kukw1pa[Month],MONTH(Data!$A333),timeseries_access_key_fqeas14oitk235763mntlb1c0brnk9w3fenzqbk313q5kvxyf52kukw1pa[Year],YEAR(Data!$A333)),"")</f>
        <v/>
      </c>
      <c r="N333" s="2" t="str">
        <f>IFERROR(AVERAGEIFS(timeseries_access_key_fqeas14oitk235763mntlb1c0brnk9w3fenzqbk313q5kvxyf52kukw1pa[Column1],timeseries_access_key_fqeas14oitk235763mntlb1c0brnk9w3fenzqbk313q5kvxyf52kukw1pa[Month],MONTH(Data!$A333),timeseries_access_key_fqeas14oitk235763mntlb1c0brnk9w3fenzqbk313q5kvxyf52kukw1pa[Year],YEAR(Data!$A333)),"")</f>
        <v/>
      </c>
      <c r="O333" s="8" t="str">
        <f>IFERROR(VLOOKUP($A333,Text_1_2[[Text.1.1.3]:[Text.1.3]],2,FALSE),"")</f>
        <v/>
      </c>
      <c r="P333" s="2"/>
    </row>
    <row r="334" spans="1:16" x14ac:dyDescent="0.25">
      <c r="A334" s="1">
        <v>31291</v>
      </c>
      <c r="B334" t="str">
        <f>HLOOKUP(Dashboard!$I$27,results,ROW(A334),FALSE)</f>
        <v/>
      </c>
      <c r="C334">
        <f>IFERROR(VLOOKUP(A334,observations_series_id_PCU22112222112243_api_key_ecc133893ea92a842ee685c73424608[],2,FALSE),"")</f>
        <v>96</v>
      </c>
      <c r="D334" s="2">
        <f>IFERROR(VLOOKUP(A334,observations_series_id_PCU22112222112243_api_key_ecc133893ea92a842ee685c73424608[],3,FALSE),"")</f>
        <v>0.81874999999999998</v>
      </c>
      <c r="E334" t="str">
        <f>IFERROR(VLOOKUP($A334,observations_series_id_WPU0613020T_api_key_ecc133893ea92a842ee685c734246086_file[],2,FALSE),"")</f>
        <v/>
      </c>
      <c r="F334" s="2" t="str">
        <f>IFERROR(VLOOKUP($A334,observations_series_id_WPU0613020T_api_key_ecc133893ea92a842ee685c734246086_file[],3,FALSE),"")</f>
        <v/>
      </c>
      <c r="G334" t="str">
        <f>IFERROR(VLOOKUP($A334,observations_series_id_PCU22122212_api_key_ecc133893ea92a842ee685c734246086_file[],2,FALSE),"")</f>
        <v/>
      </c>
      <c r="H334" s="2" t="str">
        <f>IFERROR(VLOOKUP($A334,observations_series_id_PCU22122212_api_key_ecc133893ea92a842ee685c734246086_file[],3,FALSE),"")</f>
        <v/>
      </c>
      <c r="I334">
        <f>IFERROR(VLOOKUP($A334,observations_series_id_PCU3241913241910_api_key_ecc133893ea92a842ee685c734246086[],2,FALSE),"")</f>
        <v>114.3</v>
      </c>
      <c r="J334" s="2">
        <f>IFERROR(VLOOKUP($A334,observations_series_id_PCU3241913241910_api_key_ecc133893ea92a842ee685c734246086[],3,FALSE),"")</f>
        <v>0.55030621172353456</v>
      </c>
      <c r="K334">
        <f>IFERROR(VLOOKUP($A334,observations_series_id_EXJPUS_api_key_ecc133893ea92a842ee685c734246086_file_type[],2,FALSE),"")</f>
        <v>236.5275</v>
      </c>
      <c r="L334" s="2">
        <f>IFERROR(VLOOKUP($A334,observations_series_id_EXJPUS_api_key_ecc133893ea92a842ee685c734246086_file_type[],3,FALSE),"")</f>
        <v>-0.51365063259029076</v>
      </c>
      <c r="M334" t="str">
        <f>IFERROR(AVERAGEIFS(timeseries_access_key_fqeas14oitk235763mntlb1c0brnk9w3fenzqbk313q5kvxyf52kukw1pa[Value.LME-ZNC],timeseries_access_key_fqeas14oitk235763mntlb1c0brnk9w3fenzqbk313q5kvxyf52kukw1pa[Month],MONTH(Data!$A334),timeseries_access_key_fqeas14oitk235763mntlb1c0brnk9w3fenzqbk313q5kvxyf52kukw1pa[Year],YEAR(Data!$A334)),"")</f>
        <v/>
      </c>
      <c r="N334" s="2" t="str">
        <f>IFERROR(AVERAGEIFS(timeseries_access_key_fqeas14oitk235763mntlb1c0brnk9w3fenzqbk313q5kvxyf52kukw1pa[Column1],timeseries_access_key_fqeas14oitk235763mntlb1c0brnk9w3fenzqbk313q5kvxyf52kukw1pa[Month],MONTH(Data!$A334),timeseries_access_key_fqeas14oitk235763mntlb1c0brnk9w3fenzqbk313q5kvxyf52kukw1pa[Year],YEAR(Data!$A334)),"")</f>
        <v/>
      </c>
      <c r="O334" s="8" t="str">
        <f>IFERROR(VLOOKUP($A334,Text_1_2[[Text.1.1.3]:[Text.1.3]],2,FALSE),"")</f>
        <v/>
      </c>
      <c r="P334" s="2"/>
    </row>
    <row r="335" spans="1:16" x14ac:dyDescent="0.25">
      <c r="A335" s="1">
        <v>31321</v>
      </c>
      <c r="B335" t="str">
        <f>HLOOKUP(Dashboard!$I$27,results,ROW(A335),FALSE)</f>
        <v/>
      </c>
      <c r="C335">
        <f>IFERROR(VLOOKUP(A335,observations_series_id_PCU22112222112243_api_key_ecc133893ea92a842ee685c73424608[],2,FALSE),"")</f>
        <v>95.5</v>
      </c>
      <c r="D335" s="2">
        <f>IFERROR(VLOOKUP(A335,observations_series_id_PCU22112222112243_api_key_ecc133893ea92a842ee685c73424608[],3,FALSE),"")</f>
        <v>0.8178010471204189</v>
      </c>
      <c r="E335" t="str">
        <f>IFERROR(VLOOKUP($A335,observations_series_id_WPU0613020T_api_key_ecc133893ea92a842ee685c734246086_file[],2,FALSE),"")</f>
        <v/>
      </c>
      <c r="F335" s="2" t="str">
        <f>IFERROR(VLOOKUP($A335,observations_series_id_WPU0613020T_api_key_ecc133893ea92a842ee685c734246086_file[],3,FALSE),"")</f>
        <v/>
      </c>
      <c r="G335" t="str">
        <f>IFERROR(VLOOKUP($A335,observations_series_id_PCU22122212_api_key_ecc133893ea92a842ee685c734246086_file[],2,FALSE),"")</f>
        <v/>
      </c>
      <c r="H335" s="2" t="str">
        <f>IFERROR(VLOOKUP($A335,observations_series_id_PCU22122212_api_key_ecc133893ea92a842ee685c734246086_file[],3,FALSE),"")</f>
        <v/>
      </c>
      <c r="I335">
        <f>IFERROR(VLOOKUP($A335,observations_series_id_PCU3241913241910_api_key_ecc133893ea92a842ee685c734246086[],2,FALSE),"")</f>
        <v>114.3</v>
      </c>
      <c r="J335" s="2">
        <f>IFERROR(VLOOKUP($A335,observations_series_id_PCU3241913241910_api_key_ecc133893ea92a842ee685c734246086[],3,FALSE),"")</f>
        <v>0.55030621172353456</v>
      </c>
      <c r="K335">
        <f>IFERROR(VLOOKUP($A335,observations_series_id_EXJPUS_api_key_ecc133893ea92a842ee685c734246086_file_type[],2,FALSE),"")</f>
        <v>214.68049999999999</v>
      </c>
      <c r="L335" s="2">
        <f>IFERROR(VLOOKUP($A335,observations_series_id_EXJPUS_api_key_ecc133893ea92a842ee685c734246086_file_type[],3,FALSE),"")</f>
        <v>-0.66768756361197212</v>
      </c>
      <c r="M335" t="str">
        <f>IFERROR(AVERAGEIFS(timeseries_access_key_fqeas14oitk235763mntlb1c0brnk9w3fenzqbk313q5kvxyf52kukw1pa[Value.LME-ZNC],timeseries_access_key_fqeas14oitk235763mntlb1c0brnk9w3fenzqbk313q5kvxyf52kukw1pa[Month],MONTH(Data!$A335),timeseries_access_key_fqeas14oitk235763mntlb1c0brnk9w3fenzqbk313q5kvxyf52kukw1pa[Year],YEAR(Data!$A335)),"")</f>
        <v/>
      </c>
      <c r="N335" s="2" t="str">
        <f>IFERROR(AVERAGEIFS(timeseries_access_key_fqeas14oitk235763mntlb1c0brnk9w3fenzqbk313q5kvxyf52kukw1pa[Column1],timeseries_access_key_fqeas14oitk235763mntlb1c0brnk9w3fenzqbk313q5kvxyf52kukw1pa[Month],MONTH(Data!$A335),timeseries_access_key_fqeas14oitk235763mntlb1c0brnk9w3fenzqbk313q5kvxyf52kukw1pa[Year],YEAR(Data!$A335)),"")</f>
        <v/>
      </c>
      <c r="O335" s="8" t="str">
        <f>IFERROR(VLOOKUP($A335,Text_1_2[[Text.1.1.3]:[Text.1.3]],2,FALSE),"")</f>
        <v/>
      </c>
      <c r="P335" s="2"/>
    </row>
    <row r="336" spans="1:16" x14ac:dyDescent="0.25">
      <c r="A336" s="1">
        <v>31352</v>
      </c>
      <c r="B336" t="str">
        <f>HLOOKUP(Dashboard!$I$27,results,ROW(A336),FALSE)</f>
        <v/>
      </c>
      <c r="C336">
        <f>IFERROR(VLOOKUP(A336,observations_series_id_PCU22112222112243_api_key_ecc133893ea92a842ee685c73424608[],2,FALSE),"")</f>
        <v>95.1</v>
      </c>
      <c r="D336" s="2">
        <f>IFERROR(VLOOKUP(A336,observations_series_id_PCU22112222112243_api_key_ecc133893ea92a842ee685c73424608[],3,FALSE),"")</f>
        <v>0.81703470031545744</v>
      </c>
      <c r="E336" t="str">
        <f>IFERROR(VLOOKUP($A336,observations_series_id_WPU0613020T_api_key_ecc133893ea92a842ee685c734246086_file[],2,FALSE),"")</f>
        <v/>
      </c>
      <c r="F336" s="2" t="str">
        <f>IFERROR(VLOOKUP($A336,observations_series_id_WPU0613020T_api_key_ecc133893ea92a842ee685c734246086_file[],3,FALSE),"")</f>
        <v/>
      </c>
      <c r="G336" t="str">
        <f>IFERROR(VLOOKUP($A336,observations_series_id_PCU22122212_api_key_ecc133893ea92a842ee685c734246086_file[],2,FALSE),"")</f>
        <v/>
      </c>
      <c r="H336" s="2" t="str">
        <f>IFERROR(VLOOKUP($A336,observations_series_id_PCU22122212_api_key_ecc133893ea92a842ee685c734246086_file[],3,FALSE),"")</f>
        <v/>
      </c>
      <c r="I336">
        <f>IFERROR(VLOOKUP($A336,observations_series_id_PCU3241913241910_api_key_ecc133893ea92a842ee685c734246086[],2,FALSE),"")</f>
        <v>113.9</v>
      </c>
      <c r="J336" s="2">
        <f>IFERROR(VLOOKUP($A336,observations_series_id_PCU3241913241910_api_key_ecc133893ea92a842ee685c734246086[],3,FALSE),"")</f>
        <v>0.54872695346795441</v>
      </c>
      <c r="K336">
        <f>IFERROR(VLOOKUP($A336,observations_series_id_EXJPUS_api_key_ecc133893ea92a842ee685c734246086_file_type[],2,FALSE),"")</f>
        <v>204.0737</v>
      </c>
      <c r="L336" s="2">
        <f>IFERROR(VLOOKUP($A336,observations_series_id_EXJPUS_api_key_ecc133893ea92a842ee685c734246086_file_type[],3,FALSE),"")</f>
        <v>-0.75436619221389134</v>
      </c>
      <c r="M336" t="str">
        <f>IFERROR(AVERAGEIFS(timeseries_access_key_fqeas14oitk235763mntlb1c0brnk9w3fenzqbk313q5kvxyf52kukw1pa[Value.LME-ZNC],timeseries_access_key_fqeas14oitk235763mntlb1c0brnk9w3fenzqbk313q5kvxyf52kukw1pa[Month],MONTH(Data!$A336),timeseries_access_key_fqeas14oitk235763mntlb1c0brnk9w3fenzqbk313q5kvxyf52kukw1pa[Year],YEAR(Data!$A336)),"")</f>
        <v/>
      </c>
      <c r="N336" s="2" t="str">
        <f>IFERROR(AVERAGEIFS(timeseries_access_key_fqeas14oitk235763mntlb1c0brnk9w3fenzqbk313q5kvxyf52kukw1pa[Column1],timeseries_access_key_fqeas14oitk235763mntlb1c0brnk9w3fenzqbk313q5kvxyf52kukw1pa[Month],MONTH(Data!$A336),timeseries_access_key_fqeas14oitk235763mntlb1c0brnk9w3fenzqbk313q5kvxyf52kukw1pa[Year],YEAR(Data!$A336)),"")</f>
        <v/>
      </c>
      <c r="O336" s="8" t="str">
        <f>IFERROR(VLOOKUP($A336,Text_1_2[[Text.1.1.3]:[Text.1.3]],2,FALSE),"")</f>
        <v/>
      </c>
      <c r="P336" s="2"/>
    </row>
    <row r="337" spans="1:16" x14ac:dyDescent="0.25">
      <c r="A337" s="1">
        <v>31382</v>
      </c>
      <c r="B337" t="str">
        <f>HLOOKUP(Dashboard!$I$27,results,ROW(A337),FALSE)</f>
        <v/>
      </c>
      <c r="C337">
        <f>IFERROR(VLOOKUP(A337,observations_series_id_PCU22112222112243_api_key_ecc133893ea92a842ee685c73424608[],2,FALSE),"")</f>
        <v>95</v>
      </c>
      <c r="D337" s="2">
        <f>IFERROR(VLOOKUP(A337,observations_series_id_PCU22112222112243_api_key_ecc133893ea92a842ee685c73424608[],3,FALSE),"")</f>
        <v>0.81684210526315792</v>
      </c>
      <c r="E337" t="str">
        <f>IFERROR(VLOOKUP($A337,observations_series_id_WPU0613020T_api_key_ecc133893ea92a842ee685c734246086_file[],2,FALSE),"")</f>
        <v/>
      </c>
      <c r="F337" s="2" t="str">
        <f>IFERROR(VLOOKUP($A337,observations_series_id_WPU0613020T_api_key_ecc133893ea92a842ee685c734246086_file[],3,FALSE),"")</f>
        <v/>
      </c>
      <c r="G337" t="str">
        <f>IFERROR(VLOOKUP($A337,observations_series_id_PCU22122212_api_key_ecc133893ea92a842ee685c734246086_file[],2,FALSE),"")</f>
        <v/>
      </c>
      <c r="H337" s="2" t="str">
        <f>IFERROR(VLOOKUP($A337,observations_series_id_PCU22122212_api_key_ecc133893ea92a842ee685c734246086_file[],3,FALSE),"")</f>
        <v/>
      </c>
      <c r="I337">
        <f>IFERROR(VLOOKUP($A337,observations_series_id_PCU3241913241910_api_key_ecc133893ea92a842ee685c734246086[],2,FALSE),"")</f>
        <v>113.9</v>
      </c>
      <c r="J337" s="2">
        <f>IFERROR(VLOOKUP($A337,observations_series_id_PCU3241913241910_api_key_ecc133893ea92a842ee685c734246086[],3,FALSE),"")</f>
        <v>0.54872695346795441</v>
      </c>
      <c r="K337">
        <f>IFERROR(VLOOKUP($A337,observations_series_id_EXJPUS_api_key_ecc133893ea92a842ee685c734246086_file_type[],2,FALSE),"")</f>
        <v>202.78809999999999</v>
      </c>
      <c r="L337" s="2">
        <f>IFERROR(VLOOKUP($A337,observations_series_id_EXJPUS_api_key_ecc133893ea92a842ee685c734246086_file_type[],3,FALSE),"")</f>
        <v>-0.76548821158638014</v>
      </c>
      <c r="M337" t="str">
        <f>IFERROR(AVERAGEIFS(timeseries_access_key_fqeas14oitk235763mntlb1c0brnk9w3fenzqbk313q5kvxyf52kukw1pa[Value.LME-ZNC],timeseries_access_key_fqeas14oitk235763mntlb1c0brnk9w3fenzqbk313q5kvxyf52kukw1pa[Month],MONTH(Data!$A337),timeseries_access_key_fqeas14oitk235763mntlb1c0brnk9w3fenzqbk313q5kvxyf52kukw1pa[Year],YEAR(Data!$A337)),"")</f>
        <v/>
      </c>
      <c r="N337" s="2" t="str">
        <f>IFERROR(AVERAGEIFS(timeseries_access_key_fqeas14oitk235763mntlb1c0brnk9w3fenzqbk313q5kvxyf52kukw1pa[Column1],timeseries_access_key_fqeas14oitk235763mntlb1c0brnk9w3fenzqbk313q5kvxyf52kukw1pa[Month],MONTH(Data!$A337),timeseries_access_key_fqeas14oitk235763mntlb1c0brnk9w3fenzqbk313q5kvxyf52kukw1pa[Year],YEAR(Data!$A337)),"")</f>
        <v/>
      </c>
      <c r="O337" s="8" t="str">
        <f>IFERROR(VLOOKUP($A337,Text_1_2[[Text.1.1.3]:[Text.1.3]],2,FALSE),"")</f>
        <v/>
      </c>
      <c r="P337" s="2"/>
    </row>
    <row r="338" spans="1:16" x14ac:dyDescent="0.25">
      <c r="A338" s="1">
        <v>31413</v>
      </c>
      <c r="B338" t="str">
        <f>HLOOKUP(Dashboard!$I$27,results,ROW(A338),FALSE)</f>
        <v/>
      </c>
      <c r="C338">
        <f>IFERROR(VLOOKUP(A338,observations_series_id_PCU22112222112243_api_key_ecc133893ea92a842ee685c73424608[],2,FALSE),"")</f>
        <v>96</v>
      </c>
      <c r="D338" s="2">
        <f>IFERROR(VLOOKUP(A338,observations_series_id_PCU22112222112243_api_key_ecc133893ea92a842ee685c73424608[],3,FALSE),"")</f>
        <v>0.81874999999999998</v>
      </c>
      <c r="E338" t="str">
        <f>IFERROR(VLOOKUP($A338,observations_series_id_WPU0613020T_api_key_ecc133893ea92a842ee685c734246086_file[],2,FALSE),"")</f>
        <v/>
      </c>
      <c r="F338" s="2" t="str">
        <f>IFERROR(VLOOKUP($A338,observations_series_id_WPU0613020T_api_key_ecc133893ea92a842ee685c734246086_file[],3,FALSE),"")</f>
        <v/>
      </c>
      <c r="G338" t="str">
        <f>IFERROR(VLOOKUP($A338,observations_series_id_PCU22122212_api_key_ecc133893ea92a842ee685c734246086_file[],2,FALSE),"")</f>
        <v/>
      </c>
      <c r="H338" s="2" t="str">
        <f>IFERROR(VLOOKUP($A338,observations_series_id_PCU22122212_api_key_ecc133893ea92a842ee685c734246086_file[],3,FALSE),"")</f>
        <v/>
      </c>
      <c r="I338">
        <f>IFERROR(VLOOKUP($A338,observations_series_id_PCU3241913241910_api_key_ecc133893ea92a842ee685c734246086[],2,FALSE),"")</f>
        <v>114</v>
      </c>
      <c r="J338" s="2">
        <f>IFERROR(VLOOKUP($A338,observations_series_id_PCU3241913241910_api_key_ecc133893ea92a842ee685c734246086[],3,FALSE),"")</f>
        <v>0.54912280701754379</v>
      </c>
      <c r="K338">
        <f>IFERROR(VLOOKUP($A338,observations_series_id_EXJPUS_api_key_ecc133893ea92a842ee685c734246086_file_type[],2,FALSE),"")</f>
        <v>199.8905</v>
      </c>
      <c r="L338" s="2">
        <f>IFERROR(VLOOKUP($A338,observations_series_id_EXJPUS_api_key_ecc133893ea92a842ee685c734246086_file_type[],3,FALSE),"")</f>
        <v>-0.79108061663760898</v>
      </c>
      <c r="M338" t="str">
        <f>IFERROR(AVERAGEIFS(timeseries_access_key_fqeas14oitk235763mntlb1c0brnk9w3fenzqbk313q5kvxyf52kukw1pa[Value.LME-ZNC],timeseries_access_key_fqeas14oitk235763mntlb1c0brnk9w3fenzqbk313q5kvxyf52kukw1pa[Month],MONTH(Data!$A338),timeseries_access_key_fqeas14oitk235763mntlb1c0brnk9w3fenzqbk313q5kvxyf52kukw1pa[Year],YEAR(Data!$A338)),"")</f>
        <v/>
      </c>
      <c r="N338" s="2" t="str">
        <f>IFERROR(AVERAGEIFS(timeseries_access_key_fqeas14oitk235763mntlb1c0brnk9w3fenzqbk313q5kvxyf52kukw1pa[Column1],timeseries_access_key_fqeas14oitk235763mntlb1c0brnk9w3fenzqbk313q5kvxyf52kukw1pa[Month],MONTH(Data!$A338),timeseries_access_key_fqeas14oitk235763mntlb1c0brnk9w3fenzqbk313q5kvxyf52kukw1pa[Year],YEAR(Data!$A338)),"")</f>
        <v/>
      </c>
      <c r="O338" s="8" t="str">
        <f>IFERROR(VLOOKUP($A338,Text_1_2[[Text.1.1.3]:[Text.1.3]],2,FALSE),"")</f>
        <v/>
      </c>
      <c r="P338" s="2"/>
    </row>
    <row r="339" spans="1:16" x14ac:dyDescent="0.25">
      <c r="A339" s="1">
        <v>31444</v>
      </c>
      <c r="B339" t="str">
        <f>HLOOKUP(Dashboard!$I$27,results,ROW(A339),FALSE)</f>
        <v/>
      </c>
      <c r="C339">
        <f>IFERROR(VLOOKUP(A339,observations_series_id_PCU22112222112243_api_key_ecc133893ea92a842ee685c73424608[],2,FALSE),"")</f>
        <v>96.7</v>
      </c>
      <c r="D339" s="2">
        <f>IFERROR(VLOOKUP(A339,observations_series_id_PCU22112222112243_api_key_ecc133893ea92a842ee685c73424608[],3,FALSE),"")</f>
        <v>0.8200620475698035</v>
      </c>
      <c r="E339" t="str">
        <f>IFERROR(VLOOKUP($A339,observations_series_id_WPU0613020T_api_key_ecc133893ea92a842ee685c734246086_file[],2,FALSE),"")</f>
        <v/>
      </c>
      <c r="F339" s="2" t="str">
        <f>IFERROR(VLOOKUP($A339,observations_series_id_WPU0613020T_api_key_ecc133893ea92a842ee685c734246086_file[],3,FALSE),"")</f>
        <v/>
      </c>
      <c r="G339" t="str">
        <f>IFERROR(VLOOKUP($A339,observations_series_id_PCU22122212_api_key_ecc133893ea92a842ee685c734246086_file[],2,FALSE),"")</f>
        <v/>
      </c>
      <c r="H339" s="2" t="str">
        <f>IFERROR(VLOOKUP($A339,observations_series_id_PCU22122212_api_key_ecc133893ea92a842ee685c734246086_file[],3,FALSE),"")</f>
        <v/>
      </c>
      <c r="I339">
        <f>IFERROR(VLOOKUP($A339,observations_series_id_PCU3241913241910_api_key_ecc133893ea92a842ee685c734246086[],2,FALSE),"")</f>
        <v>113.9</v>
      </c>
      <c r="J339" s="2">
        <f>IFERROR(VLOOKUP($A339,observations_series_id_PCU3241913241910_api_key_ecc133893ea92a842ee685c734246086[],3,FALSE),"")</f>
        <v>0.54872695346795441</v>
      </c>
      <c r="K339">
        <f>IFERROR(VLOOKUP($A339,observations_series_id_EXJPUS_api_key_ecc133893ea92a842ee685c734246086_file_type[],2,FALSE),"")</f>
        <v>184.85159999999999</v>
      </c>
      <c r="L339" s="2">
        <f>IFERROR(VLOOKUP($A339,observations_series_id_EXJPUS_api_key_ecc133893ea92a842ee685c734246086_file_type[],3,FALSE),"")</f>
        <v>-0.93679686840687348</v>
      </c>
      <c r="M339" t="str">
        <f>IFERROR(AVERAGEIFS(timeseries_access_key_fqeas14oitk235763mntlb1c0brnk9w3fenzqbk313q5kvxyf52kukw1pa[Value.LME-ZNC],timeseries_access_key_fqeas14oitk235763mntlb1c0brnk9w3fenzqbk313q5kvxyf52kukw1pa[Month],MONTH(Data!$A339),timeseries_access_key_fqeas14oitk235763mntlb1c0brnk9w3fenzqbk313q5kvxyf52kukw1pa[Year],YEAR(Data!$A339)),"")</f>
        <v/>
      </c>
      <c r="N339" s="2" t="str">
        <f>IFERROR(AVERAGEIFS(timeseries_access_key_fqeas14oitk235763mntlb1c0brnk9w3fenzqbk313q5kvxyf52kukw1pa[Column1],timeseries_access_key_fqeas14oitk235763mntlb1c0brnk9w3fenzqbk313q5kvxyf52kukw1pa[Month],MONTH(Data!$A339),timeseries_access_key_fqeas14oitk235763mntlb1c0brnk9w3fenzqbk313q5kvxyf52kukw1pa[Year],YEAR(Data!$A339)),"")</f>
        <v/>
      </c>
      <c r="O339" s="8" t="str">
        <f>IFERROR(VLOOKUP($A339,Text_1_2[[Text.1.1.3]:[Text.1.3]],2,FALSE),"")</f>
        <v/>
      </c>
      <c r="P339" s="2"/>
    </row>
    <row r="340" spans="1:16" x14ac:dyDescent="0.25">
      <c r="A340" s="1">
        <v>31472</v>
      </c>
      <c r="B340" t="str">
        <f>HLOOKUP(Dashboard!$I$27,results,ROW(A340),FALSE)</f>
        <v/>
      </c>
      <c r="C340">
        <f>IFERROR(VLOOKUP(A340,observations_series_id_PCU22112222112243_api_key_ecc133893ea92a842ee685c73424608[],2,FALSE),"")</f>
        <v>96.2</v>
      </c>
      <c r="D340" s="2">
        <f>IFERROR(VLOOKUP(A340,observations_series_id_PCU22112222112243_api_key_ecc133893ea92a842ee685c73424608[],3,FALSE),"")</f>
        <v>0.81912681912681917</v>
      </c>
      <c r="E340" t="str">
        <f>IFERROR(VLOOKUP($A340,observations_series_id_WPU0613020T_api_key_ecc133893ea92a842ee685c734246086_file[],2,FALSE),"")</f>
        <v/>
      </c>
      <c r="F340" s="2" t="str">
        <f>IFERROR(VLOOKUP($A340,observations_series_id_WPU0613020T_api_key_ecc133893ea92a842ee685c734246086_file[],3,FALSE),"")</f>
        <v/>
      </c>
      <c r="G340" t="str">
        <f>IFERROR(VLOOKUP($A340,observations_series_id_PCU22122212_api_key_ecc133893ea92a842ee685c734246086_file[],2,FALSE),"")</f>
        <v/>
      </c>
      <c r="H340" s="2" t="str">
        <f>IFERROR(VLOOKUP($A340,observations_series_id_PCU22122212_api_key_ecc133893ea92a842ee685c734246086_file[],3,FALSE),"")</f>
        <v/>
      </c>
      <c r="I340">
        <f>IFERROR(VLOOKUP($A340,observations_series_id_PCU3241913241910_api_key_ecc133893ea92a842ee685c734246086[],2,FALSE),"")</f>
        <v>114</v>
      </c>
      <c r="J340" s="2">
        <f>IFERROR(VLOOKUP($A340,observations_series_id_PCU3241913241910_api_key_ecc133893ea92a842ee685c734246086[],3,FALSE),"")</f>
        <v>0.54912280701754379</v>
      </c>
      <c r="K340">
        <f>IFERROR(VLOOKUP($A340,observations_series_id_EXJPUS_api_key_ecc133893ea92a842ee685c734246086_file_type[],2,FALSE),"")</f>
        <v>178.69380000000001</v>
      </c>
      <c r="L340" s="2">
        <f>IFERROR(VLOOKUP($A340,observations_series_id_EXJPUS_api_key_ecc133893ea92a842ee685c734246086_file_type[],3,FALSE),"")</f>
        <v>-1.0035390147839487</v>
      </c>
      <c r="M340" t="str">
        <f>IFERROR(AVERAGEIFS(timeseries_access_key_fqeas14oitk235763mntlb1c0brnk9w3fenzqbk313q5kvxyf52kukw1pa[Value.LME-ZNC],timeseries_access_key_fqeas14oitk235763mntlb1c0brnk9w3fenzqbk313q5kvxyf52kukw1pa[Month],MONTH(Data!$A340),timeseries_access_key_fqeas14oitk235763mntlb1c0brnk9w3fenzqbk313q5kvxyf52kukw1pa[Year],YEAR(Data!$A340)),"")</f>
        <v/>
      </c>
      <c r="N340" s="2" t="str">
        <f>IFERROR(AVERAGEIFS(timeseries_access_key_fqeas14oitk235763mntlb1c0brnk9w3fenzqbk313q5kvxyf52kukw1pa[Column1],timeseries_access_key_fqeas14oitk235763mntlb1c0brnk9w3fenzqbk313q5kvxyf52kukw1pa[Month],MONTH(Data!$A340),timeseries_access_key_fqeas14oitk235763mntlb1c0brnk9w3fenzqbk313q5kvxyf52kukw1pa[Year],YEAR(Data!$A340)),"")</f>
        <v/>
      </c>
      <c r="O340" s="8" t="str">
        <f>IFERROR(VLOOKUP($A340,Text_1_2[[Text.1.1.3]:[Text.1.3]],2,FALSE),"")</f>
        <v/>
      </c>
      <c r="P340" s="2"/>
    </row>
    <row r="341" spans="1:16" x14ac:dyDescent="0.25">
      <c r="A341" s="1">
        <v>31503</v>
      </c>
      <c r="B341" t="str">
        <f>HLOOKUP(Dashboard!$I$27,results,ROW(A341),FALSE)</f>
        <v/>
      </c>
      <c r="C341">
        <f>IFERROR(VLOOKUP(A341,observations_series_id_PCU22112222112243_api_key_ecc133893ea92a842ee685c73424608[],2,FALSE),"")</f>
        <v>95.6</v>
      </c>
      <c r="D341" s="2">
        <f>IFERROR(VLOOKUP(A341,observations_series_id_PCU22112222112243_api_key_ecc133893ea92a842ee685c73424608[],3,FALSE),"")</f>
        <v>0.81799163179916312</v>
      </c>
      <c r="E341" t="str">
        <f>IFERROR(VLOOKUP($A341,observations_series_id_WPU0613020T_api_key_ecc133893ea92a842ee685c734246086_file[],2,FALSE),"")</f>
        <v/>
      </c>
      <c r="F341" s="2" t="str">
        <f>IFERROR(VLOOKUP($A341,observations_series_id_WPU0613020T_api_key_ecc133893ea92a842ee685c734246086_file[],3,FALSE),"")</f>
        <v/>
      </c>
      <c r="G341" t="str">
        <f>IFERROR(VLOOKUP($A341,observations_series_id_PCU22122212_api_key_ecc133893ea92a842ee685c734246086_file[],2,FALSE),"")</f>
        <v/>
      </c>
      <c r="H341" s="2" t="str">
        <f>IFERROR(VLOOKUP($A341,observations_series_id_PCU22122212_api_key_ecc133893ea92a842ee685c734246086_file[],3,FALSE),"")</f>
        <v/>
      </c>
      <c r="I341">
        <f>IFERROR(VLOOKUP($A341,observations_series_id_PCU3241913241910_api_key_ecc133893ea92a842ee685c734246086[],2,FALSE),"")</f>
        <v>113.5</v>
      </c>
      <c r="J341" s="2">
        <f>IFERROR(VLOOKUP($A341,observations_series_id_PCU3241913241910_api_key_ecc133893ea92a842ee685c734246086[],3,FALSE),"")</f>
        <v>0.54713656387665199</v>
      </c>
      <c r="K341">
        <f>IFERROR(VLOOKUP($A341,observations_series_id_EXJPUS_api_key_ecc133893ea92a842ee685c734246086_file_type[],2,FALSE),"")</f>
        <v>175.09180000000001</v>
      </c>
      <c r="L341" s="2">
        <f>IFERROR(VLOOKUP($A341,observations_series_id_EXJPUS_api_key_ecc133893ea92a842ee685c734246086_file_type[],3,FALSE),"")</f>
        <v>-1.0447559508783391</v>
      </c>
      <c r="M341" t="str">
        <f>IFERROR(AVERAGEIFS(timeseries_access_key_fqeas14oitk235763mntlb1c0brnk9w3fenzqbk313q5kvxyf52kukw1pa[Value.LME-ZNC],timeseries_access_key_fqeas14oitk235763mntlb1c0brnk9w3fenzqbk313q5kvxyf52kukw1pa[Month],MONTH(Data!$A341),timeseries_access_key_fqeas14oitk235763mntlb1c0brnk9w3fenzqbk313q5kvxyf52kukw1pa[Year],YEAR(Data!$A341)),"")</f>
        <v/>
      </c>
      <c r="N341" s="2" t="str">
        <f>IFERROR(AVERAGEIFS(timeseries_access_key_fqeas14oitk235763mntlb1c0brnk9w3fenzqbk313q5kvxyf52kukw1pa[Column1],timeseries_access_key_fqeas14oitk235763mntlb1c0brnk9w3fenzqbk313q5kvxyf52kukw1pa[Month],MONTH(Data!$A341),timeseries_access_key_fqeas14oitk235763mntlb1c0brnk9w3fenzqbk313q5kvxyf52kukw1pa[Year],YEAR(Data!$A341)),"")</f>
        <v/>
      </c>
      <c r="O341" s="8" t="str">
        <f>IFERROR(VLOOKUP($A341,Text_1_2[[Text.1.1.3]:[Text.1.3]],2,FALSE),"")</f>
        <v/>
      </c>
      <c r="P341" s="2"/>
    </row>
    <row r="342" spans="1:16" x14ac:dyDescent="0.25">
      <c r="A342" s="1">
        <v>31533</v>
      </c>
      <c r="B342" t="str">
        <f>HLOOKUP(Dashboard!$I$27,results,ROW(A342),FALSE)</f>
        <v/>
      </c>
      <c r="C342">
        <f>IFERROR(VLOOKUP(A342,observations_series_id_PCU22112222112243_api_key_ecc133893ea92a842ee685c73424608[],2,FALSE),"")</f>
        <v>95.9</v>
      </c>
      <c r="D342" s="2">
        <f>IFERROR(VLOOKUP(A342,observations_series_id_PCU22112222112243_api_key_ecc133893ea92a842ee685c73424608[],3,FALSE),"")</f>
        <v>0.81856100104275287</v>
      </c>
      <c r="E342" t="str">
        <f>IFERROR(VLOOKUP($A342,observations_series_id_WPU0613020T_api_key_ecc133893ea92a842ee685c734246086_file[],2,FALSE),"")</f>
        <v/>
      </c>
      <c r="F342" s="2" t="str">
        <f>IFERROR(VLOOKUP($A342,observations_series_id_WPU0613020T_api_key_ecc133893ea92a842ee685c734246086_file[],3,FALSE),"")</f>
        <v/>
      </c>
      <c r="G342" t="str">
        <f>IFERROR(VLOOKUP($A342,observations_series_id_PCU22122212_api_key_ecc133893ea92a842ee685c734246086_file[],2,FALSE),"")</f>
        <v/>
      </c>
      <c r="H342" s="2" t="str">
        <f>IFERROR(VLOOKUP($A342,observations_series_id_PCU22122212_api_key_ecc133893ea92a842ee685c734246086_file[],3,FALSE),"")</f>
        <v/>
      </c>
      <c r="I342">
        <f>IFERROR(VLOOKUP($A342,observations_series_id_PCU3241913241910_api_key_ecc133893ea92a842ee685c734246086[],2,FALSE),"")</f>
        <v>113</v>
      </c>
      <c r="J342" s="2">
        <f>IFERROR(VLOOKUP($A342,observations_series_id_PCU3241913241910_api_key_ecc133893ea92a842ee685c734246086[],3,FALSE),"")</f>
        <v>0.54513274336283191</v>
      </c>
      <c r="K342">
        <f>IFERROR(VLOOKUP($A342,observations_series_id_EXJPUS_api_key_ecc133893ea92a842ee685c734246086_file_type[],2,FALSE),"")</f>
        <v>167.03139999999999</v>
      </c>
      <c r="L342" s="2">
        <f>IFERROR(VLOOKUP($A342,observations_series_id_EXJPUS_api_key_ecc133893ea92a842ee685c734246086_file_type[],3,FALSE),"")</f>
        <v>-1.1434293192776925</v>
      </c>
      <c r="M342" t="str">
        <f>IFERROR(AVERAGEIFS(timeseries_access_key_fqeas14oitk235763mntlb1c0brnk9w3fenzqbk313q5kvxyf52kukw1pa[Value.LME-ZNC],timeseries_access_key_fqeas14oitk235763mntlb1c0brnk9w3fenzqbk313q5kvxyf52kukw1pa[Month],MONTH(Data!$A342),timeseries_access_key_fqeas14oitk235763mntlb1c0brnk9w3fenzqbk313q5kvxyf52kukw1pa[Year],YEAR(Data!$A342)),"")</f>
        <v/>
      </c>
      <c r="N342" s="2" t="str">
        <f>IFERROR(AVERAGEIFS(timeseries_access_key_fqeas14oitk235763mntlb1c0brnk9w3fenzqbk313q5kvxyf52kukw1pa[Column1],timeseries_access_key_fqeas14oitk235763mntlb1c0brnk9w3fenzqbk313q5kvxyf52kukw1pa[Month],MONTH(Data!$A342),timeseries_access_key_fqeas14oitk235763mntlb1c0brnk9w3fenzqbk313q5kvxyf52kukw1pa[Year],YEAR(Data!$A342)),"")</f>
        <v/>
      </c>
      <c r="O342" s="8" t="str">
        <f>IFERROR(VLOOKUP($A342,Text_1_2[[Text.1.1.3]:[Text.1.3]],2,FALSE),"")</f>
        <v/>
      </c>
      <c r="P342" s="2"/>
    </row>
    <row r="343" spans="1:16" x14ac:dyDescent="0.25">
      <c r="A343" s="1">
        <v>31564</v>
      </c>
      <c r="B343" t="str">
        <f>HLOOKUP(Dashboard!$I$27,results,ROW(A343),FALSE)</f>
        <v/>
      </c>
      <c r="C343">
        <f>IFERROR(VLOOKUP(A343,observations_series_id_PCU22112222112243_api_key_ecc133893ea92a842ee685c73424608[],2,FALSE),"")</f>
        <v>96.9</v>
      </c>
      <c r="D343" s="2">
        <f>IFERROR(VLOOKUP(A343,observations_series_id_PCU22112222112243_api_key_ecc133893ea92a842ee685c73424608[],3,FALSE),"")</f>
        <v>0.82043343653250778</v>
      </c>
      <c r="E343" t="str">
        <f>IFERROR(VLOOKUP($A343,observations_series_id_WPU0613020T_api_key_ecc133893ea92a842ee685c734246086_file[],2,FALSE),"")</f>
        <v/>
      </c>
      <c r="F343" s="2" t="str">
        <f>IFERROR(VLOOKUP($A343,observations_series_id_WPU0613020T_api_key_ecc133893ea92a842ee685c734246086_file[],3,FALSE),"")</f>
        <v/>
      </c>
      <c r="G343" t="str">
        <f>IFERROR(VLOOKUP($A343,observations_series_id_PCU22122212_api_key_ecc133893ea92a842ee685c734246086_file[],2,FALSE),"")</f>
        <v/>
      </c>
      <c r="H343" s="2" t="str">
        <f>IFERROR(VLOOKUP($A343,observations_series_id_PCU22122212_api_key_ecc133893ea92a842ee685c734246086_file[],3,FALSE),"")</f>
        <v/>
      </c>
      <c r="I343">
        <f>IFERROR(VLOOKUP($A343,observations_series_id_PCU3241913241910_api_key_ecc133893ea92a842ee685c734246086[],2,FALSE),"")</f>
        <v>112.8</v>
      </c>
      <c r="J343" s="2">
        <f>IFERROR(VLOOKUP($A343,observations_series_id_PCU3241913241910_api_key_ecc133893ea92a842ee685c734246086[],3,FALSE),"")</f>
        <v>0.54432624113475181</v>
      </c>
      <c r="K343">
        <f>IFERROR(VLOOKUP($A343,observations_series_id_EXJPUS_api_key_ecc133893ea92a842ee685c734246086_file_type[],2,FALSE),"")</f>
        <v>167.5419</v>
      </c>
      <c r="L343" s="2">
        <f>IFERROR(VLOOKUP($A343,observations_series_id_EXJPUS_api_key_ecc133893ea92a842ee685c734246086_file_type[],3,FALSE),"")</f>
        <v>-1.1368982923077748</v>
      </c>
      <c r="M343" t="str">
        <f>IFERROR(AVERAGEIFS(timeseries_access_key_fqeas14oitk235763mntlb1c0brnk9w3fenzqbk313q5kvxyf52kukw1pa[Value.LME-ZNC],timeseries_access_key_fqeas14oitk235763mntlb1c0brnk9w3fenzqbk313q5kvxyf52kukw1pa[Month],MONTH(Data!$A343),timeseries_access_key_fqeas14oitk235763mntlb1c0brnk9w3fenzqbk313q5kvxyf52kukw1pa[Year],YEAR(Data!$A343)),"")</f>
        <v/>
      </c>
      <c r="N343" s="2" t="str">
        <f>IFERROR(AVERAGEIFS(timeseries_access_key_fqeas14oitk235763mntlb1c0brnk9w3fenzqbk313q5kvxyf52kukw1pa[Column1],timeseries_access_key_fqeas14oitk235763mntlb1c0brnk9w3fenzqbk313q5kvxyf52kukw1pa[Month],MONTH(Data!$A343),timeseries_access_key_fqeas14oitk235763mntlb1c0brnk9w3fenzqbk313q5kvxyf52kukw1pa[Year],YEAR(Data!$A343)),"")</f>
        <v/>
      </c>
      <c r="O343" s="8" t="str">
        <f>IFERROR(VLOOKUP($A343,Text_1_2[[Text.1.1.3]:[Text.1.3]],2,FALSE),"")</f>
        <v/>
      </c>
      <c r="P343" s="2"/>
    </row>
    <row r="344" spans="1:16" x14ac:dyDescent="0.25">
      <c r="A344" s="1">
        <v>31594</v>
      </c>
      <c r="B344" t="str">
        <f>HLOOKUP(Dashboard!$I$27,results,ROW(A344),FALSE)</f>
        <v/>
      </c>
      <c r="C344">
        <f>IFERROR(VLOOKUP(A344,observations_series_id_PCU22112222112243_api_key_ecc133893ea92a842ee685c73424608[],2,FALSE),"")</f>
        <v>97.7</v>
      </c>
      <c r="D344" s="2">
        <f>IFERROR(VLOOKUP(A344,observations_series_id_PCU22112222112243_api_key_ecc133893ea92a842ee685c73424608[],3,FALSE),"")</f>
        <v>0.82190378710337775</v>
      </c>
      <c r="E344" t="str">
        <f>IFERROR(VLOOKUP($A344,observations_series_id_WPU0613020T_api_key_ecc133893ea92a842ee685c734246086_file[],2,FALSE),"")</f>
        <v/>
      </c>
      <c r="F344" s="2" t="str">
        <f>IFERROR(VLOOKUP($A344,observations_series_id_WPU0613020T_api_key_ecc133893ea92a842ee685c734246086_file[],3,FALSE),"")</f>
        <v/>
      </c>
      <c r="G344" t="str">
        <f>IFERROR(VLOOKUP($A344,observations_series_id_PCU22122212_api_key_ecc133893ea92a842ee685c734246086_file[],2,FALSE),"")</f>
        <v/>
      </c>
      <c r="H344" s="2" t="str">
        <f>IFERROR(VLOOKUP($A344,observations_series_id_PCU22122212_api_key_ecc133893ea92a842ee685c734246086_file[],3,FALSE),"")</f>
        <v/>
      </c>
      <c r="I344">
        <f>IFERROR(VLOOKUP($A344,observations_series_id_PCU3241913241910_api_key_ecc133893ea92a842ee685c734246086[],2,FALSE),"")</f>
        <v>112.5</v>
      </c>
      <c r="J344" s="2">
        <f>IFERROR(VLOOKUP($A344,observations_series_id_PCU3241913241910_api_key_ecc133893ea92a842ee685c734246086[],3,FALSE),"")</f>
        <v>0.5431111111111111</v>
      </c>
      <c r="K344">
        <f>IFERROR(VLOOKUP($A344,observations_series_id_EXJPUS_api_key_ecc133893ea92a842ee685c734246086_file_type[],2,FALSE),"")</f>
        <v>158.60589999999999</v>
      </c>
      <c r="L344" s="2">
        <f>IFERROR(VLOOKUP($A344,observations_series_id_EXJPUS_api_key_ecc133893ea92a842ee685c734246086_file_type[],3,FALSE),"")</f>
        <v>-1.2572930767392636</v>
      </c>
      <c r="M344" t="str">
        <f>IFERROR(AVERAGEIFS(timeseries_access_key_fqeas14oitk235763mntlb1c0brnk9w3fenzqbk313q5kvxyf52kukw1pa[Value.LME-ZNC],timeseries_access_key_fqeas14oitk235763mntlb1c0brnk9w3fenzqbk313q5kvxyf52kukw1pa[Month],MONTH(Data!$A344),timeseries_access_key_fqeas14oitk235763mntlb1c0brnk9w3fenzqbk313q5kvxyf52kukw1pa[Year],YEAR(Data!$A344)),"")</f>
        <v/>
      </c>
      <c r="N344" s="2" t="str">
        <f>IFERROR(AVERAGEIFS(timeseries_access_key_fqeas14oitk235763mntlb1c0brnk9w3fenzqbk313q5kvxyf52kukw1pa[Column1],timeseries_access_key_fqeas14oitk235763mntlb1c0brnk9w3fenzqbk313q5kvxyf52kukw1pa[Month],MONTH(Data!$A344),timeseries_access_key_fqeas14oitk235763mntlb1c0brnk9w3fenzqbk313q5kvxyf52kukw1pa[Year],YEAR(Data!$A344)),"")</f>
        <v/>
      </c>
      <c r="O344" s="8" t="str">
        <f>IFERROR(VLOOKUP($A344,Text_1_2[[Text.1.1.3]:[Text.1.3]],2,FALSE),"")</f>
        <v/>
      </c>
      <c r="P344" s="2"/>
    </row>
    <row r="345" spans="1:16" x14ac:dyDescent="0.25">
      <c r="A345" s="1">
        <v>31625</v>
      </c>
      <c r="B345" t="str">
        <f>HLOOKUP(Dashboard!$I$27,results,ROW(A345),FALSE)</f>
        <v/>
      </c>
      <c r="C345">
        <f>IFERROR(VLOOKUP(A345,observations_series_id_PCU22112222112243_api_key_ecc133893ea92a842ee685c73424608[],2,FALSE),"")</f>
        <v>97.8</v>
      </c>
      <c r="D345" s="2">
        <f>IFERROR(VLOOKUP(A345,observations_series_id_PCU22112222112243_api_key_ecc133893ea92a842ee685c73424608[],3,FALSE),"")</f>
        <v>0.82208588957055218</v>
      </c>
      <c r="E345" t="str">
        <f>IFERROR(VLOOKUP($A345,observations_series_id_WPU0613020T_api_key_ecc133893ea92a842ee685c734246086_file[],2,FALSE),"")</f>
        <v/>
      </c>
      <c r="F345" s="2" t="str">
        <f>IFERROR(VLOOKUP($A345,observations_series_id_WPU0613020T_api_key_ecc133893ea92a842ee685c734246086_file[],3,FALSE),"")</f>
        <v/>
      </c>
      <c r="G345" t="str">
        <f>IFERROR(VLOOKUP($A345,observations_series_id_PCU22122212_api_key_ecc133893ea92a842ee685c734246086_file[],2,FALSE),"")</f>
        <v/>
      </c>
      <c r="H345" s="2" t="str">
        <f>IFERROR(VLOOKUP($A345,observations_series_id_PCU22122212_api_key_ecc133893ea92a842ee685c734246086_file[],3,FALSE),"")</f>
        <v/>
      </c>
      <c r="I345">
        <f>IFERROR(VLOOKUP($A345,observations_series_id_PCU3241913241910_api_key_ecc133893ea92a842ee685c734246086[],2,FALSE),"")</f>
        <v>112.4</v>
      </c>
      <c r="J345" s="2">
        <f>IFERROR(VLOOKUP($A345,observations_series_id_PCU3241913241910_api_key_ecc133893ea92a842ee685c734246086[],3,FALSE),"")</f>
        <v>0.54270462633451966</v>
      </c>
      <c r="K345">
        <f>IFERROR(VLOOKUP($A345,observations_series_id_EXJPUS_api_key_ecc133893ea92a842ee685c734246086_file_type[],2,FALSE),"")</f>
        <v>154.1771</v>
      </c>
      <c r="L345" s="2">
        <f>IFERROR(VLOOKUP($A345,observations_series_id_EXJPUS_api_key_ecc133893ea92a842ee685c734246086_file_type[],3,FALSE),"")</f>
        <v>-1.3221347398543624</v>
      </c>
      <c r="M345" t="str">
        <f>IFERROR(AVERAGEIFS(timeseries_access_key_fqeas14oitk235763mntlb1c0brnk9w3fenzqbk313q5kvxyf52kukw1pa[Value.LME-ZNC],timeseries_access_key_fqeas14oitk235763mntlb1c0brnk9w3fenzqbk313q5kvxyf52kukw1pa[Month],MONTH(Data!$A345),timeseries_access_key_fqeas14oitk235763mntlb1c0brnk9w3fenzqbk313q5kvxyf52kukw1pa[Year],YEAR(Data!$A345)),"")</f>
        <v/>
      </c>
      <c r="N345" s="2" t="str">
        <f>IFERROR(AVERAGEIFS(timeseries_access_key_fqeas14oitk235763mntlb1c0brnk9w3fenzqbk313q5kvxyf52kukw1pa[Column1],timeseries_access_key_fqeas14oitk235763mntlb1c0brnk9w3fenzqbk313q5kvxyf52kukw1pa[Month],MONTH(Data!$A345),timeseries_access_key_fqeas14oitk235763mntlb1c0brnk9w3fenzqbk313q5kvxyf52kukw1pa[Year],YEAR(Data!$A345)),"")</f>
        <v/>
      </c>
      <c r="O345" s="8" t="str">
        <f>IFERROR(VLOOKUP($A345,Text_1_2[[Text.1.1.3]:[Text.1.3]],2,FALSE),"")</f>
        <v/>
      </c>
      <c r="P345" s="2"/>
    </row>
    <row r="346" spans="1:16" x14ac:dyDescent="0.25">
      <c r="A346" s="1">
        <v>31656</v>
      </c>
      <c r="B346" t="str">
        <f>HLOOKUP(Dashboard!$I$27,results,ROW(A346),FALSE)</f>
        <v/>
      </c>
      <c r="C346">
        <f>IFERROR(VLOOKUP(A346,observations_series_id_PCU22112222112243_api_key_ecc133893ea92a842ee685c73424608[],2,FALSE),"")</f>
        <v>97.8</v>
      </c>
      <c r="D346" s="2">
        <f>IFERROR(VLOOKUP(A346,observations_series_id_PCU22112222112243_api_key_ecc133893ea92a842ee685c73424608[],3,FALSE),"")</f>
        <v>0.82208588957055218</v>
      </c>
      <c r="E346" t="str">
        <f>IFERROR(VLOOKUP($A346,observations_series_id_WPU0613020T_api_key_ecc133893ea92a842ee685c734246086_file[],2,FALSE),"")</f>
        <v/>
      </c>
      <c r="F346" s="2" t="str">
        <f>IFERROR(VLOOKUP($A346,observations_series_id_WPU0613020T_api_key_ecc133893ea92a842ee685c734246086_file[],3,FALSE),"")</f>
        <v/>
      </c>
      <c r="G346" t="str">
        <f>IFERROR(VLOOKUP($A346,observations_series_id_PCU22122212_api_key_ecc133893ea92a842ee685c734246086_file[],2,FALSE),"")</f>
        <v/>
      </c>
      <c r="H346" s="2" t="str">
        <f>IFERROR(VLOOKUP($A346,observations_series_id_PCU22122212_api_key_ecc133893ea92a842ee685c734246086_file[],3,FALSE),"")</f>
        <v/>
      </c>
      <c r="I346">
        <f>IFERROR(VLOOKUP($A346,observations_series_id_PCU3241913241910_api_key_ecc133893ea92a842ee685c734246086[],2,FALSE),"")</f>
        <v>112.4</v>
      </c>
      <c r="J346" s="2">
        <f>IFERROR(VLOOKUP($A346,observations_series_id_PCU3241913241910_api_key_ecc133893ea92a842ee685c734246086[],3,FALSE),"")</f>
        <v>0.54270462633451966</v>
      </c>
      <c r="K346">
        <f>IFERROR(VLOOKUP($A346,observations_series_id_EXJPUS_api_key_ecc133893ea92a842ee685c734246086_file_type[],2,FALSE),"")</f>
        <v>154.73140000000001</v>
      </c>
      <c r="L346" s="2">
        <f>IFERROR(VLOOKUP($A346,observations_series_id_EXJPUS_api_key_ecc133893ea92a842ee685c734246086_file_type[],3,FALSE),"")</f>
        <v>-1.3138160709461686</v>
      </c>
      <c r="M346" t="str">
        <f>IFERROR(AVERAGEIFS(timeseries_access_key_fqeas14oitk235763mntlb1c0brnk9w3fenzqbk313q5kvxyf52kukw1pa[Value.LME-ZNC],timeseries_access_key_fqeas14oitk235763mntlb1c0brnk9w3fenzqbk313q5kvxyf52kukw1pa[Month],MONTH(Data!$A346),timeseries_access_key_fqeas14oitk235763mntlb1c0brnk9w3fenzqbk313q5kvxyf52kukw1pa[Year],YEAR(Data!$A346)),"")</f>
        <v/>
      </c>
      <c r="N346" s="2" t="str">
        <f>IFERROR(AVERAGEIFS(timeseries_access_key_fqeas14oitk235763mntlb1c0brnk9w3fenzqbk313q5kvxyf52kukw1pa[Column1],timeseries_access_key_fqeas14oitk235763mntlb1c0brnk9w3fenzqbk313q5kvxyf52kukw1pa[Month],MONTH(Data!$A346),timeseries_access_key_fqeas14oitk235763mntlb1c0brnk9w3fenzqbk313q5kvxyf52kukw1pa[Year],YEAR(Data!$A346)),"")</f>
        <v/>
      </c>
      <c r="O346" s="8" t="str">
        <f>IFERROR(VLOOKUP($A346,Text_1_2[[Text.1.1.3]:[Text.1.3]],2,FALSE),"")</f>
        <v/>
      </c>
      <c r="P346" s="2"/>
    </row>
    <row r="347" spans="1:16" x14ac:dyDescent="0.25">
      <c r="A347" s="1">
        <v>31686</v>
      </c>
      <c r="B347" t="str">
        <f>HLOOKUP(Dashboard!$I$27,results,ROW(A347),FALSE)</f>
        <v/>
      </c>
      <c r="C347">
        <f>IFERROR(VLOOKUP(A347,observations_series_id_PCU22112222112243_api_key_ecc133893ea92a842ee685c73424608[],2,FALSE),"")</f>
        <v>95.1</v>
      </c>
      <c r="D347" s="2">
        <f>IFERROR(VLOOKUP(A347,observations_series_id_PCU22112222112243_api_key_ecc133893ea92a842ee685c73424608[],3,FALSE),"")</f>
        <v>0.81703470031545744</v>
      </c>
      <c r="E347" t="str">
        <f>IFERROR(VLOOKUP($A347,observations_series_id_WPU0613020T_api_key_ecc133893ea92a842ee685c734246086_file[],2,FALSE),"")</f>
        <v/>
      </c>
      <c r="F347" s="2" t="str">
        <f>IFERROR(VLOOKUP($A347,observations_series_id_WPU0613020T_api_key_ecc133893ea92a842ee685c734246086_file[],3,FALSE),"")</f>
        <v/>
      </c>
      <c r="G347" t="str">
        <f>IFERROR(VLOOKUP($A347,observations_series_id_PCU22122212_api_key_ecc133893ea92a842ee685c734246086_file[],2,FALSE),"")</f>
        <v/>
      </c>
      <c r="H347" s="2" t="str">
        <f>IFERROR(VLOOKUP($A347,observations_series_id_PCU22122212_api_key_ecc133893ea92a842ee685c734246086_file[],3,FALSE),"")</f>
        <v/>
      </c>
      <c r="I347">
        <f>IFERROR(VLOOKUP($A347,observations_series_id_PCU3241913241910_api_key_ecc133893ea92a842ee685c734246086[],2,FALSE),"")</f>
        <v>112.3</v>
      </c>
      <c r="J347" s="2">
        <f>IFERROR(VLOOKUP($A347,observations_series_id_PCU3241913241910_api_key_ecc133893ea92a842ee685c734246086[],3,FALSE),"")</f>
        <v>0.54229741763134465</v>
      </c>
      <c r="K347">
        <f>IFERROR(VLOOKUP($A347,observations_series_id_EXJPUS_api_key_ecc133893ea92a842ee685c734246086_file_type[],2,FALSE),"")</f>
        <v>156.47229999999999</v>
      </c>
      <c r="L347" s="2">
        <f>IFERROR(VLOOKUP($A347,observations_series_id_EXJPUS_api_key_ecc133893ea92a842ee685c734246086_file_type[],3,FALSE),"")</f>
        <v>-1.2880727131894911</v>
      </c>
      <c r="M347" t="str">
        <f>IFERROR(AVERAGEIFS(timeseries_access_key_fqeas14oitk235763mntlb1c0brnk9w3fenzqbk313q5kvxyf52kukw1pa[Value.LME-ZNC],timeseries_access_key_fqeas14oitk235763mntlb1c0brnk9w3fenzqbk313q5kvxyf52kukw1pa[Month],MONTH(Data!$A347),timeseries_access_key_fqeas14oitk235763mntlb1c0brnk9w3fenzqbk313q5kvxyf52kukw1pa[Year],YEAR(Data!$A347)),"")</f>
        <v/>
      </c>
      <c r="N347" s="2" t="str">
        <f>IFERROR(AVERAGEIFS(timeseries_access_key_fqeas14oitk235763mntlb1c0brnk9w3fenzqbk313q5kvxyf52kukw1pa[Column1],timeseries_access_key_fqeas14oitk235763mntlb1c0brnk9w3fenzqbk313q5kvxyf52kukw1pa[Month],MONTH(Data!$A347),timeseries_access_key_fqeas14oitk235763mntlb1c0brnk9w3fenzqbk313q5kvxyf52kukw1pa[Year],YEAR(Data!$A347)),"")</f>
        <v/>
      </c>
      <c r="O347" s="8" t="str">
        <f>IFERROR(VLOOKUP($A347,Text_1_2[[Text.1.1.3]:[Text.1.3]],2,FALSE),"")</f>
        <v/>
      </c>
      <c r="P347" s="2"/>
    </row>
    <row r="348" spans="1:16" x14ac:dyDescent="0.25">
      <c r="A348" s="1">
        <v>31717</v>
      </c>
      <c r="B348" t="str">
        <f>HLOOKUP(Dashboard!$I$27,results,ROW(A348),FALSE)</f>
        <v/>
      </c>
      <c r="C348">
        <f>IFERROR(VLOOKUP(A348,observations_series_id_PCU22112222112243_api_key_ecc133893ea92a842ee685c73424608[],2,FALSE),"")</f>
        <v>94.8</v>
      </c>
      <c r="D348" s="2">
        <f>IFERROR(VLOOKUP(A348,observations_series_id_PCU22112222112243_api_key_ecc133893ea92a842ee685c73424608[],3,FALSE),"")</f>
        <v>0.81645569620253167</v>
      </c>
      <c r="E348" t="str">
        <f>IFERROR(VLOOKUP($A348,observations_series_id_WPU0613020T_api_key_ecc133893ea92a842ee685c734246086_file[],2,FALSE),"")</f>
        <v/>
      </c>
      <c r="F348" s="2" t="str">
        <f>IFERROR(VLOOKUP($A348,observations_series_id_WPU0613020T_api_key_ecc133893ea92a842ee685c734246086_file[],3,FALSE),"")</f>
        <v/>
      </c>
      <c r="G348" t="str">
        <f>IFERROR(VLOOKUP($A348,observations_series_id_PCU22122212_api_key_ecc133893ea92a842ee685c734246086_file[],2,FALSE),"")</f>
        <v/>
      </c>
      <c r="H348" s="2" t="str">
        <f>IFERROR(VLOOKUP($A348,observations_series_id_PCU22122212_api_key_ecc133893ea92a842ee685c734246086_file[],3,FALSE),"")</f>
        <v/>
      </c>
      <c r="I348">
        <f>IFERROR(VLOOKUP($A348,observations_series_id_PCU3241913241910_api_key_ecc133893ea92a842ee685c734246086[],2,FALSE),"")</f>
        <v>112.2</v>
      </c>
      <c r="J348" s="2">
        <f>IFERROR(VLOOKUP($A348,observations_series_id_PCU3241913241910_api_key_ecc133893ea92a842ee685c734246086[],3,FALSE),"")</f>
        <v>0.54188948306595375</v>
      </c>
      <c r="K348">
        <f>IFERROR(VLOOKUP($A348,observations_series_id_EXJPUS_api_key_ecc133893ea92a842ee685c734246086_file_type[],2,FALSE),"")</f>
        <v>162.8494</v>
      </c>
      <c r="L348" s="2">
        <f>IFERROR(VLOOKUP($A348,observations_series_id_EXJPUS_api_key_ecc133893ea92a842ee685c734246086_file_type[],3,FALSE),"")</f>
        <v>-1.1984729449417681</v>
      </c>
      <c r="M348" t="str">
        <f>IFERROR(AVERAGEIFS(timeseries_access_key_fqeas14oitk235763mntlb1c0brnk9w3fenzqbk313q5kvxyf52kukw1pa[Value.LME-ZNC],timeseries_access_key_fqeas14oitk235763mntlb1c0brnk9w3fenzqbk313q5kvxyf52kukw1pa[Month],MONTH(Data!$A348),timeseries_access_key_fqeas14oitk235763mntlb1c0brnk9w3fenzqbk313q5kvxyf52kukw1pa[Year],YEAR(Data!$A348)),"")</f>
        <v/>
      </c>
      <c r="N348" s="2" t="str">
        <f>IFERROR(AVERAGEIFS(timeseries_access_key_fqeas14oitk235763mntlb1c0brnk9w3fenzqbk313q5kvxyf52kukw1pa[Column1],timeseries_access_key_fqeas14oitk235763mntlb1c0brnk9w3fenzqbk313q5kvxyf52kukw1pa[Month],MONTH(Data!$A348),timeseries_access_key_fqeas14oitk235763mntlb1c0brnk9w3fenzqbk313q5kvxyf52kukw1pa[Year],YEAR(Data!$A348)),"")</f>
        <v/>
      </c>
      <c r="O348" s="8" t="str">
        <f>IFERROR(VLOOKUP($A348,Text_1_2[[Text.1.1.3]:[Text.1.3]],2,FALSE),"")</f>
        <v/>
      </c>
      <c r="P348" s="2"/>
    </row>
    <row r="349" spans="1:16" x14ac:dyDescent="0.25">
      <c r="A349" s="1">
        <v>31747</v>
      </c>
      <c r="B349" t="str">
        <f>HLOOKUP(Dashboard!$I$27,results,ROW(A349),FALSE)</f>
        <v/>
      </c>
      <c r="C349">
        <f>IFERROR(VLOOKUP(A349,observations_series_id_PCU22112222112243_api_key_ecc133893ea92a842ee685c73424608[],2,FALSE),"")</f>
        <v>94.5</v>
      </c>
      <c r="D349" s="2">
        <f>IFERROR(VLOOKUP(A349,observations_series_id_PCU22112222112243_api_key_ecc133893ea92a842ee685c73424608[],3,FALSE),"")</f>
        <v>0.81587301587301586</v>
      </c>
      <c r="E349" t="str">
        <f>IFERROR(VLOOKUP($A349,observations_series_id_WPU0613020T_api_key_ecc133893ea92a842ee685c734246086_file[],2,FALSE),"")</f>
        <v/>
      </c>
      <c r="F349" s="2" t="str">
        <f>IFERROR(VLOOKUP($A349,observations_series_id_WPU0613020T_api_key_ecc133893ea92a842ee685c734246086_file[],3,FALSE),"")</f>
        <v/>
      </c>
      <c r="G349" t="str">
        <f>IFERROR(VLOOKUP($A349,observations_series_id_PCU22122212_api_key_ecc133893ea92a842ee685c734246086_file[],2,FALSE),"")</f>
        <v/>
      </c>
      <c r="H349" s="2" t="str">
        <f>IFERROR(VLOOKUP($A349,observations_series_id_PCU22122212_api_key_ecc133893ea92a842ee685c734246086_file[],3,FALSE),"")</f>
        <v/>
      </c>
      <c r="I349">
        <f>IFERROR(VLOOKUP($A349,observations_series_id_PCU3241913241910_api_key_ecc133893ea92a842ee685c734246086[],2,FALSE),"")</f>
        <v>112.1</v>
      </c>
      <c r="J349" s="2">
        <f>IFERROR(VLOOKUP($A349,observations_series_id_PCU3241913241910_api_key_ecc133893ea92a842ee685c734246086[],3,FALSE),"")</f>
        <v>0.54148082069580727</v>
      </c>
      <c r="K349">
        <f>IFERROR(VLOOKUP($A349,observations_series_id_EXJPUS_api_key_ecc133893ea92a842ee685c734246086_file_type[],2,FALSE),"")</f>
        <v>162.0523</v>
      </c>
      <c r="L349" s="2">
        <f>IFERROR(VLOOKUP($A349,observations_series_id_EXJPUS_api_key_ecc133893ea92a842ee685c734246086_file_type[],3,FALSE),"")</f>
        <v>-1.2092867549550359</v>
      </c>
      <c r="M349" t="str">
        <f>IFERROR(AVERAGEIFS(timeseries_access_key_fqeas14oitk235763mntlb1c0brnk9w3fenzqbk313q5kvxyf52kukw1pa[Value.LME-ZNC],timeseries_access_key_fqeas14oitk235763mntlb1c0brnk9w3fenzqbk313q5kvxyf52kukw1pa[Month],MONTH(Data!$A349),timeseries_access_key_fqeas14oitk235763mntlb1c0brnk9w3fenzqbk313q5kvxyf52kukw1pa[Year],YEAR(Data!$A349)),"")</f>
        <v/>
      </c>
      <c r="N349" s="2" t="str">
        <f>IFERROR(AVERAGEIFS(timeseries_access_key_fqeas14oitk235763mntlb1c0brnk9w3fenzqbk313q5kvxyf52kukw1pa[Column1],timeseries_access_key_fqeas14oitk235763mntlb1c0brnk9w3fenzqbk313q5kvxyf52kukw1pa[Month],MONTH(Data!$A349),timeseries_access_key_fqeas14oitk235763mntlb1c0brnk9w3fenzqbk313q5kvxyf52kukw1pa[Year],YEAR(Data!$A349)),"")</f>
        <v/>
      </c>
      <c r="O349" s="8" t="str">
        <f>IFERROR(VLOOKUP($A349,Text_1_2[[Text.1.1.3]:[Text.1.3]],2,FALSE),"")</f>
        <v/>
      </c>
      <c r="P349" s="2"/>
    </row>
    <row r="350" spans="1:16" x14ac:dyDescent="0.25">
      <c r="A350" s="1">
        <v>31778</v>
      </c>
      <c r="B350" t="str">
        <f>HLOOKUP(Dashboard!$I$27,results,ROW(A350),FALSE)</f>
        <v/>
      </c>
      <c r="C350">
        <f>IFERROR(VLOOKUP(A350,observations_series_id_PCU22112222112243_api_key_ecc133893ea92a842ee685c73424608[],2,FALSE),"")</f>
        <v>92.7</v>
      </c>
      <c r="D350" s="2">
        <f>IFERROR(VLOOKUP(A350,observations_series_id_PCU22112222112243_api_key_ecc133893ea92a842ee685c73424608[],3,FALSE),"")</f>
        <v>0.81229773462783172</v>
      </c>
      <c r="E350" t="str">
        <f>IFERROR(VLOOKUP($A350,observations_series_id_WPU0613020T_api_key_ecc133893ea92a842ee685c734246086_file[],2,FALSE),"")</f>
        <v/>
      </c>
      <c r="F350" s="2" t="str">
        <f>IFERROR(VLOOKUP($A350,observations_series_id_WPU0613020T_api_key_ecc133893ea92a842ee685c734246086_file[],3,FALSE),"")</f>
        <v/>
      </c>
      <c r="G350" t="str">
        <f>IFERROR(VLOOKUP($A350,observations_series_id_PCU22122212_api_key_ecc133893ea92a842ee685c734246086_file[],2,FALSE),"")</f>
        <v/>
      </c>
      <c r="H350" s="2" t="str">
        <f>IFERROR(VLOOKUP($A350,observations_series_id_PCU22122212_api_key_ecc133893ea92a842ee685c734246086_file[],3,FALSE),"")</f>
        <v/>
      </c>
      <c r="I350">
        <f>IFERROR(VLOOKUP($A350,observations_series_id_PCU3241913241910_api_key_ecc133893ea92a842ee685c734246086[],2,FALSE),"")</f>
        <v>112.3</v>
      </c>
      <c r="J350" s="2">
        <f>IFERROR(VLOOKUP($A350,observations_series_id_PCU3241913241910_api_key_ecc133893ea92a842ee685c734246086[],3,FALSE),"")</f>
        <v>0.54229741763134465</v>
      </c>
      <c r="K350">
        <f>IFERROR(VLOOKUP($A350,observations_series_id_EXJPUS_api_key_ecc133893ea92a842ee685c734246086_file_type[],2,FALSE),"")</f>
        <v>154.8295</v>
      </c>
      <c r="L350" s="2">
        <f>IFERROR(VLOOKUP($A350,observations_series_id_EXJPUS_api_key_ecc133893ea92a842ee685c734246086_file_type[],3,FALSE),"")</f>
        <v>-1.3123500366532217</v>
      </c>
      <c r="M350" t="str">
        <f>IFERROR(AVERAGEIFS(timeseries_access_key_fqeas14oitk235763mntlb1c0brnk9w3fenzqbk313q5kvxyf52kukw1pa[Value.LME-ZNC],timeseries_access_key_fqeas14oitk235763mntlb1c0brnk9w3fenzqbk313q5kvxyf52kukw1pa[Month],MONTH(Data!$A350),timeseries_access_key_fqeas14oitk235763mntlb1c0brnk9w3fenzqbk313q5kvxyf52kukw1pa[Year],YEAR(Data!$A350)),"")</f>
        <v/>
      </c>
      <c r="N350" s="2" t="str">
        <f>IFERROR(AVERAGEIFS(timeseries_access_key_fqeas14oitk235763mntlb1c0brnk9w3fenzqbk313q5kvxyf52kukw1pa[Column1],timeseries_access_key_fqeas14oitk235763mntlb1c0brnk9w3fenzqbk313q5kvxyf52kukw1pa[Month],MONTH(Data!$A350),timeseries_access_key_fqeas14oitk235763mntlb1c0brnk9w3fenzqbk313q5kvxyf52kukw1pa[Year],YEAR(Data!$A350)),"")</f>
        <v/>
      </c>
      <c r="O350" s="8" t="str">
        <f>IFERROR(VLOOKUP($A350,Text_1_2[[Text.1.1.3]:[Text.1.3]],2,FALSE),"")</f>
        <v/>
      </c>
      <c r="P350" s="2"/>
    </row>
    <row r="351" spans="1:16" x14ac:dyDescent="0.25">
      <c r="A351" s="1">
        <v>31809</v>
      </c>
      <c r="B351" t="str">
        <f>HLOOKUP(Dashboard!$I$27,results,ROW(A351),FALSE)</f>
        <v/>
      </c>
      <c r="C351">
        <f>IFERROR(VLOOKUP(A351,observations_series_id_PCU22112222112243_api_key_ecc133893ea92a842ee685c73424608[],2,FALSE),"")</f>
        <v>92.3</v>
      </c>
      <c r="D351" s="2">
        <f>IFERROR(VLOOKUP(A351,observations_series_id_PCU22112222112243_api_key_ecc133893ea92a842ee685c73424608[],3,FALSE),"")</f>
        <v>0.81148429035752978</v>
      </c>
      <c r="E351" t="str">
        <f>IFERROR(VLOOKUP($A351,observations_series_id_WPU0613020T_api_key_ecc133893ea92a842ee685c734246086_file[],2,FALSE),"")</f>
        <v/>
      </c>
      <c r="F351" s="2" t="str">
        <f>IFERROR(VLOOKUP($A351,observations_series_id_WPU0613020T_api_key_ecc133893ea92a842ee685c734246086_file[],3,FALSE),"")</f>
        <v/>
      </c>
      <c r="G351" t="str">
        <f>IFERROR(VLOOKUP($A351,observations_series_id_PCU22122212_api_key_ecc133893ea92a842ee685c734246086_file[],2,FALSE),"")</f>
        <v/>
      </c>
      <c r="H351" s="2" t="str">
        <f>IFERROR(VLOOKUP($A351,observations_series_id_PCU22122212_api_key_ecc133893ea92a842ee685c734246086_file[],3,FALSE),"")</f>
        <v/>
      </c>
      <c r="I351">
        <f>IFERROR(VLOOKUP($A351,observations_series_id_PCU3241913241910_api_key_ecc133893ea92a842ee685c734246086[],2,FALSE),"")</f>
        <v>112</v>
      </c>
      <c r="J351" s="2">
        <f>IFERROR(VLOOKUP($A351,observations_series_id_PCU3241913241910_api_key_ecc133893ea92a842ee685c734246086[],3,FALSE),"")</f>
        <v>0.54107142857142865</v>
      </c>
      <c r="K351">
        <f>IFERROR(VLOOKUP($A351,observations_series_id_EXJPUS_api_key_ecc133893ea92a842ee685c734246086_file_type[],2,FALSE),"")</f>
        <v>153.4068</v>
      </c>
      <c r="L351" s="2">
        <f>IFERROR(VLOOKUP($A351,observations_series_id_EXJPUS_api_key_ecc133893ea92a842ee685c734246086_file_type[],3,FALSE),"")</f>
        <v>-1.3337948513364464</v>
      </c>
      <c r="M351" t="str">
        <f>IFERROR(AVERAGEIFS(timeseries_access_key_fqeas14oitk235763mntlb1c0brnk9w3fenzqbk313q5kvxyf52kukw1pa[Value.LME-ZNC],timeseries_access_key_fqeas14oitk235763mntlb1c0brnk9w3fenzqbk313q5kvxyf52kukw1pa[Month],MONTH(Data!$A351),timeseries_access_key_fqeas14oitk235763mntlb1c0brnk9w3fenzqbk313q5kvxyf52kukw1pa[Year],YEAR(Data!$A351)),"")</f>
        <v/>
      </c>
      <c r="N351" s="2" t="str">
        <f>IFERROR(AVERAGEIFS(timeseries_access_key_fqeas14oitk235763mntlb1c0brnk9w3fenzqbk313q5kvxyf52kukw1pa[Column1],timeseries_access_key_fqeas14oitk235763mntlb1c0brnk9w3fenzqbk313q5kvxyf52kukw1pa[Month],MONTH(Data!$A351),timeseries_access_key_fqeas14oitk235763mntlb1c0brnk9w3fenzqbk313q5kvxyf52kukw1pa[Year],YEAR(Data!$A351)),"")</f>
        <v/>
      </c>
      <c r="O351" s="8" t="str">
        <f>IFERROR(VLOOKUP($A351,Text_1_2[[Text.1.1.3]:[Text.1.3]],2,FALSE),"")</f>
        <v/>
      </c>
      <c r="P351" s="2"/>
    </row>
    <row r="352" spans="1:16" x14ac:dyDescent="0.25">
      <c r="A352" s="1">
        <v>31837</v>
      </c>
      <c r="B352" t="str">
        <f>HLOOKUP(Dashboard!$I$27,results,ROW(A352),FALSE)</f>
        <v/>
      </c>
      <c r="C352">
        <f>IFERROR(VLOOKUP(A352,observations_series_id_PCU22112222112243_api_key_ecc133893ea92a842ee685c73424608[],2,FALSE),"")</f>
        <v>92.7</v>
      </c>
      <c r="D352" s="2">
        <f>IFERROR(VLOOKUP(A352,observations_series_id_PCU22112222112243_api_key_ecc133893ea92a842ee685c73424608[],3,FALSE),"")</f>
        <v>0.81229773462783172</v>
      </c>
      <c r="E352" t="str">
        <f>IFERROR(VLOOKUP($A352,observations_series_id_WPU0613020T_api_key_ecc133893ea92a842ee685c734246086_file[],2,FALSE),"")</f>
        <v/>
      </c>
      <c r="F352" s="2" t="str">
        <f>IFERROR(VLOOKUP($A352,observations_series_id_WPU0613020T_api_key_ecc133893ea92a842ee685c734246086_file[],3,FALSE),"")</f>
        <v/>
      </c>
      <c r="G352" t="str">
        <f>IFERROR(VLOOKUP($A352,observations_series_id_PCU22122212_api_key_ecc133893ea92a842ee685c734246086_file[],2,FALSE),"")</f>
        <v/>
      </c>
      <c r="H352" s="2" t="str">
        <f>IFERROR(VLOOKUP($A352,observations_series_id_PCU22122212_api_key_ecc133893ea92a842ee685c734246086_file[],3,FALSE),"")</f>
        <v/>
      </c>
      <c r="I352">
        <f>IFERROR(VLOOKUP($A352,observations_series_id_PCU3241913241910_api_key_ecc133893ea92a842ee685c734246086[],2,FALSE),"")</f>
        <v>111.9</v>
      </c>
      <c r="J352" s="2">
        <f>IFERROR(VLOOKUP($A352,observations_series_id_PCU3241913241910_api_key_ecc133893ea92a842ee685c734246086[],3,FALSE),"")</f>
        <v>0.54066130473637175</v>
      </c>
      <c r="K352">
        <f>IFERROR(VLOOKUP($A352,observations_series_id_EXJPUS_api_key_ecc133893ea92a842ee685c734246086_file_type[],2,FALSE),"")</f>
        <v>151.4332</v>
      </c>
      <c r="L352" s="2">
        <f>IFERROR(VLOOKUP($A352,observations_series_id_EXJPUS_api_key_ecc133893ea92a842ee685c734246086_file_type[],3,FALSE),"")</f>
        <v>-1.3642107543127926</v>
      </c>
      <c r="M352" t="str">
        <f>IFERROR(AVERAGEIFS(timeseries_access_key_fqeas14oitk235763mntlb1c0brnk9w3fenzqbk313q5kvxyf52kukw1pa[Value.LME-ZNC],timeseries_access_key_fqeas14oitk235763mntlb1c0brnk9w3fenzqbk313q5kvxyf52kukw1pa[Month],MONTH(Data!$A352),timeseries_access_key_fqeas14oitk235763mntlb1c0brnk9w3fenzqbk313q5kvxyf52kukw1pa[Year],YEAR(Data!$A352)),"")</f>
        <v/>
      </c>
      <c r="N352" s="2" t="str">
        <f>IFERROR(AVERAGEIFS(timeseries_access_key_fqeas14oitk235763mntlb1c0brnk9w3fenzqbk313q5kvxyf52kukw1pa[Column1],timeseries_access_key_fqeas14oitk235763mntlb1c0brnk9w3fenzqbk313q5kvxyf52kukw1pa[Month],MONTH(Data!$A352),timeseries_access_key_fqeas14oitk235763mntlb1c0brnk9w3fenzqbk313q5kvxyf52kukw1pa[Year],YEAR(Data!$A352)),"")</f>
        <v/>
      </c>
      <c r="O352" s="8" t="str">
        <f>IFERROR(VLOOKUP($A352,Text_1_2[[Text.1.1.3]:[Text.1.3]],2,FALSE),"")</f>
        <v/>
      </c>
      <c r="P352" s="2"/>
    </row>
    <row r="353" spans="1:16" x14ac:dyDescent="0.25">
      <c r="A353" s="1">
        <v>31868</v>
      </c>
      <c r="B353" t="str">
        <f>HLOOKUP(Dashboard!$I$27,results,ROW(A353),FALSE)</f>
        <v/>
      </c>
      <c r="C353">
        <f>IFERROR(VLOOKUP(A353,observations_series_id_PCU22112222112243_api_key_ecc133893ea92a842ee685c73424608[],2,FALSE),"")</f>
        <v>92.4</v>
      </c>
      <c r="D353" s="2">
        <f>IFERROR(VLOOKUP(A353,observations_series_id_PCU22112222112243_api_key_ecc133893ea92a842ee685c73424608[],3,FALSE),"")</f>
        <v>0.81168831168831168</v>
      </c>
      <c r="E353" t="str">
        <f>IFERROR(VLOOKUP($A353,observations_series_id_WPU0613020T_api_key_ecc133893ea92a842ee685c734246086_file[],2,FALSE),"")</f>
        <v/>
      </c>
      <c r="F353" s="2" t="str">
        <f>IFERROR(VLOOKUP($A353,observations_series_id_WPU0613020T_api_key_ecc133893ea92a842ee685c734246086_file[],3,FALSE),"")</f>
        <v/>
      </c>
      <c r="G353" t="str">
        <f>IFERROR(VLOOKUP($A353,observations_series_id_PCU22122212_api_key_ecc133893ea92a842ee685c734246086_file[],2,FALSE),"")</f>
        <v/>
      </c>
      <c r="H353" s="2" t="str">
        <f>IFERROR(VLOOKUP($A353,observations_series_id_PCU22122212_api_key_ecc133893ea92a842ee685c734246086_file[],3,FALSE),"")</f>
        <v/>
      </c>
      <c r="I353">
        <f>IFERROR(VLOOKUP($A353,observations_series_id_PCU3241913241910_api_key_ecc133893ea92a842ee685c734246086[],2,FALSE),"")</f>
        <v>111.6</v>
      </c>
      <c r="J353" s="2">
        <f>IFERROR(VLOOKUP($A353,observations_series_id_PCU3241913241910_api_key_ecc133893ea92a842ee685c734246086[],3,FALSE),"")</f>
        <v>0.53942652329749108</v>
      </c>
      <c r="K353">
        <f>IFERROR(VLOOKUP($A353,observations_series_id_EXJPUS_api_key_ecc133893ea92a842ee685c734246086_file_type[],2,FALSE),"")</f>
        <v>142.89859999999999</v>
      </c>
      <c r="L353" s="2">
        <f>IFERROR(VLOOKUP($A353,observations_series_id_EXJPUS_api_key_ecc133893ea92a842ee685c734246086_file_type[],3,FALSE),"")</f>
        <v>-1.5054129291679557</v>
      </c>
      <c r="M353" t="str">
        <f>IFERROR(AVERAGEIFS(timeseries_access_key_fqeas14oitk235763mntlb1c0brnk9w3fenzqbk313q5kvxyf52kukw1pa[Value.LME-ZNC],timeseries_access_key_fqeas14oitk235763mntlb1c0brnk9w3fenzqbk313q5kvxyf52kukw1pa[Month],MONTH(Data!$A353),timeseries_access_key_fqeas14oitk235763mntlb1c0brnk9w3fenzqbk313q5kvxyf52kukw1pa[Year],YEAR(Data!$A353)),"")</f>
        <v/>
      </c>
      <c r="N353" s="2" t="str">
        <f>IFERROR(AVERAGEIFS(timeseries_access_key_fqeas14oitk235763mntlb1c0brnk9w3fenzqbk313q5kvxyf52kukw1pa[Column1],timeseries_access_key_fqeas14oitk235763mntlb1c0brnk9w3fenzqbk313q5kvxyf52kukw1pa[Month],MONTH(Data!$A353),timeseries_access_key_fqeas14oitk235763mntlb1c0brnk9w3fenzqbk313q5kvxyf52kukw1pa[Year],YEAR(Data!$A353)),"")</f>
        <v/>
      </c>
      <c r="O353" s="8" t="str">
        <f>IFERROR(VLOOKUP($A353,Text_1_2[[Text.1.1.3]:[Text.1.3]],2,FALSE),"")</f>
        <v/>
      </c>
      <c r="P353" s="2"/>
    </row>
    <row r="354" spans="1:16" x14ac:dyDescent="0.25">
      <c r="A354" s="1">
        <v>31898</v>
      </c>
      <c r="B354" t="str">
        <f>HLOOKUP(Dashboard!$I$27,results,ROW(A354),FALSE)</f>
        <v/>
      </c>
      <c r="C354">
        <f>IFERROR(VLOOKUP(A354,observations_series_id_PCU22112222112243_api_key_ecc133893ea92a842ee685c73424608[],2,FALSE),"")</f>
        <v>94</v>
      </c>
      <c r="D354" s="2">
        <f>IFERROR(VLOOKUP(A354,observations_series_id_PCU22112222112243_api_key_ecc133893ea92a842ee685c73424608[],3,FALSE),"")</f>
        <v>0.81489361702127661</v>
      </c>
      <c r="E354" t="str">
        <f>IFERROR(VLOOKUP($A354,observations_series_id_WPU0613020T_api_key_ecc133893ea92a842ee685c734246086_file[],2,FALSE),"")</f>
        <v/>
      </c>
      <c r="F354" s="2" t="str">
        <f>IFERROR(VLOOKUP($A354,observations_series_id_WPU0613020T_api_key_ecc133893ea92a842ee685c734246086_file[],3,FALSE),"")</f>
        <v/>
      </c>
      <c r="G354" t="str">
        <f>IFERROR(VLOOKUP($A354,observations_series_id_PCU22122212_api_key_ecc133893ea92a842ee685c734246086_file[],2,FALSE),"")</f>
        <v/>
      </c>
      <c r="H354" s="2" t="str">
        <f>IFERROR(VLOOKUP($A354,observations_series_id_PCU22122212_api_key_ecc133893ea92a842ee685c734246086_file[],3,FALSE),"")</f>
        <v/>
      </c>
      <c r="I354">
        <f>IFERROR(VLOOKUP($A354,observations_series_id_PCU3241913241910_api_key_ecc133893ea92a842ee685c734246086[],2,FALSE),"")</f>
        <v>111.4</v>
      </c>
      <c r="J354" s="2">
        <f>IFERROR(VLOOKUP($A354,observations_series_id_PCU3241913241910_api_key_ecc133893ea92a842ee685c734246086[],3,FALSE),"")</f>
        <v>0.53859964093357271</v>
      </c>
      <c r="K354">
        <f>IFERROR(VLOOKUP($A354,observations_series_id_EXJPUS_api_key_ecc133893ea92a842ee685c734246086_file_type[],2,FALSE),"")</f>
        <v>140.47900000000001</v>
      </c>
      <c r="L354" s="2">
        <f>IFERROR(VLOOKUP($A354,observations_series_id_EXJPUS_api_key_ecc133893ea92a842ee685c734246086_file_type[],3,FALSE),"")</f>
        <v>-1.5485659778329852</v>
      </c>
      <c r="M354" t="str">
        <f>IFERROR(AVERAGEIFS(timeseries_access_key_fqeas14oitk235763mntlb1c0brnk9w3fenzqbk313q5kvxyf52kukw1pa[Value.LME-ZNC],timeseries_access_key_fqeas14oitk235763mntlb1c0brnk9w3fenzqbk313q5kvxyf52kukw1pa[Month],MONTH(Data!$A354),timeseries_access_key_fqeas14oitk235763mntlb1c0brnk9w3fenzqbk313q5kvxyf52kukw1pa[Year],YEAR(Data!$A354)),"")</f>
        <v/>
      </c>
      <c r="N354" s="2" t="str">
        <f>IFERROR(AVERAGEIFS(timeseries_access_key_fqeas14oitk235763mntlb1c0brnk9w3fenzqbk313q5kvxyf52kukw1pa[Column1],timeseries_access_key_fqeas14oitk235763mntlb1c0brnk9w3fenzqbk313q5kvxyf52kukw1pa[Month],MONTH(Data!$A354),timeseries_access_key_fqeas14oitk235763mntlb1c0brnk9w3fenzqbk313q5kvxyf52kukw1pa[Year],YEAR(Data!$A354)),"")</f>
        <v/>
      </c>
      <c r="O354" s="8" t="str">
        <f>IFERROR(VLOOKUP($A354,Text_1_2[[Text.1.1.3]:[Text.1.3]],2,FALSE),"")</f>
        <v/>
      </c>
      <c r="P354" s="2"/>
    </row>
    <row r="355" spans="1:16" x14ac:dyDescent="0.25">
      <c r="A355" s="1">
        <v>31929</v>
      </c>
      <c r="B355" t="str">
        <f>HLOOKUP(Dashboard!$I$27,results,ROW(A355),FALSE)</f>
        <v/>
      </c>
      <c r="C355">
        <f>IFERROR(VLOOKUP(A355,observations_series_id_PCU22112222112243_api_key_ecc133893ea92a842ee685c73424608[],2,FALSE),"")</f>
        <v>95.8</v>
      </c>
      <c r="D355" s="2">
        <f>IFERROR(VLOOKUP(A355,observations_series_id_PCU22112222112243_api_key_ecc133893ea92a842ee685c73424608[],3,FALSE),"")</f>
        <v>0.81837160751565763</v>
      </c>
      <c r="E355" t="str">
        <f>IFERROR(VLOOKUP($A355,observations_series_id_WPU0613020T_api_key_ecc133893ea92a842ee685c734246086_file[],2,FALSE),"")</f>
        <v/>
      </c>
      <c r="F355" s="2" t="str">
        <f>IFERROR(VLOOKUP($A355,observations_series_id_WPU0613020T_api_key_ecc133893ea92a842ee685c734246086_file[],3,FALSE),"")</f>
        <v/>
      </c>
      <c r="G355" t="str">
        <f>IFERROR(VLOOKUP($A355,observations_series_id_PCU22122212_api_key_ecc133893ea92a842ee685c734246086_file[],2,FALSE),"")</f>
        <v/>
      </c>
      <c r="H355" s="2" t="str">
        <f>IFERROR(VLOOKUP($A355,observations_series_id_PCU22122212_api_key_ecc133893ea92a842ee685c734246086_file[],3,FALSE),"")</f>
        <v/>
      </c>
      <c r="I355">
        <f>IFERROR(VLOOKUP($A355,observations_series_id_PCU3241913241910_api_key_ecc133893ea92a842ee685c734246086[],2,FALSE),"")</f>
        <v>110.4</v>
      </c>
      <c r="J355" s="2">
        <f>IFERROR(VLOOKUP($A355,observations_series_id_PCU3241913241910_api_key_ecc133893ea92a842ee685c734246086[],3,FALSE),"")</f>
        <v>0.53442028985507251</v>
      </c>
      <c r="K355">
        <f>IFERROR(VLOOKUP($A355,observations_series_id_EXJPUS_api_key_ecc133893ea92a842ee685c734246086_file_type[],2,FALSE),"")</f>
        <v>144.54949999999999</v>
      </c>
      <c r="L355" s="2">
        <f>IFERROR(VLOOKUP($A355,observations_series_id_EXJPUS_api_key_ecc133893ea92a842ee685c734246086_file_type[],3,FALSE),"")</f>
        <v>-1.4767986053220521</v>
      </c>
      <c r="M355" t="str">
        <f>IFERROR(AVERAGEIFS(timeseries_access_key_fqeas14oitk235763mntlb1c0brnk9w3fenzqbk313q5kvxyf52kukw1pa[Value.LME-ZNC],timeseries_access_key_fqeas14oitk235763mntlb1c0brnk9w3fenzqbk313q5kvxyf52kukw1pa[Month],MONTH(Data!$A355),timeseries_access_key_fqeas14oitk235763mntlb1c0brnk9w3fenzqbk313q5kvxyf52kukw1pa[Year],YEAR(Data!$A355)),"")</f>
        <v/>
      </c>
      <c r="N355" s="2" t="str">
        <f>IFERROR(AVERAGEIFS(timeseries_access_key_fqeas14oitk235763mntlb1c0brnk9w3fenzqbk313q5kvxyf52kukw1pa[Column1],timeseries_access_key_fqeas14oitk235763mntlb1c0brnk9w3fenzqbk313q5kvxyf52kukw1pa[Month],MONTH(Data!$A355),timeseries_access_key_fqeas14oitk235763mntlb1c0brnk9w3fenzqbk313q5kvxyf52kukw1pa[Year],YEAR(Data!$A355)),"")</f>
        <v/>
      </c>
      <c r="O355" s="8" t="str">
        <f>IFERROR(VLOOKUP($A355,Text_1_2[[Text.1.1.3]:[Text.1.3]],2,FALSE),"")</f>
        <v/>
      </c>
      <c r="P355" s="2"/>
    </row>
    <row r="356" spans="1:16" x14ac:dyDescent="0.25">
      <c r="A356" s="1">
        <v>31959</v>
      </c>
      <c r="B356" t="str">
        <f>HLOOKUP(Dashboard!$I$27,results,ROW(A356),FALSE)</f>
        <v/>
      </c>
      <c r="C356">
        <f>IFERROR(VLOOKUP(A356,observations_series_id_PCU22112222112243_api_key_ecc133893ea92a842ee685c73424608[],2,FALSE),"")</f>
        <v>97.7</v>
      </c>
      <c r="D356" s="2">
        <f>IFERROR(VLOOKUP(A356,observations_series_id_PCU22112222112243_api_key_ecc133893ea92a842ee685c73424608[],3,FALSE),"")</f>
        <v>0.82190378710337775</v>
      </c>
      <c r="E356" t="str">
        <f>IFERROR(VLOOKUP($A356,observations_series_id_WPU0613020T_api_key_ecc133893ea92a842ee685c734246086_file[],2,FALSE),"")</f>
        <v/>
      </c>
      <c r="F356" s="2" t="str">
        <f>IFERROR(VLOOKUP($A356,observations_series_id_WPU0613020T_api_key_ecc133893ea92a842ee685c734246086_file[],3,FALSE),"")</f>
        <v/>
      </c>
      <c r="G356" t="str">
        <f>IFERROR(VLOOKUP($A356,observations_series_id_PCU22122212_api_key_ecc133893ea92a842ee685c734246086_file[],2,FALSE),"")</f>
        <v/>
      </c>
      <c r="H356" s="2" t="str">
        <f>IFERROR(VLOOKUP($A356,observations_series_id_PCU22122212_api_key_ecc133893ea92a842ee685c734246086_file[],3,FALSE),"")</f>
        <v/>
      </c>
      <c r="I356">
        <f>IFERROR(VLOOKUP($A356,observations_series_id_PCU3241913241910_api_key_ecc133893ea92a842ee685c734246086[],2,FALSE),"")</f>
        <v>109.5</v>
      </c>
      <c r="J356" s="2">
        <f>IFERROR(VLOOKUP($A356,observations_series_id_PCU3241913241910_api_key_ecc133893ea92a842ee685c734246086[],3,FALSE),"")</f>
        <v>0.53059360730593608</v>
      </c>
      <c r="K356">
        <f>IFERROR(VLOOKUP($A356,observations_series_id_EXJPUS_api_key_ecc133893ea92a842ee685c734246086_file_type[],2,FALSE),"")</f>
        <v>150.29390000000001</v>
      </c>
      <c r="L356" s="2">
        <f>IFERROR(VLOOKUP($A356,observations_series_id_EXJPUS_api_key_ecc133893ea92a842ee685c734246086_file_type[],3,FALSE),"")</f>
        <v>-1.3821326081763794</v>
      </c>
      <c r="M356" t="str">
        <f>IFERROR(AVERAGEIFS(timeseries_access_key_fqeas14oitk235763mntlb1c0brnk9w3fenzqbk313q5kvxyf52kukw1pa[Value.LME-ZNC],timeseries_access_key_fqeas14oitk235763mntlb1c0brnk9w3fenzqbk313q5kvxyf52kukw1pa[Month],MONTH(Data!$A356),timeseries_access_key_fqeas14oitk235763mntlb1c0brnk9w3fenzqbk313q5kvxyf52kukw1pa[Year],YEAR(Data!$A356)),"")</f>
        <v/>
      </c>
      <c r="N356" s="2" t="str">
        <f>IFERROR(AVERAGEIFS(timeseries_access_key_fqeas14oitk235763mntlb1c0brnk9w3fenzqbk313q5kvxyf52kukw1pa[Column1],timeseries_access_key_fqeas14oitk235763mntlb1c0brnk9w3fenzqbk313q5kvxyf52kukw1pa[Month],MONTH(Data!$A356),timeseries_access_key_fqeas14oitk235763mntlb1c0brnk9w3fenzqbk313q5kvxyf52kukw1pa[Year],YEAR(Data!$A356)),"")</f>
        <v/>
      </c>
      <c r="O356" s="8" t="str">
        <f>IFERROR(VLOOKUP($A356,Text_1_2[[Text.1.1.3]:[Text.1.3]],2,FALSE),"")</f>
        <v/>
      </c>
      <c r="P356" s="2"/>
    </row>
    <row r="357" spans="1:16" x14ac:dyDescent="0.25">
      <c r="A357" s="1">
        <v>31990</v>
      </c>
      <c r="B357" t="str">
        <f>HLOOKUP(Dashboard!$I$27,results,ROW(A357),FALSE)</f>
        <v/>
      </c>
      <c r="C357">
        <f>IFERROR(VLOOKUP(A357,observations_series_id_PCU22112222112243_api_key_ecc133893ea92a842ee685c73424608[],2,FALSE),"")</f>
        <v>97.3</v>
      </c>
      <c r="D357" s="2">
        <f>IFERROR(VLOOKUP(A357,observations_series_id_PCU22112222112243_api_key_ecc133893ea92a842ee685c73424608[],3,FALSE),"")</f>
        <v>0.82117163412127447</v>
      </c>
      <c r="E357" t="str">
        <f>IFERROR(VLOOKUP($A357,observations_series_id_WPU0613020T_api_key_ecc133893ea92a842ee685c734246086_file[],2,FALSE),"")</f>
        <v/>
      </c>
      <c r="F357" s="2" t="str">
        <f>IFERROR(VLOOKUP($A357,observations_series_id_WPU0613020T_api_key_ecc133893ea92a842ee685c734246086_file[],3,FALSE),"")</f>
        <v/>
      </c>
      <c r="G357" t="str">
        <f>IFERROR(VLOOKUP($A357,observations_series_id_PCU22122212_api_key_ecc133893ea92a842ee685c734246086_file[],2,FALSE),"")</f>
        <v/>
      </c>
      <c r="H357" s="2" t="str">
        <f>IFERROR(VLOOKUP($A357,observations_series_id_PCU22122212_api_key_ecc133893ea92a842ee685c734246086_file[],3,FALSE),"")</f>
        <v/>
      </c>
      <c r="I357">
        <f>IFERROR(VLOOKUP($A357,observations_series_id_PCU3241913241910_api_key_ecc133893ea92a842ee685c734246086[],2,FALSE),"")</f>
        <v>109.5</v>
      </c>
      <c r="J357" s="2">
        <f>IFERROR(VLOOKUP($A357,observations_series_id_PCU3241913241910_api_key_ecc133893ea92a842ee685c734246086[],3,FALSE),"")</f>
        <v>0.53059360730593608</v>
      </c>
      <c r="K357">
        <f>IFERROR(VLOOKUP($A357,observations_series_id_EXJPUS_api_key_ecc133893ea92a842ee685c734246086_file_type[],2,FALSE),"")</f>
        <v>147.33430000000001</v>
      </c>
      <c r="L357" s="2">
        <f>IFERROR(VLOOKUP($A357,observations_series_id_EXJPUS_api_key_ecc133893ea92a842ee685c734246086_file_type[],3,FALSE),"")</f>
        <v>-1.4299840566656914</v>
      </c>
      <c r="M357" t="str">
        <f>IFERROR(AVERAGEIFS(timeseries_access_key_fqeas14oitk235763mntlb1c0brnk9w3fenzqbk313q5kvxyf52kukw1pa[Value.LME-ZNC],timeseries_access_key_fqeas14oitk235763mntlb1c0brnk9w3fenzqbk313q5kvxyf52kukw1pa[Month],MONTH(Data!$A357),timeseries_access_key_fqeas14oitk235763mntlb1c0brnk9w3fenzqbk313q5kvxyf52kukw1pa[Year],YEAR(Data!$A357)),"")</f>
        <v/>
      </c>
      <c r="N357" s="2" t="str">
        <f>IFERROR(AVERAGEIFS(timeseries_access_key_fqeas14oitk235763mntlb1c0brnk9w3fenzqbk313q5kvxyf52kukw1pa[Column1],timeseries_access_key_fqeas14oitk235763mntlb1c0brnk9w3fenzqbk313q5kvxyf52kukw1pa[Month],MONTH(Data!$A357),timeseries_access_key_fqeas14oitk235763mntlb1c0brnk9w3fenzqbk313q5kvxyf52kukw1pa[Year],YEAR(Data!$A357)),"")</f>
        <v/>
      </c>
      <c r="O357" s="8" t="str">
        <f>IFERROR(VLOOKUP($A357,Text_1_2[[Text.1.1.3]:[Text.1.3]],2,FALSE),"")</f>
        <v/>
      </c>
      <c r="P357" s="2"/>
    </row>
    <row r="358" spans="1:16" x14ac:dyDescent="0.25">
      <c r="A358" s="1">
        <v>32021</v>
      </c>
      <c r="B358" t="str">
        <f>HLOOKUP(Dashboard!$I$27,results,ROW(A358),FALSE)</f>
        <v/>
      </c>
      <c r="C358">
        <f>IFERROR(VLOOKUP(A358,observations_series_id_PCU22112222112243_api_key_ecc133893ea92a842ee685c73424608[],2,FALSE),"")</f>
        <v>97.1</v>
      </c>
      <c r="D358" s="2">
        <f>IFERROR(VLOOKUP(A358,observations_series_id_PCU22112222112243_api_key_ecc133893ea92a842ee685c73424608[],3,FALSE),"")</f>
        <v>0.82080329557157572</v>
      </c>
      <c r="E358" t="str">
        <f>IFERROR(VLOOKUP($A358,observations_series_id_WPU0613020T_api_key_ecc133893ea92a842ee685c734246086_file[],2,FALSE),"")</f>
        <v/>
      </c>
      <c r="F358" s="2" t="str">
        <f>IFERROR(VLOOKUP($A358,observations_series_id_WPU0613020T_api_key_ecc133893ea92a842ee685c734246086_file[],3,FALSE),"")</f>
        <v/>
      </c>
      <c r="G358" t="str">
        <f>IFERROR(VLOOKUP($A358,observations_series_id_PCU22122212_api_key_ecc133893ea92a842ee685c734246086_file[],2,FALSE),"")</f>
        <v/>
      </c>
      <c r="H358" s="2" t="str">
        <f>IFERROR(VLOOKUP($A358,observations_series_id_PCU22122212_api_key_ecc133893ea92a842ee685c734246086_file[],3,FALSE),"")</f>
        <v/>
      </c>
      <c r="I358">
        <f>IFERROR(VLOOKUP($A358,observations_series_id_PCU3241913241910_api_key_ecc133893ea92a842ee685c734246086[],2,FALSE),"")</f>
        <v>109.8</v>
      </c>
      <c r="J358" s="2">
        <f>IFERROR(VLOOKUP($A358,observations_series_id_PCU3241913241910_api_key_ecc133893ea92a842ee685c734246086[],3,FALSE),"")</f>
        <v>0.53187613843351556</v>
      </c>
      <c r="K358">
        <f>IFERROR(VLOOKUP($A358,observations_series_id_EXJPUS_api_key_ecc133893ea92a842ee685c734246086_file_type[],2,FALSE),"")</f>
        <v>143.291</v>
      </c>
      <c r="L358" s="2">
        <f>IFERROR(VLOOKUP($A358,observations_series_id_EXJPUS_api_key_ecc133893ea92a842ee685c734246086_file_type[],3,FALSE),"")</f>
        <v>-1.4985518978861196</v>
      </c>
      <c r="M358" t="str">
        <f>IFERROR(AVERAGEIFS(timeseries_access_key_fqeas14oitk235763mntlb1c0brnk9w3fenzqbk313q5kvxyf52kukw1pa[Value.LME-ZNC],timeseries_access_key_fqeas14oitk235763mntlb1c0brnk9w3fenzqbk313q5kvxyf52kukw1pa[Month],MONTH(Data!$A358),timeseries_access_key_fqeas14oitk235763mntlb1c0brnk9w3fenzqbk313q5kvxyf52kukw1pa[Year],YEAR(Data!$A358)),"")</f>
        <v/>
      </c>
      <c r="N358" s="2" t="str">
        <f>IFERROR(AVERAGEIFS(timeseries_access_key_fqeas14oitk235763mntlb1c0brnk9w3fenzqbk313q5kvxyf52kukw1pa[Column1],timeseries_access_key_fqeas14oitk235763mntlb1c0brnk9w3fenzqbk313q5kvxyf52kukw1pa[Month],MONTH(Data!$A358),timeseries_access_key_fqeas14oitk235763mntlb1c0brnk9w3fenzqbk313q5kvxyf52kukw1pa[Year],YEAR(Data!$A358)),"")</f>
        <v/>
      </c>
      <c r="O358" s="8" t="str">
        <f>IFERROR(VLOOKUP($A358,Text_1_2[[Text.1.1.3]:[Text.1.3]],2,FALSE),"")</f>
        <v/>
      </c>
      <c r="P358" s="2"/>
    </row>
    <row r="359" spans="1:16" x14ac:dyDescent="0.25">
      <c r="A359" s="1">
        <v>32051</v>
      </c>
      <c r="B359" t="str">
        <f>HLOOKUP(Dashboard!$I$27,results,ROW(A359),FALSE)</f>
        <v/>
      </c>
      <c r="C359">
        <f>IFERROR(VLOOKUP(A359,observations_series_id_PCU22112222112243_api_key_ecc133893ea92a842ee685c73424608[],2,FALSE),"")</f>
        <v>93.3</v>
      </c>
      <c r="D359" s="2">
        <f>IFERROR(VLOOKUP(A359,observations_series_id_PCU22112222112243_api_key_ecc133893ea92a842ee685c73424608[],3,FALSE),"")</f>
        <v>0.81350482315112538</v>
      </c>
      <c r="E359" t="str">
        <f>IFERROR(VLOOKUP($A359,observations_series_id_WPU0613020T_api_key_ecc133893ea92a842ee685c734246086_file[],2,FALSE),"")</f>
        <v/>
      </c>
      <c r="F359" s="2" t="str">
        <f>IFERROR(VLOOKUP($A359,observations_series_id_WPU0613020T_api_key_ecc133893ea92a842ee685c734246086_file[],3,FALSE),"")</f>
        <v/>
      </c>
      <c r="G359" t="str">
        <f>IFERROR(VLOOKUP($A359,observations_series_id_PCU22122212_api_key_ecc133893ea92a842ee685c734246086_file[],2,FALSE),"")</f>
        <v/>
      </c>
      <c r="H359" s="2" t="str">
        <f>IFERROR(VLOOKUP($A359,observations_series_id_PCU22122212_api_key_ecc133893ea92a842ee685c734246086_file[],3,FALSE),"")</f>
        <v/>
      </c>
      <c r="I359">
        <f>IFERROR(VLOOKUP($A359,observations_series_id_PCU3241913241910_api_key_ecc133893ea92a842ee685c734246086[],2,FALSE),"")</f>
        <v>111</v>
      </c>
      <c r="J359" s="2">
        <f>IFERROR(VLOOKUP($A359,observations_series_id_PCU3241913241910_api_key_ecc133893ea92a842ee685c734246086[],3,FALSE),"")</f>
        <v>0.536936936936937</v>
      </c>
      <c r="K359">
        <f>IFERROR(VLOOKUP($A359,observations_series_id_EXJPUS_api_key_ecc133893ea92a842ee685c734246086_file_type[],2,FALSE),"")</f>
        <v>143.32</v>
      </c>
      <c r="L359" s="2">
        <f>IFERROR(VLOOKUP($A359,observations_series_id_EXJPUS_api_key_ecc133893ea92a842ee685c734246086_file_type[],3,FALSE),"")</f>
        <v>-1.4980463298911526</v>
      </c>
      <c r="M359" t="str">
        <f>IFERROR(AVERAGEIFS(timeseries_access_key_fqeas14oitk235763mntlb1c0brnk9w3fenzqbk313q5kvxyf52kukw1pa[Value.LME-ZNC],timeseries_access_key_fqeas14oitk235763mntlb1c0brnk9w3fenzqbk313q5kvxyf52kukw1pa[Month],MONTH(Data!$A359),timeseries_access_key_fqeas14oitk235763mntlb1c0brnk9w3fenzqbk313q5kvxyf52kukw1pa[Year],YEAR(Data!$A359)),"")</f>
        <v/>
      </c>
      <c r="N359" s="2" t="str">
        <f>IFERROR(AVERAGEIFS(timeseries_access_key_fqeas14oitk235763mntlb1c0brnk9w3fenzqbk313q5kvxyf52kukw1pa[Column1],timeseries_access_key_fqeas14oitk235763mntlb1c0brnk9w3fenzqbk313q5kvxyf52kukw1pa[Month],MONTH(Data!$A359),timeseries_access_key_fqeas14oitk235763mntlb1c0brnk9w3fenzqbk313q5kvxyf52kukw1pa[Year],YEAR(Data!$A359)),"")</f>
        <v/>
      </c>
      <c r="O359" s="8" t="str">
        <f>IFERROR(VLOOKUP($A359,Text_1_2[[Text.1.1.3]:[Text.1.3]],2,FALSE),"")</f>
        <v/>
      </c>
      <c r="P359" s="2"/>
    </row>
    <row r="360" spans="1:16" x14ac:dyDescent="0.25">
      <c r="A360" s="1">
        <v>32082</v>
      </c>
      <c r="B360" t="str">
        <f>HLOOKUP(Dashboard!$I$27,results,ROW(A360),FALSE)</f>
        <v/>
      </c>
      <c r="C360">
        <f>IFERROR(VLOOKUP(A360,observations_series_id_PCU22112222112243_api_key_ecc133893ea92a842ee685c73424608[],2,FALSE),"")</f>
        <v>91.8</v>
      </c>
      <c r="D360" s="2">
        <f>IFERROR(VLOOKUP(A360,observations_series_id_PCU22112222112243_api_key_ecc133893ea92a842ee685c73424608[],3,FALSE),"")</f>
        <v>0.81045751633986929</v>
      </c>
      <c r="E360" t="str">
        <f>IFERROR(VLOOKUP($A360,observations_series_id_WPU0613020T_api_key_ecc133893ea92a842ee685c734246086_file[],2,FALSE),"")</f>
        <v/>
      </c>
      <c r="F360" s="2" t="str">
        <f>IFERROR(VLOOKUP($A360,observations_series_id_WPU0613020T_api_key_ecc133893ea92a842ee685c734246086_file[],3,FALSE),"")</f>
        <v/>
      </c>
      <c r="G360" t="str">
        <f>IFERROR(VLOOKUP($A360,observations_series_id_PCU22122212_api_key_ecc133893ea92a842ee685c734246086_file[],2,FALSE),"")</f>
        <v/>
      </c>
      <c r="H360" s="2" t="str">
        <f>IFERROR(VLOOKUP($A360,observations_series_id_PCU22122212_api_key_ecc133893ea92a842ee685c734246086_file[],3,FALSE),"")</f>
        <v/>
      </c>
      <c r="I360">
        <f>IFERROR(VLOOKUP($A360,observations_series_id_PCU3241913241910_api_key_ecc133893ea92a842ee685c734246086[],2,FALSE),"")</f>
        <v>112.8</v>
      </c>
      <c r="J360" s="2">
        <f>IFERROR(VLOOKUP($A360,observations_series_id_PCU3241913241910_api_key_ecc133893ea92a842ee685c734246086[],3,FALSE),"")</f>
        <v>0.54432624113475181</v>
      </c>
      <c r="K360">
        <f>IFERROR(VLOOKUP($A360,observations_series_id_EXJPUS_api_key_ecc133893ea92a842ee685c734246086_file_type[],2,FALSE),"")</f>
        <v>135.3974</v>
      </c>
      <c r="L360" s="2">
        <f>IFERROR(VLOOKUP($A360,observations_series_id_EXJPUS_api_key_ecc133893ea92a842ee685c734246086_file_type[],3,FALSE),"")</f>
        <v>-1.6442162109464435</v>
      </c>
      <c r="M360" t="str">
        <f>IFERROR(AVERAGEIFS(timeseries_access_key_fqeas14oitk235763mntlb1c0brnk9w3fenzqbk313q5kvxyf52kukw1pa[Value.LME-ZNC],timeseries_access_key_fqeas14oitk235763mntlb1c0brnk9w3fenzqbk313q5kvxyf52kukw1pa[Month],MONTH(Data!$A360),timeseries_access_key_fqeas14oitk235763mntlb1c0brnk9w3fenzqbk313q5kvxyf52kukw1pa[Year],YEAR(Data!$A360)),"")</f>
        <v/>
      </c>
      <c r="N360" s="2" t="str">
        <f>IFERROR(AVERAGEIFS(timeseries_access_key_fqeas14oitk235763mntlb1c0brnk9w3fenzqbk313q5kvxyf52kukw1pa[Column1],timeseries_access_key_fqeas14oitk235763mntlb1c0brnk9w3fenzqbk313q5kvxyf52kukw1pa[Month],MONTH(Data!$A360),timeseries_access_key_fqeas14oitk235763mntlb1c0brnk9w3fenzqbk313q5kvxyf52kukw1pa[Year],YEAR(Data!$A360)),"")</f>
        <v/>
      </c>
      <c r="O360" s="8" t="str">
        <f>IFERROR(VLOOKUP($A360,Text_1_2[[Text.1.1.3]:[Text.1.3]],2,FALSE),"")</f>
        <v/>
      </c>
      <c r="P360" s="2"/>
    </row>
    <row r="361" spans="1:16" x14ac:dyDescent="0.25">
      <c r="A361" s="1">
        <v>32112</v>
      </c>
      <c r="B361" t="str">
        <f>HLOOKUP(Dashboard!$I$27,results,ROW(A361),FALSE)</f>
        <v/>
      </c>
      <c r="C361">
        <f>IFERROR(VLOOKUP(A361,observations_series_id_PCU22112222112243_api_key_ecc133893ea92a842ee685c73424608[],2,FALSE),"")</f>
        <v>92.2</v>
      </c>
      <c r="D361" s="2">
        <f>IFERROR(VLOOKUP(A361,observations_series_id_PCU22112222112243_api_key_ecc133893ea92a842ee685c73424608[],3,FALSE),"")</f>
        <v>0.81127982646420826</v>
      </c>
      <c r="E361" t="str">
        <f>IFERROR(VLOOKUP($A361,observations_series_id_WPU0613020T_api_key_ecc133893ea92a842ee685c734246086_file[],2,FALSE),"")</f>
        <v/>
      </c>
      <c r="F361" s="2" t="str">
        <f>IFERROR(VLOOKUP($A361,observations_series_id_WPU0613020T_api_key_ecc133893ea92a842ee685c734246086_file[],3,FALSE),"")</f>
        <v/>
      </c>
      <c r="G361" t="str">
        <f>IFERROR(VLOOKUP($A361,observations_series_id_PCU22122212_api_key_ecc133893ea92a842ee685c734246086_file[],2,FALSE),"")</f>
        <v/>
      </c>
      <c r="H361" s="2" t="str">
        <f>IFERROR(VLOOKUP($A361,observations_series_id_PCU22122212_api_key_ecc133893ea92a842ee685c734246086_file[],3,FALSE),"")</f>
        <v/>
      </c>
      <c r="I361">
        <f>IFERROR(VLOOKUP($A361,observations_series_id_PCU3241913241910_api_key_ecc133893ea92a842ee685c734246086[],2,FALSE),"")</f>
        <v>112.6</v>
      </c>
      <c r="J361" s="2">
        <f>IFERROR(VLOOKUP($A361,observations_series_id_PCU3241913241910_api_key_ecc133893ea92a842ee685c734246086[],3,FALSE),"")</f>
        <v>0.54351687388987568</v>
      </c>
      <c r="K361">
        <f>IFERROR(VLOOKUP($A361,observations_series_id_EXJPUS_api_key_ecc133893ea92a842ee685c734246086_file_type[],2,FALSE),"")</f>
        <v>128.24180000000001</v>
      </c>
      <c r="L361" s="2">
        <f>IFERROR(VLOOKUP($A361,observations_series_id_EXJPUS_api_key_ecc133893ea92a842ee685c734246086_file_type[],3,FALSE),"")</f>
        <v>-1.7917574457002314</v>
      </c>
      <c r="M361" t="str">
        <f>IFERROR(AVERAGEIFS(timeseries_access_key_fqeas14oitk235763mntlb1c0brnk9w3fenzqbk313q5kvxyf52kukw1pa[Value.LME-ZNC],timeseries_access_key_fqeas14oitk235763mntlb1c0brnk9w3fenzqbk313q5kvxyf52kukw1pa[Month],MONTH(Data!$A361),timeseries_access_key_fqeas14oitk235763mntlb1c0brnk9w3fenzqbk313q5kvxyf52kukw1pa[Year],YEAR(Data!$A361)),"")</f>
        <v/>
      </c>
      <c r="N361" s="2" t="str">
        <f>IFERROR(AVERAGEIFS(timeseries_access_key_fqeas14oitk235763mntlb1c0brnk9w3fenzqbk313q5kvxyf52kukw1pa[Column1],timeseries_access_key_fqeas14oitk235763mntlb1c0brnk9w3fenzqbk313q5kvxyf52kukw1pa[Month],MONTH(Data!$A361),timeseries_access_key_fqeas14oitk235763mntlb1c0brnk9w3fenzqbk313q5kvxyf52kukw1pa[Year],YEAR(Data!$A361)),"")</f>
        <v/>
      </c>
      <c r="O361" s="8" t="str">
        <f>IFERROR(VLOOKUP($A361,Text_1_2[[Text.1.1.3]:[Text.1.3]],2,FALSE),"")</f>
        <v/>
      </c>
      <c r="P361" s="2"/>
    </row>
    <row r="362" spans="1:16" x14ac:dyDescent="0.25">
      <c r="A362" s="1">
        <v>32143</v>
      </c>
      <c r="B362" t="str">
        <f>HLOOKUP(Dashboard!$I$27,results,ROW(A362),FALSE)</f>
        <v/>
      </c>
      <c r="C362">
        <f>IFERROR(VLOOKUP(A362,observations_series_id_PCU22112222112243_api_key_ecc133893ea92a842ee685c73424608[],2,FALSE),"")</f>
        <v>91.5</v>
      </c>
      <c r="D362" s="2">
        <f>IFERROR(VLOOKUP(A362,observations_series_id_PCU22112222112243_api_key_ecc133893ea92a842ee685c73424608[],3,FALSE),"")</f>
        <v>0.80983606557377052</v>
      </c>
      <c r="E362" t="str">
        <f>IFERROR(VLOOKUP($A362,observations_series_id_WPU0613020T_api_key_ecc133893ea92a842ee685c734246086_file[],2,FALSE),"")</f>
        <v/>
      </c>
      <c r="F362" s="2" t="str">
        <f>IFERROR(VLOOKUP($A362,observations_series_id_WPU0613020T_api_key_ecc133893ea92a842ee685c734246086_file[],3,FALSE),"")</f>
        <v/>
      </c>
      <c r="G362" t="str">
        <f>IFERROR(VLOOKUP($A362,observations_series_id_PCU22122212_api_key_ecc133893ea92a842ee685c734246086_file[],2,FALSE),"")</f>
        <v/>
      </c>
      <c r="H362" s="2" t="str">
        <f>IFERROR(VLOOKUP($A362,observations_series_id_PCU22122212_api_key_ecc133893ea92a842ee685c734246086_file[],3,FALSE),"")</f>
        <v/>
      </c>
      <c r="I362">
        <f>IFERROR(VLOOKUP($A362,observations_series_id_PCU3241913241910_api_key_ecc133893ea92a842ee685c734246086[],2,FALSE),"")</f>
        <v>114.5</v>
      </c>
      <c r="J362" s="2">
        <f>IFERROR(VLOOKUP($A362,observations_series_id_PCU3241913241910_api_key_ecc133893ea92a842ee685c734246086[],3,FALSE),"")</f>
        <v>0.55109170305676858</v>
      </c>
      <c r="K362">
        <f>IFERROR(VLOOKUP($A362,observations_series_id_EXJPUS_api_key_ecc133893ea92a842ee685c734246086_file_type[],2,FALSE),"")</f>
        <v>127.6853</v>
      </c>
      <c r="L362" s="2">
        <f>IFERROR(VLOOKUP($A362,observations_series_id_EXJPUS_api_key_ecc133893ea92a842ee685c734246086_file_type[],3,FALSE),"")</f>
        <v>-1.8039249623879958</v>
      </c>
      <c r="M362" t="str">
        <f>IFERROR(AVERAGEIFS(timeseries_access_key_fqeas14oitk235763mntlb1c0brnk9w3fenzqbk313q5kvxyf52kukw1pa[Value.LME-ZNC],timeseries_access_key_fqeas14oitk235763mntlb1c0brnk9w3fenzqbk313q5kvxyf52kukw1pa[Month],MONTH(Data!$A362),timeseries_access_key_fqeas14oitk235763mntlb1c0brnk9w3fenzqbk313q5kvxyf52kukw1pa[Year],YEAR(Data!$A362)),"")</f>
        <v/>
      </c>
      <c r="N362" s="2" t="str">
        <f>IFERROR(AVERAGEIFS(timeseries_access_key_fqeas14oitk235763mntlb1c0brnk9w3fenzqbk313q5kvxyf52kukw1pa[Column1],timeseries_access_key_fqeas14oitk235763mntlb1c0brnk9w3fenzqbk313q5kvxyf52kukw1pa[Month],MONTH(Data!$A362),timeseries_access_key_fqeas14oitk235763mntlb1c0brnk9w3fenzqbk313q5kvxyf52kukw1pa[Year],YEAR(Data!$A362)),"")</f>
        <v/>
      </c>
      <c r="O362" s="8" t="str">
        <f>IFERROR(VLOOKUP($A362,Text_1_2[[Text.1.1.3]:[Text.1.3]],2,FALSE),"")</f>
        <v/>
      </c>
      <c r="P362" s="2"/>
    </row>
    <row r="363" spans="1:16" x14ac:dyDescent="0.25">
      <c r="A363" s="1">
        <v>32174</v>
      </c>
      <c r="B363" t="str">
        <f>HLOOKUP(Dashboard!$I$27,results,ROW(A363),FALSE)</f>
        <v/>
      </c>
      <c r="C363">
        <f>IFERROR(VLOOKUP(A363,observations_series_id_PCU22112222112243_api_key_ecc133893ea92a842ee685c73424608[],2,FALSE),"")</f>
        <v>91.7</v>
      </c>
      <c r="D363" s="2">
        <f>IFERROR(VLOOKUP(A363,observations_series_id_PCU22112222112243_api_key_ecc133893ea92a842ee685c73424608[],3,FALSE),"")</f>
        <v>0.81025081788440567</v>
      </c>
      <c r="E363" t="str">
        <f>IFERROR(VLOOKUP($A363,observations_series_id_WPU0613020T_api_key_ecc133893ea92a842ee685c734246086_file[],2,FALSE),"")</f>
        <v/>
      </c>
      <c r="F363" s="2" t="str">
        <f>IFERROR(VLOOKUP($A363,observations_series_id_WPU0613020T_api_key_ecc133893ea92a842ee685c734246086_file[],3,FALSE),"")</f>
        <v/>
      </c>
      <c r="G363" t="str">
        <f>IFERROR(VLOOKUP($A363,observations_series_id_PCU22122212_api_key_ecc133893ea92a842ee685c734246086_file[],2,FALSE),"")</f>
        <v/>
      </c>
      <c r="H363" s="2" t="str">
        <f>IFERROR(VLOOKUP($A363,observations_series_id_PCU22122212_api_key_ecc133893ea92a842ee685c734246086_file[],3,FALSE),"")</f>
        <v/>
      </c>
      <c r="I363">
        <f>IFERROR(VLOOKUP($A363,observations_series_id_PCU3241913241910_api_key_ecc133893ea92a842ee685c734246086[],2,FALSE),"")</f>
        <v>114.7</v>
      </c>
      <c r="J363" s="2">
        <f>IFERROR(VLOOKUP($A363,observations_series_id_PCU3241913241910_api_key_ecc133893ea92a842ee685c734246086[],3,FALSE),"")</f>
        <v>0.55187445510026156</v>
      </c>
      <c r="K363">
        <f>IFERROR(VLOOKUP($A363,observations_series_id_EXJPUS_api_key_ecc133893ea92a842ee685c734246086_file_type[],2,FALSE),"")</f>
        <v>129.16650000000001</v>
      </c>
      <c r="L363" s="2">
        <f>IFERROR(VLOOKUP($A363,observations_series_id_EXJPUS_api_key_ecc133893ea92a842ee685c734246086_file_type[],3,FALSE),"")</f>
        <v>-1.7717713184146038</v>
      </c>
      <c r="M363" t="str">
        <f>IFERROR(AVERAGEIFS(timeseries_access_key_fqeas14oitk235763mntlb1c0brnk9w3fenzqbk313q5kvxyf52kukw1pa[Value.LME-ZNC],timeseries_access_key_fqeas14oitk235763mntlb1c0brnk9w3fenzqbk313q5kvxyf52kukw1pa[Month],MONTH(Data!$A363),timeseries_access_key_fqeas14oitk235763mntlb1c0brnk9w3fenzqbk313q5kvxyf52kukw1pa[Year],YEAR(Data!$A363)),"")</f>
        <v/>
      </c>
      <c r="N363" s="2" t="str">
        <f>IFERROR(AVERAGEIFS(timeseries_access_key_fqeas14oitk235763mntlb1c0brnk9w3fenzqbk313q5kvxyf52kukw1pa[Column1],timeseries_access_key_fqeas14oitk235763mntlb1c0brnk9w3fenzqbk313q5kvxyf52kukw1pa[Month],MONTH(Data!$A363),timeseries_access_key_fqeas14oitk235763mntlb1c0brnk9w3fenzqbk313q5kvxyf52kukw1pa[Year],YEAR(Data!$A363)),"")</f>
        <v/>
      </c>
      <c r="O363" s="8" t="str">
        <f>IFERROR(VLOOKUP($A363,Text_1_2[[Text.1.1.3]:[Text.1.3]],2,FALSE),"")</f>
        <v/>
      </c>
      <c r="P363" s="2"/>
    </row>
    <row r="364" spans="1:16" x14ac:dyDescent="0.25">
      <c r="A364" s="1">
        <v>32203</v>
      </c>
      <c r="B364" t="str">
        <f>HLOOKUP(Dashboard!$I$27,results,ROW(A364),FALSE)</f>
        <v/>
      </c>
      <c r="C364">
        <f>IFERROR(VLOOKUP(A364,observations_series_id_PCU22112222112243_api_key_ecc133893ea92a842ee685c73424608[],2,FALSE),"")</f>
        <v>91.6</v>
      </c>
      <c r="D364" s="2">
        <f>IFERROR(VLOOKUP(A364,observations_series_id_PCU22112222112243_api_key_ecc133893ea92a842ee685c73424608[],3,FALSE),"")</f>
        <v>0.81004366812227069</v>
      </c>
      <c r="E364" t="str">
        <f>IFERROR(VLOOKUP($A364,observations_series_id_WPU0613020T_api_key_ecc133893ea92a842ee685c734246086_file[],2,FALSE),"")</f>
        <v/>
      </c>
      <c r="F364" s="2" t="str">
        <f>IFERROR(VLOOKUP($A364,observations_series_id_WPU0613020T_api_key_ecc133893ea92a842ee685c734246086_file[],3,FALSE),"")</f>
        <v/>
      </c>
      <c r="G364" t="str">
        <f>IFERROR(VLOOKUP($A364,observations_series_id_PCU22122212_api_key_ecc133893ea92a842ee685c734246086_file[],2,FALSE),"")</f>
        <v/>
      </c>
      <c r="H364" s="2" t="str">
        <f>IFERROR(VLOOKUP($A364,observations_series_id_PCU22122212_api_key_ecc133893ea92a842ee685c734246086_file[],3,FALSE),"")</f>
        <v/>
      </c>
      <c r="I364">
        <f>IFERROR(VLOOKUP($A364,observations_series_id_PCU3241913241910_api_key_ecc133893ea92a842ee685c734246086[],2,FALSE),"")</f>
        <v>116.6</v>
      </c>
      <c r="J364" s="2">
        <f>IFERROR(VLOOKUP($A364,observations_series_id_PCU3241913241910_api_key_ecc133893ea92a842ee685c734246086[],3,FALSE),"")</f>
        <v>0.55917667238421953</v>
      </c>
      <c r="K364">
        <f>IFERROR(VLOOKUP($A364,observations_series_id_EXJPUS_api_key_ecc133893ea92a842ee685c734246086_file_type[],2,FALSE),"")</f>
        <v>127.1139</v>
      </c>
      <c r="L364" s="2">
        <f>IFERROR(VLOOKUP($A364,observations_series_id_EXJPUS_api_key_ecc133893ea92a842ee685c734246086_file_type[],3,FALSE),"")</f>
        <v>-1.8165291128664922</v>
      </c>
      <c r="M364" t="str">
        <f>IFERROR(AVERAGEIFS(timeseries_access_key_fqeas14oitk235763mntlb1c0brnk9w3fenzqbk313q5kvxyf52kukw1pa[Value.LME-ZNC],timeseries_access_key_fqeas14oitk235763mntlb1c0brnk9w3fenzqbk313q5kvxyf52kukw1pa[Month],MONTH(Data!$A364),timeseries_access_key_fqeas14oitk235763mntlb1c0brnk9w3fenzqbk313q5kvxyf52kukw1pa[Year],YEAR(Data!$A364)),"")</f>
        <v/>
      </c>
      <c r="N364" s="2" t="str">
        <f>IFERROR(AVERAGEIFS(timeseries_access_key_fqeas14oitk235763mntlb1c0brnk9w3fenzqbk313q5kvxyf52kukw1pa[Column1],timeseries_access_key_fqeas14oitk235763mntlb1c0brnk9w3fenzqbk313q5kvxyf52kukw1pa[Month],MONTH(Data!$A364),timeseries_access_key_fqeas14oitk235763mntlb1c0brnk9w3fenzqbk313q5kvxyf52kukw1pa[Year],YEAR(Data!$A364)),"")</f>
        <v/>
      </c>
      <c r="O364" s="8" t="str">
        <f>IFERROR(VLOOKUP($A364,Text_1_2[[Text.1.1.3]:[Text.1.3]],2,FALSE),"")</f>
        <v/>
      </c>
      <c r="P364" s="2"/>
    </row>
    <row r="365" spans="1:16" x14ac:dyDescent="0.25">
      <c r="A365" s="1">
        <v>32234</v>
      </c>
      <c r="B365" t="str">
        <f>HLOOKUP(Dashboard!$I$27,results,ROW(A365),FALSE)</f>
        <v/>
      </c>
      <c r="C365">
        <f>IFERROR(VLOOKUP(A365,observations_series_id_PCU22112222112243_api_key_ecc133893ea92a842ee685c73424608[],2,FALSE),"")</f>
        <v>91.7</v>
      </c>
      <c r="D365" s="2">
        <f>IFERROR(VLOOKUP(A365,observations_series_id_PCU22112222112243_api_key_ecc133893ea92a842ee685c73424608[],3,FALSE),"")</f>
        <v>0.81025081788440567</v>
      </c>
      <c r="E365" t="str">
        <f>IFERROR(VLOOKUP($A365,observations_series_id_WPU0613020T_api_key_ecc133893ea92a842ee685c734246086_file[],2,FALSE),"")</f>
        <v/>
      </c>
      <c r="F365" s="2" t="str">
        <f>IFERROR(VLOOKUP($A365,observations_series_id_WPU0613020T_api_key_ecc133893ea92a842ee685c734246086_file[],3,FALSE),"")</f>
        <v/>
      </c>
      <c r="G365" t="str">
        <f>IFERROR(VLOOKUP($A365,observations_series_id_PCU22122212_api_key_ecc133893ea92a842ee685c734246086_file[],2,FALSE),"")</f>
        <v/>
      </c>
      <c r="H365" s="2" t="str">
        <f>IFERROR(VLOOKUP($A365,observations_series_id_PCU22122212_api_key_ecc133893ea92a842ee685c734246086_file[],3,FALSE),"")</f>
        <v/>
      </c>
      <c r="I365">
        <f>IFERROR(VLOOKUP($A365,observations_series_id_PCU3241913241910_api_key_ecc133893ea92a842ee685c734246086[],2,FALSE),"")</f>
        <v>118.2</v>
      </c>
      <c r="J365" s="2">
        <f>IFERROR(VLOOKUP($A365,observations_series_id_PCU3241913241910_api_key_ecc133893ea92a842ee685c734246086[],3,FALSE),"")</f>
        <v>0.56514382402707275</v>
      </c>
      <c r="K365">
        <f>IFERROR(VLOOKUP($A365,observations_series_id_EXJPUS_api_key_ecc133893ea92a842ee685c734246086_file_type[],2,FALSE),"")</f>
        <v>124.8976</v>
      </c>
      <c r="L365" s="2">
        <f>IFERROR(VLOOKUP($A365,observations_series_id_EXJPUS_api_key_ecc133893ea92a842ee685c734246086_file_type[],3,FALSE),"")</f>
        <v>-1.8665082435531186</v>
      </c>
      <c r="M365" t="str">
        <f>IFERROR(AVERAGEIFS(timeseries_access_key_fqeas14oitk235763mntlb1c0brnk9w3fenzqbk313q5kvxyf52kukw1pa[Value.LME-ZNC],timeseries_access_key_fqeas14oitk235763mntlb1c0brnk9w3fenzqbk313q5kvxyf52kukw1pa[Month],MONTH(Data!$A365),timeseries_access_key_fqeas14oitk235763mntlb1c0brnk9w3fenzqbk313q5kvxyf52kukw1pa[Year],YEAR(Data!$A365)),"")</f>
        <v/>
      </c>
      <c r="N365" s="2" t="str">
        <f>IFERROR(AVERAGEIFS(timeseries_access_key_fqeas14oitk235763mntlb1c0brnk9w3fenzqbk313q5kvxyf52kukw1pa[Column1],timeseries_access_key_fqeas14oitk235763mntlb1c0brnk9w3fenzqbk313q5kvxyf52kukw1pa[Month],MONTH(Data!$A365),timeseries_access_key_fqeas14oitk235763mntlb1c0brnk9w3fenzqbk313q5kvxyf52kukw1pa[Year],YEAR(Data!$A365)),"")</f>
        <v/>
      </c>
      <c r="O365" s="8" t="str">
        <f>IFERROR(VLOOKUP($A365,Text_1_2[[Text.1.1.3]:[Text.1.3]],2,FALSE),"")</f>
        <v/>
      </c>
      <c r="P365" s="2"/>
    </row>
    <row r="366" spans="1:16" x14ac:dyDescent="0.25">
      <c r="A366" s="1">
        <v>32264</v>
      </c>
      <c r="B366" t="str">
        <f>HLOOKUP(Dashboard!$I$27,results,ROW(A366),FALSE)</f>
        <v/>
      </c>
      <c r="C366">
        <f>IFERROR(VLOOKUP(A366,observations_series_id_PCU22112222112243_api_key_ecc133893ea92a842ee685c73424608[],2,FALSE),"")</f>
        <v>91.6</v>
      </c>
      <c r="D366" s="2">
        <f>IFERROR(VLOOKUP(A366,observations_series_id_PCU22112222112243_api_key_ecc133893ea92a842ee685c73424608[],3,FALSE),"")</f>
        <v>0.81004366812227069</v>
      </c>
      <c r="E366" t="str">
        <f>IFERROR(VLOOKUP($A366,observations_series_id_WPU0613020T_api_key_ecc133893ea92a842ee685c734246086_file[],2,FALSE),"")</f>
        <v/>
      </c>
      <c r="F366" s="2" t="str">
        <f>IFERROR(VLOOKUP($A366,observations_series_id_WPU0613020T_api_key_ecc133893ea92a842ee685c734246086_file[],3,FALSE),"")</f>
        <v/>
      </c>
      <c r="G366" t="str">
        <f>IFERROR(VLOOKUP($A366,observations_series_id_PCU22122212_api_key_ecc133893ea92a842ee685c734246086_file[],2,FALSE),"")</f>
        <v/>
      </c>
      <c r="H366" s="2" t="str">
        <f>IFERROR(VLOOKUP($A366,observations_series_id_PCU22122212_api_key_ecc133893ea92a842ee685c734246086_file[],3,FALSE),"")</f>
        <v/>
      </c>
      <c r="I366">
        <f>IFERROR(VLOOKUP($A366,observations_series_id_PCU3241913241910_api_key_ecc133893ea92a842ee685c734246086[],2,FALSE),"")</f>
        <v>119.4</v>
      </c>
      <c r="J366" s="2">
        <f>IFERROR(VLOOKUP($A366,observations_series_id_PCU3241913241910_api_key_ecc133893ea92a842ee685c734246086[],3,FALSE),"")</f>
        <v>0.56951423785594635</v>
      </c>
      <c r="K366">
        <f>IFERROR(VLOOKUP($A366,observations_series_id_EXJPUS_api_key_ecc133893ea92a842ee685c734246086_file_type[],2,FALSE),"")</f>
        <v>124.7871</v>
      </c>
      <c r="L366" s="2">
        <f>IFERROR(VLOOKUP($A366,observations_series_id_EXJPUS_api_key_ecc133893ea92a842ee685c734246086_file_type[],3,FALSE),"")</f>
        <v>-1.8690465601011641</v>
      </c>
      <c r="M366" t="str">
        <f>IFERROR(AVERAGEIFS(timeseries_access_key_fqeas14oitk235763mntlb1c0brnk9w3fenzqbk313q5kvxyf52kukw1pa[Value.LME-ZNC],timeseries_access_key_fqeas14oitk235763mntlb1c0brnk9w3fenzqbk313q5kvxyf52kukw1pa[Month],MONTH(Data!$A366),timeseries_access_key_fqeas14oitk235763mntlb1c0brnk9w3fenzqbk313q5kvxyf52kukw1pa[Year],YEAR(Data!$A366)),"")</f>
        <v/>
      </c>
      <c r="N366" s="2" t="str">
        <f>IFERROR(AVERAGEIFS(timeseries_access_key_fqeas14oitk235763mntlb1c0brnk9w3fenzqbk313q5kvxyf52kukw1pa[Column1],timeseries_access_key_fqeas14oitk235763mntlb1c0brnk9w3fenzqbk313q5kvxyf52kukw1pa[Month],MONTH(Data!$A366),timeseries_access_key_fqeas14oitk235763mntlb1c0brnk9w3fenzqbk313q5kvxyf52kukw1pa[Year],YEAR(Data!$A366)),"")</f>
        <v/>
      </c>
      <c r="O366" s="8" t="str">
        <f>IFERROR(VLOOKUP($A366,Text_1_2[[Text.1.1.3]:[Text.1.3]],2,FALSE),"")</f>
        <v/>
      </c>
      <c r="P366" s="2"/>
    </row>
    <row r="367" spans="1:16" x14ac:dyDescent="0.25">
      <c r="A367" s="1">
        <v>32295</v>
      </c>
      <c r="B367" t="str">
        <f>HLOOKUP(Dashboard!$I$27,results,ROW(A367),FALSE)</f>
        <v/>
      </c>
      <c r="C367">
        <f>IFERROR(VLOOKUP(A367,observations_series_id_PCU22112222112243_api_key_ecc133893ea92a842ee685c73424608[],2,FALSE),"")</f>
        <v>98.5</v>
      </c>
      <c r="D367" s="2">
        <f>IFERROR(VLOOKUP(A367,observations_series_id_PCU22112222112243_api_key_ecc133893ea92a842ee685c73424608[],3,FALSE),"")</f>
        <v>0.82335025380710658</v>
      </c>
      <c r="E367" t="str">
        <f>IFERROR(VLOOKUP($A367,observations_series_id_WPU0613020T_api_key_ecc133893ea92a842ee685c734246086_file[],2,FALSE),"")</f>
        <v/>
      </c>
      <c r="F367" s="2" t="str">
        <f>IFERROR(VLOOKUP($A367,observations_series_id_WPU0613020T_api_key_ecc133893ea92a842ee685c734246086_file[],3,FALSE),"")</f>
        <v/>
      </c>
      <c r="G367" t="str">
        <f>IFERROR(VLOOKUP($A367,observations_series_id_PCU22122212_api_key_ecc133893ea92a842ee685c734246086_file[],2,FALSE),"")</f>
        <v/>
      </c>
      <c r="H367" s="2" t="str">
        <f>IFERROR(VLOOKUP($A367,observations_series_id_PCU22122212_api_key_ecc133893ea92a842ee685c734246086_file[],3,FALSE),"")</f>
        <v/>
      </c>
      <c r="I367">
        <f>IFERROR(VLOOKUP($A367,observations_series_id_PCU3241913241910_api_key_ecc133893ea92a842ee685c734246086[],2,FALSE),"")</f>
        <v>122.9</v>
      </c>
      <c r="J367" s="2">
        <f>IFERROR(VLOOKUP($A367,observations_series_id_PCU3241913241910_api_key_ecc133893ea92a842ee685c734246086[],3,FALSE),"")</f>
        <v>0.58177379983726607</v>
      </c>
      <c r="K367">
        <f>IFERROR(VLOOKUP($A367,observations_series_id_EXJPUS_api_key_ecc133893ea92a842ee685c734246086_file_type[],2,FALSE),"")</f>
        <v>127.46550000000001</v>
      </c>
      <c r="L367" s="2">
        <f>IFERROR(VLOOKUP($A367,observations_series_id_EXJPUS_api_key_ecc133893ea92a842ee685c734246086_file_type[],3,FALSE),"")</f>
        <v>-1.8087600174164771</v>
      </c>
      <c r="M367" t="str">
        <f>IFERROR(AVERAGEIFS(timeseries_access_key_fqeas14oitk235763mntlb1c0brnk9w3fenzqbk313q5kvxyf52kukw1pa[Value.LME-ZNC],timeseries_access_key_fqeas14oitk235763mntlb1c0brnk9w3fenzqbk313q5kvxyf52kukw1pa[Month],MONTH(Data!$A367),timeseries_access_key_fqeas14oitk235763mntlb1c0brnk9w3fenzqbk313q5kvxyf52kukw1pa[Year],YEAR(Data!$A367)),"")</f>
        <v/>
      </c>
      <c r="N367" s="2" t="str">
        <f>IFERROR(AVERAGEIFS(timeseries_access_key_fqeas14oitk235763mntlb1c0brnk9w3fenzqbk313q5kvxyf52kukw1pa[Column1],timeseries_access_key_fqeas14oitk235763mntlb1c0brnk9w3fenzqbk313q5kvxyf52kukw1pa[Month],MONTH(Data!$A367),timeseries_access_key_fqeas14oitk235763mntlb1c0brnk9w3fenzqbk313q5kvxyf52kukw1pa[Year],YEAR(Data!$A367)),"")</f>
        <v/>
      </c>
      <c r="O367" s="8" t="str">
        <f>IFERROR(VLOOKUP($A367,Text_1_2[[Text.1.1.3]:[Text.1.3]],2,FALSE),"")</f>
        <v/>
      </c>
      <c r="P367" s="2"/>
    </row>
    <row r="368" spans="1:16" x14ac:dyDescent="0.25">
      <c r="A368" s="1">
        <v>32325</v>
      </c>
      <c r="B368" t="str">
        <f>HLOOKUP(Dashboard!$I$27,results,ROW(A368),FALSE)</f>
        <v/>
      </c>
      <c r="C368">
        <f>IFERROR(VLOOKUP(A368,observations_series_id_PCU22112222112243_api_key_ecc133893ea92a842ee685c73424608[],2,FALSE),"")</f>
        <v>99.4</v>
      </c>
      <c r="D368" s="2">
        <f>IFERROR(VLOOKUP(A368,observations_series_id_PCU22112222112243_api_key_ecc133893ea92a842ee685c73424608[],3,FALSE),"")</f>
        <v>0.82494969818913488</v>
      </c>
      <c r="E368" t="str">
        <f>IFERROR(VLOOKUP($A368,observations_series_id_WPU0613020T_api_key_ecc133893ea92a842ee685c734246086_file[],2,FALSE),"")</f>
        <v/>
      </c>
      <c r="F368" s="2" t="str">
        <f>IFERROR(VLOOKUP($A368,observations_series_id_WPU0613020T_api_key_ecc133893ea92a842ee685c734246086_file[],3,FALSE),"")</f>
        <v/>
      </c>
      <c r="G368" t="str">
        <f>IFERROR(VLOOKUP($A368,observations_series_id_PCU22122212_api_key_ecc133893ea92a842ee685c734246086_file[],2,FALSE),"")</f>
        <v/>
      </c>
      <c r="H368" s="2" t="str">
        <f>IFERROR(VLOOKUP($A368,observations_series_id_PCU22122212_api_key_ecc133893ea92a842ee685c734246086_file[],3,FALSE),"")</f>
        <v/>
      </c>
      <c r="I368">
        <f>IFERROR(VLOOKUP($A368,observations_series_id_PCU3241913241910_api_key_ecc133893ea92a842ee685c734246086[],2,FALSE),"")</f>
        <v>122.2</v>
      </c>
      <c r="J368" s="2">
        <f>IFERROR(VLOOKUP($A368,observations_series_id_PCU3241913241910_api_key_ecc133893ea92a842ee685c734246086[],3,FALSE),"")</f>
        <v>0.57937806873977094</v>
      </c>
      <c r="K368">
        <f>IFERROR(VLOOKUP($A368,observations_series_id_EXJPUS_api_key_ecc133893ea92a842ee685c734246086_file_type[],2,FALSE),"")</f>
        <v>133.0215</v>
      </c>
      <c r="L368" s="2">
        <f>IFERROR(VLOOKUP($A368,observations_series_id_EXJPUS_api_key_ecc133893ea92a842ee685c734246086_file_type[],3,FALSE),"")</f>
        <v>-1.691444616095894</v>
      </c>
      <c r="M368" t="str">
        <f>IFERROR(AVERAGEIFS(timeseries_access_key_fqeas14oitk235763mntlb1c0brnk9w3fenzqbk313q5kvxyf52kukw1pa[Value.LME-ZNC],timeseries_access_key_fqeas14oitk235763mntlb1c0brnk9w3fenzqbk313q5kvxyf52kukw1pa[Month],MONTH(Data!$A368),timeseries_access_key_fqeas14oitk235763mntlb1c0brnk9w3fenzqbk313q5kvxyf52kukw1pa[Year],YEAR(Data!$A368)),"")</f>
        <v/>
      </c>
      <c r="N368" s="2" t="str">
        <f>IFERROR(AVERAGEIFS(timeseries_access_key_fqeas14oitk235763mntlb1c0brnk9w3fenzqbk313q5kvxyf52kukw1pa[Column1],timeseries_access_key_fqeas14oitk235763mntlb1c0brnk9w3fenzqbk313q5kvxyf52kukw1pa[Month],MONTH(Data!$A368),timeseries_access_key_fqeas14oitk235763mntlb1c0brnk9w3fenzqbk313q5kvxyf52kukw1pa[Year],YEAR(Data!$A368)),"")</f>
        <v/>
      </c>
      <c r="O368" s="8" t="str">
        <f>IFERROR(VLOOKUP($A368,Text_1_2[[Text.1.1.3]:[Text.1.3]],2,FALSE),"")</f>
        <v/>
      </c>
      <c r="P368" s="2"/>
    </row>
    <row r="369" spans="1:16" x14ac:dyDescent="0.25">
      <c r="A369" s="1">
        <v>32356</v>
      </c>
      <c r="B369" t="str">
        <f>HLOOKUP(Dashboard!$I$27,results,ROW(A369),FALSE)</f>
        <v/>
      </c>
      <c r="C369">
        <f>IFERROR(VLOOKUP(A369,observations_series_id_PCU22112222112243_api_key_ecc133893ea92a842ee685c73424608[],2,FALSE),"")</f>
        <v>99.5</v>
      </c>
      <c r="D369" s="2">
        <f>IFERROR(VLOOKUP(A369,observations_series_id_PCU22112222112243_api_key_ecc133893ea92a842ee685c73424608[],3,FALSE),"")</f>
        <v>0.82512562814070356</v>
      </c>
      <c r="E369" t="str">
        <f>IFERROR(VLOOKUP($A369,observations_series_id_WPU0613020T_api_key_ecc133893ea92a842ee685c734246086_file[],2,FALSE),"")</f>
        <v/>
      </c>
      <c r="F369" s="2" t="str">
        <f>IFERROR(VLOOKUP($A369,observations_series_id_WPU0613020T_api_key_ecc133893ea92a842ee685c734246086_file[],3,FALSE),"")</f>
        <v/>
      </c>
      <c r="G369" t="str">
        <f>IFERROR(VLOOKUP($A369,observations_series_id_PCU22122212_api_key_ecc133893ea92a842ee685c734246086_file[],2,FALSE),"")</f>
        <v/>
      </c>
      <c r="H369" s="2" t="str">
        <f>IFERROR(VLOOKUP($A369,observations_series_id_PCU22122212_api_key_ecc133893ea92a842ee685c734246086_file[],3,FALSE),"")</f>
        <v/>
      </c>
      <c r="I369">
        <f>IFERROR(VLOOKUP($A369,observations_series_id_PCU3241913241910_api_key_ecc133893ea92a842ee685c734246086[],2,FALSE),"")</f>
        <v>123.4</v>
      </c>
      <c r="J369" s="2">
        <f>IFERROR(VLOOKUP($A369,observations_series_id_PCU3241913241910_api_key_ecc133893ea92a842ee685c734246086[],3,FALSE),"")</f>
        <v>0.58346839546191254</v>
      </c>
      <c r="K369">
        <f>IFERROR(VLOOKUP($A369,observations_series_id_EXJPUS_api_key_ecc133893ea92a842ee685c734246086_file_type[],2,FALSE),"")</f>
        <v>133.76609999999999</v>
      </c>
      <c r="L369" s="2">
        <f>IFERROR(VLOOKUP($A369,observations_series_id_EXJPUS_api_key_ecc133893ea92a842ee685c734246086_file_type[],3,FALSE),"")</f>
        <v>-1.6764628706376281</v>
      </c>
      <c r="M369" t="str">
        <f>IFERROR(AVERAGEIFS(timeseries_access_key_fqeas14oitk235763mntlb1c0brnk9w3fenzqbk313q5kvxyf52kukw1pa[Value.LME-ZNC],timeseries_access_key_fqeas14oitk235763mntlb1c0brnk9w3fenzqbk313q5kvxyf52kukw1pa[Month],MONTH(Data!$A369),timeseries_access_key_fqeas14oitk235763mntlb1c0brnk9w3fenzqbk313q5kvxyf52kukw1pa[Year],YEAR(Data!$A369)),"")</f>
        <v/>
      </c>
      <c r="N369" s="2" t="str">
        <f>IFERROR(AVERAGEIFS(timeseries_access_key_fqeas14oitk235763mntlb1c0brnk9w3fenzqbk313q5kvxyf52kukw1pa[Column1],timeseries_access_key_fqeas14oitk235763mntlb1c0brnk9w3fenzqbk313q5kvxyf52kukw1pa[Month],MONTH(Data!$A369),timeseries_access_key_fqeas14oitk235763mntlb1c0brnk9w3fenzqbk313q5kvxyf52kukw1pa[Year],YEAR(Data!$A369)),"")</f>
        <v/>
      </c>
      <c r="O369" s="8" t="str">
        <f>IFERROR(VLOOKUP($A369,Text_1_2[[Text.1.1.3]:[Text.1.3]],2,FALSE),"")</f>
        <v/>
      </c>
      <c r="P369" s="2"/>
    </row>
    <row r="370" spans="1:16" x14ac:dyDescent="0.25">
      <c r="A370" s="1">
        <v>32387</v>
      </c>
      <c r="B370" t="str">
        <f>HLOOKUP(Dashboard!$I$27,results,ROW(A370),FALSE)</f>
        <v/>
      </c>
      <c r="C370">
        <f>IFERROR(VLOOKUP(A370,observations_series_id_PCU22112222112243_api_key_ecc133893ea92a842ee685c73424608[],2,FALSE),"")</f>
        <v>99.7</v>
      </c>
      <c r="D370" s="2">
        <f>IFERROR(VLOOKUP(A370,observations_series_id_PCU22112222112243_api_key_ecc133893ea92a842ee685c73424608[],3,FALSE),"")</f>
        <v>0.82547642928786358</v>
      </c>
      <c r="E370" t="str">
        <f>IFERROR(VLOOKUP($A370,observations_series_id_WPU0613020T_api_key_ecc133893ea92a842ee685c734246086_file[],2,FALSE),"")</f>
        <v/>
      </c>
      <c r="F370" s="2" t="str">
        <f>IFERROR(VLOOKUP($A370,observations_series_id_WPU0613020T_api_key_ecc133893ea92a842ee685c734246086_file[],3,FALSE),"")</f>
        <v/>
      </c>
      <c r="G370" t="str">
        <f>IFERROR(VLOOKUP($A370,observations_series_id_PCU22122212_api_key_ecc133893ea92a842ee685c734246086_file[],2,FALSE),"")</f>
        <v/>
      </c>
      <c r="H370" s="2" t="str">
        <f>IFERROR(VLOOKUP($A370,observations_series_id_PCU22122212_api_key_ecc133893ea92a842ee685c734246086_file[],3,FALSE),"")</f>
        <v/>
      </c>
      <c r="I370">
        <f>IFERROR(VLOOKUP($A370,observations_series_id_PCU3241913241910_api_key_ecc133893ea92a842ee685c734246086[],2,FALSE),"")</f>
        <v>123.6</v>
      </c>
      <c r="J370" s="2">
        <f>IFERROR(VLOOKUP($A370,observations_series_id_PCU3241913241910_api_key_ecc133893ea92a842ee685c734246086[],3,FALSE),"")</f>
        <v>0.58414239482200647</v>
      </c>
      <c r="K370">
        <f>IFERROR(VLOOKUP($A370,observations_series_id_EXJPUS_api_key_ecc133893ea92a842ee685c734246086_file_type[],2,FALSE),"")</f>
        <v>134.3176</v>
      </c>
      <c r="L370" s="2">
        <f>IFERROR(VLOOKUP($A370,observations_series_id_EXJPUS_api_key_ecc133893ea92a842ee685c734246086_file_type[],3,FALSE),"")</f>
        <v>-1.6654734748089601</v>
      </c>
      <c r="M370" t="str">
        <f>IFERROR(AVERAGEIFS(timeseries_access_key_fqeas14oitk235763mntlb1c0brnk9w3fenzqbk313q5kvxyf52kukw1pa[Value.LME-ZNC],timeseries_access_key_fqeas14oitk235763mntlb1c0brnk9w3fenzqbk313q5kvxyf52kukw1pa[Month],MONTH(Data!$A370),timeseries_access_key_fqeas14oitk235763mntlb1c0brnk9w3fenzqbk313q5kvxyf52kukw1pa[Year],YEAR(Data!$A370)),"")</f>
        <v/>
      </c>
      <c r="N370" s="2" t="str">
        <f>IFERROR(AVERAGEIFS(timeseries_access_key_fqeas14oitk235763mntlb1c0brnk9w3fenzqbk313q5kvxyf52kukw1pa[Column1],timeseries_access_key_fqeas14oitk235763mntlb1c0brnk9w3fenzqbk313q5kvxyf52kukw1pa[Month],MONTH(Data!$A370),timeseries_access_key_fqeas14oitk235763mntlb1c0brnk9w3fenzqbk313q5kvxyf52kukw1pa[Year],YEAR(Data!$A370)),"")</f>
        <v/>
      </c>
      <c r="O370" s="8" t="str">
        <f>IFERROR(VLOOKUP($A370,Text_1_2[[Text.1.1.3]:[Text.1.3]],2,FALSE),"")</f>
        <v/>
      </c>
      <c r="P370" s="2"/>
    </row>
    <row r="371" spans="1:16" x14ac:dyDescent="0.25">
      <c r="A371" s="1">
        <v>32417</v>
      </c>
      <c r="B371" t="str">
        <f>HLOOKUP(Dashboard!$I$27,results,ROW(A371),FALSE)</f>
        <v/>
      </c>
      <c r="C371">
        <f>IFERROR(VLOOKUP(A371,observations_series_id_PCU22112222112243_api_key_ecc133893ea92a842ee685c73424608[],2,FALSE),"")</f>
        <v>96</v>
      </c>
      <c r="D371" s="2">
        <f>IFERROR(VLOOKUP(A371,observations_series_id_PCU22112222112243_api_key_ecc133893ea92a842ee685c73424608[],3,FALSE),"")</f>
        <v>0.81874999999999998</v>
      </c>
      <c r="E371" t="str">
        <f>IFERROR(VLOOKUP($A371,observations_series_id_WPU0613020T_api_key_ecc133893ea92a842ee685c734246086_file[],2,FALSE),"")</f>
        <v/>
      </c>
      <c r="F371" s="2" t="str">
        <f>IFERROR(VLOOKUP($A371,observations_series_id_WPU0613020T_api_key_ecc133893ea92a842ee685c734246086_file[],3,FALSE),"")</f>
        <v/>
      </c>
      <c r="G371" t="str">
        <f>IFERROR(VLOOKUP($A371,observations_series_id_PCU22122212_api_key_ecc133893ea92a842ee685c734246086_file[],2,FALSE),"")</f>
        <v/>
      </c>
      <c r="H371" s="2" t="str">
        <f>IFERROR(VLOOKUP($A371,observations_series_id_PCU22122212_api_key_ecc133893ea92a842ee685c734246086_file[],3,FALSE),"")</f>
        <v/>
      </c>
      <c r="I371">
        <f>IFERROR(VLOOKUP($A371,observations_series_id_PCU3241913241910_api_key_ecc133893ea92a842ee685c734246086[],2,FALSE),"")</f>
        <v>123.4</v>
      </c>
      <c r="J371" s="2">
        <f>IFERROR(VLOOKUP($A371,observations_series_id_PCU3241913241910_api_key_ecc133893ea92a842ee685c734246086[],3,FALSE),"")</f>
        <v>0.58346839546191254</v>
      </c>
      <c r="K371">
        <f>IFERROR(VLOOKUP($A371,observations_series_id_EXJPUS_api_key_ecc133893ea92a842ee685c734246086_file_type[],2,FALSE),"")</f>
        <v>128.68049999999999</v>
      </c>
      <c r="L371" s="2">
        <f>IFERROR(VLOOKUP($A371,observations_series_id_EXJPUS_api_key_ecc133893ea92a842ee685c734246086_file_type[],3,FALSE),"")</f>
        <v>-1.782239733292923</v>
      </c>
      <c r="M371" t="str">
        <f>IFERROR(AVERAGEIFS(timeseries_access_key_fqeas14oitk235763mntlb1c0brnk9w3fenzqbk313q5kvxyf52kukw1pa[Value.LME-ZNC],timeseries_access_key_fqeas14oitk235763mntlb1c0brnk9w3fenzqbk313q5kvxyf52kukw1pa[Month],MONTH(Data!$A371),timeseries_access_key_fqeas14oitk235763mntlb1c0brnk9w3fenzqbk313q5kvxyf52kukw1pa[Year],YEAR(Data!$A371)),"")</f>
        <v/>
      </c>
      <c r="N371" s="2" t="str">
        <f>IFERROR(AVERAGEIFS(timeseries_access_key_fqeas14oitk235763mntlb1c0brnk9w3fenzqbk313q5kvxyf52kukw1pa[Column1],timeseries_access_key_fqeas14oitk235763mntlb1c0brnk9w3fenzqbk313q5kvxyf52kukw1pa[Month],MONTH(Data!$A371),timeseries_access_key_fqeas14oitk235763mntlb1c0brnk9w3fenzqbk313q5kvxyf52kukw1pa[Year],YEAR(Data!$A371)),"")</f>
        <v/>
      </c>
      <c r="O371" s="8" t="str">
        <f>IFERROR(VLOOKUP($A371,Text_1_2[[Text.1.1.3]:[Text.1.3]],2,FALSE),"")</f>
        <v/>
      </c>
      <c r="P371" s="2"/>
    </row>
    <row r="372" spans="1:16" x14ac:dyDescent="0.25">
      <c r="A372" s="1">
        <v>32448</v>
      </c>
      <c r="B372" t="str">
        <f>HLOOKUP(Dashboard!$I$27,results,ROW(A372),FALSE)</f>
        <v/>
      </c>
      <c r="C372">
        <f>IFERROR(VLOOKUP(A372,observations_series_id_PCU22112222112243_api_key_ecc133893ea92a842ee685c73424608[],2,FALSE),"")</f>
        <v>91.8</v>
      </c>
      <c r="D372" s="2">
        <f>IFERROR(VLOOKUP(A372,observations_series_id_PCU22112222112243_api_key_ecc133893ea92a842ee685c73424608[],3,FALSE),"")</f>
        <v>0.81045751633986929</v>
      </c>
      <c r="E372" t="str">
        <f>IFERROR(VLOOKUP($A372,observations_series_id_WPU0613020T_api_key_ecc133893ea92a842ee685c734246086_file[],2,FALSE),"")</f>
        <v/>
      </c>
      <c r="F372" s="2" t="str">
        <f>IFERROR(VLOOKUP($A372,observations_series_id_WPU0613020T_api_key_ecc133893ea92a842ee685c734246086_file[],3,FALSE),"")</f>
        <v/>
      </c>
      <c r="G372" t="str">
        <f>IFERROR(VLOOKUP($A372,observations_series_id_PCU22122212_api_key_ecc133893ea92a842ee685c734246086_file[],2,FALSE),"")</f>
        <v/>
      </c>
      <c r="H372" s="2" t="str">
        <f>IFERROR(VLOOKUP($A372,observations_series_id_PCU22122212_api_key_ecc133893ea92a842ee685c734246086_file[],3,FALSE),"")</f>
        <v/>
      </c>
      <c r="I372">
        <f>IFERROR(VLOOKUP($A372,observations_series_id_PCU3241913241910_api_key_ecc133893ea92a842ee685c734246086[],2,FALSE),"")</f>
        <v>123.8</v>
      </c>
      <c r="J372" s="2">
        <f>IFERROR(VLOOKUP($A372,observations_series_id_PCU3241913241910_api_key_ecc133893ea92a842ee685c734246086[],3,FALSE),"")</f>
        <v>0.58481421647819065</v>
      </c>
      <c r="K372">
        <f>IFERROR(VLOOKUP($A372,observations_series_id_EXJPUS_api_key_ecc133893ea92a842ee685c734246086_file_type[],2,FALSE),"")</f>
        <v>123.202</v>
      </c>
      <c r="L372" s="2">
        <f>IFERROR(VLOOKUP($A372,observations_series_id_EXJPUS_api_key_ecc133893ea92a842ee685c734246086_file_type[],3,FALSE),"")</f>
        <v>-1.9059593188422266</v>
      </c>
      <c r="M372" t="str">
        <f>IFERROR(AVERAGEIFS(timeseries_access_key_fqeas14oitk235763mntlb1c0brnk9w3fenzqbk313q5kvxyf52kukw1pa[Value.LME-ZNC],timeseries_access_key_fqeas14oitk235763mntlb1c0brnk9w3fenzqbk313q5kvxyf52kukw1pa[Month],MONTH(Data!$A372),timeseries_access_key_fqeas14oitk235763mntlb1c0brnk9w3fenzqbk313q5kvxyf52kukw1pa[Year],YEAR(Data!$A372)),"")</f>
        <v/>
      </c>
      <c r="N372" s="2" t="str">
        <f>IFERROR(AVERAGEIFS(timeseries_access_key_fqeas14oitk235763mntlb1c0brnk9w3fenzqbk313q5kvxyf52kukw1pa[Column1],timeseries_access_key_fqeas14oitk235763mntlb1c0brnk9w3fenzqbk313q5kvxyf52kukw1pa[Month],MONTH(Data!$A372),timeseries_access_key_fqeas14oitk235763mntlb1c0brnk9w3fenzqbk313q5kvxyf52kukw1pa[Year],YEAR(Data!$A372)),"")</f>
        <v/>
      </c>
      <c r="O372" s="8" t="str">
        <f>IFERROR(VLOOKUP($A372,Text_1_2[[Text.1.1.3]:[Text.1.3]],2,FALSE),"")</f>
        <v/>
      </c>
      <c r="P372" s="2"/>
    </row>
    <row r="373" spans="1:16" x14ac:dyDescent="0.25">
      <c r="A373" s="1">
        <v>32478</v>
      </c>
      <c r="B373" t="str">
        <f>HLOOKUP(Dashboard!$I$27,results,ROW(A373),FALSE)</f>
        <v/>
      </c>
      <c r="C373">
        <f>IFERROR(VLOOKUP(A373,observations_series_id_PCU22112222112243_api_key_ecc133893ea92a842ee685c73424608[],2,FALSE),"")</f>
        <v>92.9</v>
      </c>
      <c r="D373" s="2">
        <f>IFERROR(VLOOKUP(A373,observations_series_id_PCU22112222112243_api_key_ecc133893ea92a842ee685c73424608[],3,FALSE),"")</f>
        <v>0.81270182992465023</v>
      </c>
      <c r="E373" t="str">
        <f>IFERROR(VLOOKUP($A373,observations_series_id_WPU0613020T_api_key_ecc133893ea92a842ee685c734246086_file[],2,FALSE),"")</f>
        <v/>
      </c>
      <c r="F373" s="2" t="str">
        <f>IFERROR(VLOOKUP($A373,observations_series_id_WPU0613020T_api_key_ecc133893ea92a842ee685c734246086_file[],3,FALSE),"")</f>
        <v/>
      </c>
      <c r="G373" t="str">
        <f>IFERROR(VLOOKUP($A373,observations_series_id_PCU22122212_api_key_ecc133893ea92a842ee685c734246086_file[],2,FALSE),"")</f>
        <v/>
      </c>
      <c r="H373" s="2" t="str">
        <f>IFERROR(VLOOKUP($A373,observations_series_id_PCU22122212_api_key_ecc133893ea92a842ee685c734246086_file[],3,FALSE),"")</f>
        <v/>
      </c>
      <c r="I373">
        <f>IFERROR(VLOOKUP($A373,observations_series_id_PCU3241913241910_api_key_ecc133893ea92a842ee685c734246086[],2,FALSE),"")</f>
        <v>123.1</v>
      </c>
      <c r="J373" s="2">
        <f>IFERROR(VLOOKUP($A373,observations_series_id_PCU3241913241910_api_key_ecc133893ea92a842ee685c734246086[],3,FALSE),"")</f>
        <v>0.5824532900081234</v>
      </c>
      <c r="K373">
        <f>IFERROR(VLOOKUP($A373,observations_series_id_EXJPUS_api_key_ecc133893ea92a842ee685c734246086_file_type[],2,FALSE),"")</f>
        <v>123.60760000000001</v>
      </c>
      <c r="L373" s="2">
        <f>IFERROR(VLOOKUP($A373,observations_series_id_EXJPUS_api_key_ecc133893ea92a842ee685c734246086_file_type[],3,FALSE),"")</f>
        <v>-1.8964238444885262</v>
      </c>
      <c r="M373" t="str">
        <f>IFERROR(AVERAGEIFS(timeseries_access_key_fqeas14oitk235763mntlb1c0brnk9w3fenzqbk313q5kvxyf52kukw1pa[Value.LME-ZNC],timeseries_access_key_fqeas14oitk235763mntlb1c0brnk9w3fenzqbk313q5kvxyf52kukw1pa[Month],MONTH(Data!$A373),timeseries_access_key_fqeas14oitk235763mntlb1c0brnk9w3fenzqbk313q5kvxyf52kukw1pa[Year],YEAR(Data!$A373)),"")</f>
        <v/>
      </c>
      <c r="N373" s="2" t="str">
        <f>IFERROR(AVERAGEIFS(timeseries_access_key_fqeas14oitk235763mntlb1c0brnk9w3fenzqbk313q5kvxyf52kukw1pa[Column1],timeseries_access_key_fqeas14oitk235763mntlb1c0brnk9w3fenzqbk313q5kvxyf52kukw1pa[Month],MONTH(Data!$A373),timeseries_access_key_fqeas14oitk235763mntlb1c0brnk9w3fenzqbk313q5kvxyf52kukw1pa[Year],YEAR(Data!$A373)),"")</f>
        <v/>
      </c>
      <c r="O373" s="8" t="str">
        <f>IFERROR(VLOOKUP($A373,Text_1_2[[Text.1.1.3]:[Text.1.3]],2,FALSE),"")</f>
        <v/>
      </c>
      <c r="P373" s="2"/>
    </row>
    <row r="374" spans="1:16" x14ac:dyDescent="0.25">
      <c r="A374" s="1">
        <v>32509</v>
      </c>
      <c r="B374" t="str">
        <f>HLOOKUP(Dashboard!$I$27,results,ROW(A374),FALSE)</f>
        <v/>
      </c>
      <c r="C374">
        <f>IFERROR(VLOOKUP(A374,observations_series_id_PCU22112222112243_api_key_ecc133893ea92a842ee685c73424608[],2,FALSE),"")</f>
        <v>94.2</v>
      </c>
      <c r="D374" s="2">
        <f>IFERROR(VLOOKUP(A374,observations_series_id_PCU22112222112243_api_key_ecc133893ea92a842ee685c73424608[],3,FALSE),"")</f>
        <v>0.8152866242038217</v>
      </c>
      <c r="E374" t="str">
        <f>IFERROR(VLOOKUP($A374,observations_series_id_WPU0613020T_api_key_ecc133893ea92a842ee685c734246086_file[],2,FALSE),"")</f>
        <v/>
      </c>
      <c r="F374" s="2" t="str">
        <f>IFERROR(VLOOKUP($A374,observations_series_id_WPU0613020T_api_key_ecc133893ea92a842ee685c734246086_file[],3,FALSE),"")</f>
        <v/>
      </c>
      <c r="G374" t="str">
        <f>IFERROR(VLOOKUP($A374,observations_series_id_PCU22122212_api_key_ecc133893ea92a842ee685c734246086_file[],2,FALSE),"")</f>
        <v/>
      </c>
      <c r="H374" s="2" t="str">
        <f>IFERROR(VLOOKUP($A374,observations_series_id_PCU22122212_api_key_ecc133893ea92a842ee685c734246086_file[],3,FALSE),"")</f>
        <v/>
      </c>
      <c r="I374">
        <f>IFERROR(VLOOKUP($A374,observations_series_id_PCU3241913241910_api_key_ecc133893ea92a842ee685c734246086[],2,FALSE),"")</f>
        <v>123.7</v>
      </c>
      <c r="J374" s="2">
        <f>IFERROR(VLOOKUP($A374,observations_series_id_PCU3241913241910_api_key_ecc133893ea92a842ee685c734246086[],3,FALSE),"")</f>
        <v>0.5844785772029103</v>
      </c>
      <c r="K374">
        <f>IFERROR(VLOOKUP($A374,observations_series_id_EXJPUS_api_key_ecc133893ea92a842ee685c734246086_file_type[],2,FALSE),"")</f>
        <v>127.3625</v>
      </c>
      <c r="L374" s="2">
        <f>IFERROR(VLOOKUP($A374,observations_series_id_EXJPUS_api_key_ecc133893ea92a842ee685c734246086_file_type[],3,FALSE),"")</f>
        <v>-1.8110315045637453</v>
      </c>
      <c r="M374" t="str">
        <f>IFERROR(AVERAGEIFS(timeseries_access_key_fqeas14oitk235763mntlb1c0brnk9w3fenzqbk313q5kvxyf52kukw1pa[Value.LME-ZNC],timeseries_access_key_fqeas14oitk235763mntlb1c0brnk9w3fenzqbk313q5kvxyf52kukw1pa[Month],MONTH(Data!$A374),timeseries_access_key_fqeas14oitk235763mntlb1c0brnk9w3fenzqbk313q5kvxyf52kukw1pa[Year],YEAR(Data!$A374)),"")</f>
        <v/>
      </c>
      <c r="N374" s="2" t="str">
        <f>IFERROR(AVERAGEIFS(timeseries_access_key_fqeas14oitk235763mntlb1c0brnk9w3fenzqbk313q5kvxyf52kukw1pa[Column1],timeseries_access_key_fqeas14oitk235763mntlb1c0brnk9w3fenzqbk313q5kvxyf52kukw1pa[Month],MONTH(Data!$A374),timeseries_access_key_fqeas14oitk235763mntlb1c0brnk9w3fenzqbk313q5kvxyf52kukw1pa[Year],YEAR(Data!$A374)),"")</f>
        <v/>
      </c>
      <c r="O374" s="8" t="str">
        <f>IFERROR(VLOOKUP($A374,Text_1_2[[Text.1.1.3]:[Text.1.3]],2,FALSE),"")</f>
        <v/>
      </c>
      <c r="P374" s="2"/>
    </row>
    <row r="375" spans="1:16" x14ac:dyDescent="0.25">
      <c r="A375" s="1">
        <v>32540</v>
      </c>
      <c r="B375" t="str">
        <f>HLOOKUP(Dashboard!$I$27,results,ROW(A375),FALSE)</f>
        <v/>
      </c>
      <c r="C375">
        <f>IFERROR(VLOOKUP(A375,observations_series_id_PCU22112222112243_api_key_ecc133893ea92a842ee685c73424608[],2,FALSE),"")</f>
        <v>94.2</v>
      </c>
      <c r="D375" s="2">
        <f>IFERROR(VLOOKUP(A375,observations_series_id_PCU22112222112243_api_key_ecc133893ea92a842ee685c73424608[],3,FALSE),"")</f>
        <v>0.8152866242038217</v>
      </c>
      <c r="E375" t="str">
        <f>IFERROR(VLOOKUP($A375,observations_series_id_WPU0613020T_api_key_ecc133893ea92a842ee685c734246086_file[],2,FALSE),"")</f>
        <v/>
      </c>
      <c r="F375" s="2" t="str">
        <f>IFERROR(VLOOKUP($A375,observations_series_id_WPU0613020T_api_key_ecc133893ea92a842ee685c734246086_file[],3,FALSE),"")</f>
        <v/>
      </c>
      <c r="G375" t="str">
        <f>IFERROR(VLOOKUP($A375,observations_series_id_PCU22122212_api_key_ecc133893ea92a842ee685c734246086_file[],2,FALSE),"")</f>
        <v/>
      </c>
      <c r="H375" s="2" t="str">
        <f>IFERROR(VLOOKUP($A375,observations_series_id_PCU22122212_api_key_ecc133893ea92a842ee685c734246086_file[],3,FALSE),"")</f>
        <v/>
      </c>
      <c r="I375">
        <f>IFERROR(VLOOKUP($A375,observations_series_id_PCU3241913241910_api_key_ecc133893ea92a842ee685c734246086[],2,FALSE),"")</f>
        <v>123.5</v>
      </c>
      <c r="J375" s="2">
        <f>IFERROR(VLOOKUP($A375,observations_series_id_PCU3241913241910_api_key_ecc133893ea92a842ee685c734246086[],3,FALSE),"")</f>
        <v>0.58380566801619427</v>
      </c>
      <c r="K375">
        <f>IFERROR(VLOOKUP($A375,observations_series_id_EXJPUS_api_key_ecc133893ea92a842ee685c734246086_file_type[],2,FALSE),"")</f>
        <v>127.73739999999999</v>
      </c>
      <c r="L375" s="2">
        <f>IFERROR(VLOOKUP($A375,observations_series_id_EXJPUS_api_key_ecc133893ea92a842ee685c734246086_file_type[],3,FALSE),"")</f>
        <v>-1.8027813310745326</v>
      </c>
      <c r="M375" t="str">
        <f>IFERROR(AVERAGEIFS(timeseries_access_key_fqeas14oitk235763mntlb1c0brnk9w3fenzqbk313q5kvxyf52kukw1pa[Value.LME-ZNC],timeseries_access_key_fqeas14oitk235763mntlb1c0brnk9w3fenzqbk313q5kvxyf52kukw1pa[Month],MONTH(Data!$A375),timeseries_access_key_fqeas14oitk235763mntlb1c0brnk9w3fenzqbk313q5kvxyf52kukw1pa[Year],YEAR(Data!$A375)),"")</f>
        <v/>
      </c>
      <c r="N375" s="2" t="str">
        <f>IFERROR(AVERAGEIFS(timeseries_access_key_fqeas14oitk235763mntlb1c0brnk9w3fenzqbk313q5kvxyf52kukw1pa[Column1],timeseries_access_key_fqeas14oitk235763mntlb1c0brnk9w3fenzqbk313q5kvxyf52kukw1pa[Month],MONTH(Data!$A375),timeseries_access_key_fqeas14oitk235763mntlb1c0brnk9w3fenzqbk313q5kvxyf52kukw1pa[Year],YEAR(Data!$A375)),"")</f>
        <v/>
      </c>
      <c r="O375" s="8" t="str">
        <f>IFERROR(VLOOKUP($A375,Text_1_2[[Text.1.1.3]:[Text.1.3]],2,FALSE),"")</f>
        <v/>
      </c>
      <c r="P375" s="2"/>
    </row>
    <row r="376" spans="1:16" x14ac:dyDescent="0.25">
      <c r="A376" s="1">
        <v>32568</v>
      </c>
      <c r="B376" t="str">
        <f>HLOOKUP(Dashboard!$I$27,results,ROW(A376),FALSE)</f>
        <v/>
      </c>
      <c r="C376">
        <f>IFERROR(VLOOKUP(A376,observations_series_id_PCU22112222112243_api_key_ecc133893ea92a842ee685c73424608[],2,FALSE),"")</f>
        <v>94.4</v>
      </c>
      <c r="D376" s="2">
        <f>IFERROR(VLOOKUP(A376,observations_series_id_PCU22112222112243_api_key_ecc133893ea92a842ee685c73424608[],3,FALSE),"")</f>
        <v>0.81567796610169496</v>
      </c>
      <c r="E376" t="str">
        <f>IFERROR(VLOOKUP($A376,observations_series_id_WPU0613020T_api_key_ecc133893ea92a842ee685c734246086_file[],2,FALSE),"")</f>
        <v/>
      </c>
      <c r="F376" s="2" t="str">
        <f>IFERROR(VLOOKUP($A376,observations_series_id_WPU0613020T_api_key_ecc133893ea92a842ee685c734246086_file[],3,FALSE),"")</f>
        <v/>
      </c>
      <c r="G376" t="str">
        <f>IFERROR(VLOOKUP($A376,observations_series_id_PCU22122212_api_key_ecc133893ea92a842ee685c734246086_file[],2,FALSE),"")</f>
        <v/>
      </c>
      <c r="H376" s="2" t="str">
        <f>IFERROR(VLOOKUP($A376,observations_series_id_PCU22122212_api_key_ecc133893ea92a842ee685c734246086_file[],3,FALSE),"")</f>
        <v/>
      </c>
      <c r="I376">
        <f>IFERROR(VLOOKUP($A376,observations_series_id_PCU3241913241910_api_key_ecc133893ea92a842ee685c734246086[],2,FALSE),"")</f>
        <v>123.8</v>
      </c>
      <c r="J376" s="2">
        <f>IFERROR(VLOOKUP($A376,observations_series_id_PCU3241913241910_api_key_ecc133893ea92a842ee685c734246086[],3,FALSE),"")</f>
        <v>0.58481421647819065</v>
      </c>
      <c r="K376">
        <f>IFERROR(VLOOKUP($A376,observations_series_id_EXJPUS_api_key_ecc133893ea92a842ee685c734246086_file_type[],2,FALSE),"")</f>
        <v>130.5504</v>
      </c>
      <c r="L376" s="2">
        <f>IFERROR(VLOOKUP($A376,observations_series_id_EXJPUS_api_key_ecc133893ea92a842ee685c734246086_file_type[],3,FALSE),"")</f>
        <v>-1.7423891462607544</v>
      </c>
      <c r="M376" t="str">
        <f>IFERROR(AVERAGEIFS(timeseries_access_key_fqeas14oitk235763mntlb1c0brnk9w3fenzqbk313q5kvxyf52kukw1pa[Value.LME-ZNC],timeseries_access_key_fqeas14oitk235763mntlb1c0brnk9w3fenzqbk313q5kvxyf52kukw1pa[Month],MONTH(Data!$A376),timeseries_access_key_fqeas14oitk235763mntlb1c0brnk9w3fenzqbk313q5kvxyf52kukw1pa[Year],YEAR(Data!$A376)),"")</f>
        <v/>
      </c>
      <c r="N376" s="2" t="str">
        <f>IFERROR(AVERAGEIFS(timeseries_access_key_fqeas14oitk235763mntlb1c0brnk9w3fenzqbk313q5kvxyf52kukw1pa[Column1],timeseries_access_key_fqeas14oitk235763mntlb1c0brnk9w3fenzqbk313q5kvxyf52kukw1pa[Month],MONTH(Data!$A376),timeseries_access_key_fqeas14oitk235763mntlb1c0brnk9w3fenzqbk313q5kvxyf52kukw1pa[Year],YEAR(Data!$A376)),"")</f>
        <v/>
      </c>
      <c r="O376" s="8" t="str">
        <f>IFERROR(VLOOKUP($A376,Text_1_2[[Text.1.1.3]:[Text.1.3]],2,FALSE),"")</f>
        <v/>
      </c>
      <c r="P376" s="2"/>
    </row>
    <row r="377" spans="1:16" x14ac:dyDescent="0.25">
      <c r="A377" s="1">
        <v>32599</v>
      </c>
      <c r="B377" t="str">
        <f>HLOOKUP(Dashboard!$I$27,results,ROW(A377),FALSE)</f>
        <v/>
      </c>
      <c r="C377">
        <f>IFERROR(VLOOKUP(A377,observations_series_id_PCU22112222112243_api_key_ecc133893ea92a842ee685c73424608[],2,FALSE),"")</f>
        <v>94.5</v>
      </c>
      <c r="D377" s="2">
        <f>IFERROR(VLOOKUP(A377,observations_series_id_PCU22112222112243_api_key_ecc133893ea92a842ee685c73424608[],3,FALSE),"")</f>
        <v>0.81587301587301586</v>
      </c>
      <c r="E377" t="str">
        <f>IFERROR(VLOOKUP($A377,observations_series_id_WPU0613020T_api_key_ecc133893ea92a842ee685c734246086_file[],2,FALSE),"")</f>
        <v/>
      </c>
      <c r="F377" s="2" t="str">
        <f>IFERROR(VLOOKUP($A377,observations_series_id_WPU0613020T_api_key_ecc133893ea92a842ee685c734246086_file[],3,FALSE),"")</f>
        <v/>
      </c>
      <c r="G377" t="str">
        <f>IFERROR(VLOOKUP($A377,observations_series_id_PCU22122212_api_key_ecc133893ea92a842ee685c734246086_file[],2,FALSE),"")</f>
        <v/>
      </c>
      <c r="H377" s="2" t="str">
        <f>IFERROR(VLOOKUP($A377,observations_series_id_PCU22122212_api_key_ecc133893ea92a842ee685c734246086_file[],3,FALSE),"")</f>
        <v/>
      </c>
      <c r="I377">
        <f>IFERROR(VLOOKUP($A377,observations_series_id_PCU3241913241910_api_key_ecc133893ea92a842ee685c734246086[],2,FALSE),"")</f>
        <v>124.6</v>
      </c>
      <c r="J377" s="2">
        <f>IFERROR(VLOOKUP($A377,observations_series_id_PCU3241913241910_api_key_ecc133893ea92a842ee685c734246086[],3,FALSE),"")</f>
        <v>0.58747993579454261</v>
      </c>
      <c r="K377">
        <f>IFERROR(VLOOKUP($A377,observations_series_id_EXJPUS_api_key_ecc133893ea92a842ee685c734246086_file_type[],2,FALSE),"")</f>
        <v>132.03649999999999</v>
      </c>
      <c r="L377" s="2">
        <f>IFERROR(VLOOKUP($A377,observations_series_id_EXJPUS_api_key_ecc133893ea92a842ee685c734246086_file_type[],3,FALSE),"")</f>
        <v>-1.7115229500933453</v>
      </c>
      <c r="M377" t="str">
        <f>IFERROR(AVERAGEIFS(timeseries_access_key_fqeas14oitk235763mntlb1c0brnk9w3fenzqbk313q5kvxyf52kukw1pa[Value.LME-ZNC],timeseries_access_key_fqeas14oitk235763mntlb1c0brnk9w3fenzqbk313q5kvxyf52kukw1pa[Month],MONTH(Data!$A377),timeseries_access_key_fqeas14oitk235763mntlb1c0brnk9w3fenzqbk313q5kvxyf52kukw1pa[Year],YEAR(Data!$A377)),"")</f>
        <v/>
      </c>
      <c r="N377" s="2" t="str">
        <f>IFERROR(AVERAGEIFS(timeseries_access_key_fqeas14oitk235763mntlb1c0brnk9w3fenzqbk313q5kvxyf52kukw1pa[Column1],timeseries_access_key_fqeas14oitk235763mntlb1c0brnk9w3fenzqbk313q5kvxyf52kukw1pa[Month],MONTH(Data!$A377),timeseries_access_key_fqeas14oitk235763mntlb1c0brnk9w3fenzqbk313q5kvxyf52kukw1pa[Year],YEAR(Data!$A377)),"")</f>
        <v/>
      </c>
      <c r="O377" s="8" t="str">
        <f>IFERROR(VLOOKUP($A377,Text_1_2[[Text.1.1.3]:[Text.1.3]],2,FALSE),"")</f>
        <v/>
      </c>
      <c r="P377" s="2"/>
    </row>
    <row r="378" spans="1:16" x14ac:dyDescent="0.25">
      <c r="A378" s="1">
        <v>32629</v>
      </c>
      <c r="B378" t="str">
        <f>HLOOKUP(Dashboard!$I$27,results,ROW(A378),FALSE)</f>
        <v/>
      </c>
      <c r="C378">
        <f>IFERROR(VLOOKUP(A378,observations_series_id_PCU22112222112243_api_key_ecc133893ea92a842ee685c73424608[],2,FALSE),"")</f>
        <v>95.5</v>
      </c>
      <c r="D378" s="2">
        <f>IFERROR(VLOOKUP(A378,observations_series_id_PCU22112222112243_api_key_ecc133893ea92a842ee685c73424608[],3,FALSE),"")</f>
        <v>0.8178010471204189</v>
      </c>
      <c r="E378" t="str">
        <f>IFERROR(VLOOKUP($A378,observations_series_id_WPU0613020T_api_key_ecc133893ea92a842ee685c734246086_file[],2,FALSE),"")</f>
        <v/>
      </c>
      <c r="F378" s="2" t="str">
        <f>IFERROR(VLOOKUP($A378,observations_series_id_WPU0613020T_api_key_ecc133893ea92a842ee685c734246086_file[],3,FALSE),"")</f>
        <v/>
      </c>
      <c r="G378" t="str">
        <f>IFERROR(VLOOKUP($A378,observations_series_id_PCU22122212_api_key_ecc133893ea92a842ee685c734246086_file[],2,FALSE),"")</f>
        <v/>
      </c>
      <c r="H378" s="2" t="str">
        <f>IFERROR(VLOOKUP($A378,observations_series_id_PCU22122212_api_key_ecc133893ea92a842ee685c734246086_file[],3,FALSE),"")</f>
        <v/>
      </c>
      <c r="I378">
        <f>IFERROR(VLOOKUP($A378,observations_series_id_PCU3241913241910_api_key_ecc133893ea92a842ee685c734246086[],2,FALSE),"")</f>
        <v>126</v>
      </c>
      <c r="J378" s="2">
        <f>IFERROR(VLOOKUP($A378,observations_series_id_PCU3241913241910_api_key_ecc133893ea92a842ee685c734246086[],3,FALSE),"")</f>
        <v>0.59206349206349207</v>
      </c>
      <c r="K378">
        <f>IFERROR(VLOOKUP($A378,observations_series_id_EXJPUS_api_key_ecc133893ea92a842ee685c734246086_file_type[],2,FALSE),"")</f>
        <v>137.86359999999999</v>
      </c>
      <c r="L378" s="2">
        <f>IFERROR(VLOOKUP($A378,observations_series_id_EXJPUS_api_key_ecc133893ea92a842ee685c734246086_file_type[],3,FALSE),"")</f>
        <v>-1.5969146315633713</v>
      </c>
      <c r="M378" t="str">
        <f>IFERROR(AVERAGEIFS(timeseries_access_key_fqeas14oitk235763mntlb1c0brnk9w3fenzqbk313q5kvxyf52kukw1pa[Value.LME-ZNC],timeseries_access_key_fqeas14oitk235763mntlb1c0brnk9w3fenzqbk313q5kvxyf52kukw1pa[Month],MONTH(Data!$A378),timeseries_access_key_fqeas14oitk235763mntlb1c0brnk9w3fenzqbk313q5kvxyf52kukw1pa[Year],YEAR(Data!$A378)),"")</f>
        <v/>
      </c>
      <c r="N378" s="2" t="str">
        <f>IFERROR(AVERAGEIFS(timeseries_access_key_fqeas14oitk235763mntlb1c0brnk9w3fenzqbk313q5kvxyf52kukw1pa[Column1],timeseries_access_key_fqeas14oitk235763mntlb1c0brnk9w3fenzqbk313q5kvxyf52kukw1pa[Month],MONTH(Data!$A378),timeseries_access_key_fqeas14oitk235763mntlb1c0brnk9w3fenzqbk313q5kvxyf52kukw1pa[Year],YEAR(Data!$A378)),"")</f>
        <v/>
      </c>
      <c r="O378" s="8" t="str">
        <f>IFERROR(VLOOKUP($A378,Text_1_2[[Text.1.1.3]:[Text.1.3]],2,FALSE),"")</f>
        <v/>
      </c>
      <c r="P378" s="2"/>
    </row>
    <row r="379" spans="1:16" x14ac:dyDescent="0.25">
      <c r="A379" s="1">
        <v>32660</v>
      </c>
      <c r="B379" t="str">
        <f>HLOOKUP(Dashboard!$I$27,results,ROW(A379),FALSE)</f>
        <v/>
      </c>
      <c r="C379">
        <f>IFERROR(VLOOKUP(A379,observations_series_id_PCU22112222112243_api_key_ecc133893ea92a842ee685c73424608[],2,FALSE),"")</f>
        <v>100.7</v>
      </c>
      <c r="D379" s="2">
        <f>IFERROR(VLOOKUP(A379,observations_series_id_PCU22112222112243_api_key_ecc133893ea92a842ee685c73424608[],3,FALSE),"")</f>
        <v>0.82720953326713009</v>
      </c>
      <c r="E379" t="str">
        <f>IFERROR(VLOOKUP($A379,observations_series_id_WPU0613020T_api_key_ecc133893ea92a842ee685c734246086_file[],2,FALSE),"")</f>
        <v/>
      </c>
      <c r="F379" s="2" t="str">
        <f>IFERROR(VLOOKUP($A379,observations_series_id_WPU0613020T_api_key_ecc133893ea92a842ee685c734246086_file[],3,FALSE),"")</f>
        <v/>
      </c>
      <c r="G379" t="str">
        <f>IFERROR(VLOOKUP($A379,observations_series_id_PCU22122212_api_key_ecc133893ea92a842ee685c734246086_file[],2,FALSE),"")</f>
        <v/>
      </c>
      <c r="H379" s="2" t="str">
        <f>IFERROR(VLOOKUP($A379,observations_series_id_PCU22122212_api_key_ecc133893ea92a842ee685c734246086_file[],3,FALSE),"")</f>
        <v/>
      </c>
      <c r="I379">
        <f>IFERROR(VLOOKUP($A379,observations_series_id_PCU3241913241910_api_key_ecc133893ea92a842ee685c734246086[],2,FALSE),"")</f>
        <v>126.9</v>
      </c>
      <c r="J379" s="2">
        <f>IFERROR(VLOOKUP($A379,observations_series_id_PCU3241913241910_api_key_ecc133893ea92a842ee685c734246086[],3,FALSE),"")</f>
        <v>0.5949566587864461</v>
      </c>
      <c r="K379">
        <f>IFERROR(VLOOKUP($A379,observations_series_id_EXJPUS_api_key_ecc133893ea92a842ee685c734246086_file_type[],2,FALSE),"")</f>
        <v>143.98089999999999</v>
      </c>
      <c r="L379" s="2">
        <f>IFERROR(VLOOKUP($A379,observations_series_id_EXJPUS_api_key_ecc133893ea92a842ee685c734246086_file_type[],3,FALSE),"")</f>
        <v>-1.4865798171840847</v>
      </c>
      <c r="M379" t="str">
        <f>IFERROR(AVERAGEIFS(timeseries_access_key_fqeas14oitk235763mntlb1c0brnk9w3fenzqbk313q5kvxyf52kukw1pa[Value.LME-ZNC],timeseries_access_key_fqeas14oitk235763mntlb1c0brnk9w3fenzqbk313q5kvxyf52kukw1pa[Month],MONTH(Data!$A379),timeseries_access_key_fqeas14oitk235763mntlb1c0brnk9w3fenzqbk313q5kvxyf52kukw1pa[Year],YEAR(Data!$A379)),"")</f>
        <v/>
      </c>
      <c r="N379" s="2" t="str">
        <f>IFERROR(AVERAGEIFS(timeseries_access_key_fqeas14oitk235763mntlb1c0brnk9w3fenzqbk313q5kvxyf52kukw1pa[Column1],timeseries_access_key_fqeas14oitk235763mntlb1c0brnk9w3fenzqbk313q5kvxyf52kukw1pa[Month],MONTH(Data!$A379),timeseries_access_key_fqeas14oitk235763mntlb1c0brnk9w3fenzqbk313q5kvxyf52kukw1pa[Year],YEAR(Data!$A379)),"")</f>
        <v/>
      </c>
      <c r="O379" s="8" t="str">
        <f>IFERROR(VLOOKUP($A379,Text_1_2[[Text.1.1.3]:[Text.1.3]],2,FALSE),"")</f>
        <v/>
      </c>
      <c r="P379" s="2"/>
    </row>
    <row r="380" spans="1:16" x14ac:dyDescent="0.25">
      <c r="A380" s="1">
        <v>32690</v>
      </c>
      <c r="B380" t="str">
        <f>HLOOKUP(Dashboard!$I$27,results,ROW(A380),FALSE)</f>
        <v/>
      </c>
      <c r="C380">
        <f>IFERROR(VLOOKUP(A380,observations_series_id_PCU22112222112243_api_key_ecc133893ea92a842ee685c73424608[],2,FALSE),"")</f>
        <v>102.8</v>
      </c>
      <c r="D380" s="2">
        <f>IFERROR(VLOOKUP(A380,observations_series_id_PCU22112222112243_api_key_ecc133893ea92a842ee685c73424608[],3,FALSE),"")</f>
        <v>0.83073929961089499</v>
      </c>
      <c r="E380" t="str">
        <f>IFERROR(VLOOKUP($A380,observations_series_id_WPU0613020T_api_key_ecc133893ea92a842ee685c734246086_file[],2,FALSE),"")</f>
        <v/>
      </c>
      <c r="F380" s="2" t="str">
        <f>IFERROR(VLOOKUP($A380,observations_series_id_WPU0613020T_api_key_ecc133893ea92a842ee685c734246086_file[],3,FALSE),"")</f>
        <v/>
      </c>
      <c r="G380" t="str">
        <f>IFERROR(VLOOKUP($A380,observations_series_id_PCU22122212_api_key_ecc133893ea92a842ee685c734246086_file[],2,FALSE),"")</f>
        <v/>
      </c>
      <c r="H380" s="2" t="str">
        <f>IFERROR(VLOOKUP($A380,observations_series_id_PCU22122212_api_key_ecc133893ea92a842ee685c734246086_file[],3,FALSE),"")</f>
        <v/>
      </c>
      <c r="I380">
        <f>IFERROR(VLOOKUP($A380,observations_series_id_PCU3241913241910_api_key_ecc133893ea92a842ee685c734246086[],2,FALSE),"")</f>
        <v>127.2</v>
      </c>
      <c r="J380" s="2">
        <f>IFERROR(VLOOKUP($A380,observations_series_id_PCU3241913241910_api_key_ecc133893ea92a842ee685c734246086[],3,FALSE),"")</f>
        <v>0.59591194968553463</v>
      </c>
      <c r="K380">
        <f>IFERROR(VLOOKUP($A380,observations_series_id_EXJPUS_api_key_ecc133893ea92a842ee685c734246086_file_type[],2,FALSE),"")</f>
        <v>140.42400000000001</v>
      </c>
      <c r="L380" s="2">
        <f>IFERROR(VLOOKUP($A380,observations_series_id_EXJPUS_api_key_ecc133893ea92a842ee685c734246086_file_type[],3,FALSE),"")</f>
        <v>-1.5495641770637496</v>
      </c>
      <c r="M380" t="str">
        <f>IFERROR(AVERAGEIFS(timeseries_access_key_fqeas14oitk235763mntlb1c0brnk9w3fenzqbk313q5kvxyf52kukw1pa[Value.LME-ZNC],timeseries_access_key_fqeas14oitk235763mntlb1c0brnk9w3fenzqbk313q5kvxyf52kukw1pa[Month],MONTH(Data!$A380),timeseries_access_key_fqeas14oitk235763mntlb1c0brnk9w3fenzqbk313q5kvxyf52kukw1pa[Year],YEAR(Data!$A380)),"")</f>
        <v/>
      </c>
      <c r="N380" s="2" t="str">
        <f>IFERROR(AVERAGEIFS(timeseries_access_key_fqeas14oitk235763mntlb1c0brnk9w3fenzqbk313q5kvxyf52kukw1pa[Column1],timeseries_access_key_fqeas14oitk235763mntlb1c0brnk9w3fenzqbk313q5kvxyf52kukw1pa[Month],MONTH(Data!$A380),timeseries_access_key_fqeas14oitk235763mntlb1c0brnk9w3fenzqbk313q5kvxyf52kukw1pa[Year],YEAR(Data!$A380)),"")</f>
        <v/>
      </c>
      <c r="O380" s="8" t="str">
        <f>IFERROR(VLOOKUP($A380,Text_1_2[[Text.1.1.3]:[Text.1.3]],2,FALSE),"")</f>
        <v/>
      </c>
      <c r="P380" s="2"/>
    </row>
    <row r="381" spans="1:16" x14ac:dyDescent="0.25">
      <c r="A381" s="1">
        <v>32721</v>
      </c>
      <c r="B381" t="str">
        <f>HLOOKUP(Dashboard!$I$27,results,ROW(A381),FALSE)</f>
        <v/>
      </c>
      <c r="C381">
        <f>IFERROR(VLOOKUP(A381,observations_series_id_PCU22112222112243_api_key_ecc133893ea92a842ee685c73424608[],2,FALSE),"")</f>
        <v>102.9</v>
      </c>
      <c r="D381" s="2">
        <f>IFERROR(VLOOKUP(A381,observations_series_id_PCU22112222112243_api_key_ecc133893ea92a842ee685c73424608[],3,FALSE),"")</f>
        <v>0.83090379008746362</v>
      </c>
      <c r="E381" t="str">
        <f>IFERROR(VLOOKUP($A381,observations_series_id_WPU0613020T_api_key_ecc133893ea92a842ee685c734246086_file[],2,FALSE),"")</f>
        <v/>
      </c>
      <c r="F381" s="2" t="str">
        <f>IFERROR(VLOOKUP($A381,observations_series_id_WPU0613020T_api_key_ecc133893ea92a842ee685c734246086_file[],3,FALSE),"")</f>
        <v/>
      </c>
      <c r="G381" t="str">
        <f>IFERROR(VLOOKUP($A381,observations_series_id_PCU22122212_api_key_ecc133893ea92a842ee685c734246086_file[],2,FALSE),"")</f>
        <v/>
      </c>
      <c r="H381" s="2" t="str">
        <f>IFERROR(VLOOKUP($A381,observations_series_id_PCU22122212_api_key_ecc133893ea92a842ee685c734246086_file[],3,FALSE),"")</f>
        <v/>
      </c>
      <c r="I381">
        <f>IFERROR(VLOOKUP($A381,observations_series_id_PCU3241913241910_api_key_ecc133893ea92a842ee685c734246086[],2,FALSE),"")</f>
        <v>127.3</v>
      </c>
      <c r="J381" s="2">
        <f>IFERROR(VLOOKUP($A381,observations_series_id_PCU3241913241910_api_key_ecc133893ea92a842ee685c734246086[],3,FALSE),"")</f>
        <v>0.59622937941869592</v>
      </c>
      <c r="K381">
        <f>IFERROR(VLOOKUP($A381,observations_series_id_EXJPUS_api_key_ecc133893ea92a842ee685c734246086_file_type[],2,FALSE),"")</f>
        <v>141.48519999999999</v>
      </c>
      <c r="L381" s="2">
        <f>IFERROR(VLOOKUP($A381,observations_series_id_EXJPUS_api_key_ecc133893ea92a842ee685c734246086_file_type[],3,FALSE),"")</f>
        <v>-1.5304413465153952</v>
      </c>
      <c r="M381" t="str">
        <f>IFERROR(AVERAGEIFS(timeseries_access_key_fqeas14oitk235763mntlb1c0brnk9w3fenzqbk313q5kvxyf52kukw1pa[Value.LME-ZNC],timeseries_access_key_fqeas14oitk235763mntlb1c0brnk9w3fenzqbk313q5kvxyf52kukw1pa[Month],MONTH(Data!$A381),timeseries_access_key_fqeas14oitk235763mntlb1c0brnk9w3fenzqbk313q5kvxyf52kukw1pa[Year],YEAR(Data!$A381)),"")</f>
        <v/>
      </c>
      <c r="N381" s="2" t="str">
        <f>IFERROR(AVERAGEIFS(timeseries_access_key_fqeas14oitk235763mntlb1c0brnk9w3fenzqbk313q5kvxyf52kukw1pa[Column1],timeseries_access_key_fqeas14oitk235763mntlb1c0brnk9w3fenzqbk313q5kvxyf52kukw1pa[Month],MONTH(Data!$A381),timeseries_access_key_fqeas14oitk235763mntlb1c0brnk9w3fenzqbk313q5kvxyf52kukw1pa[Year],YEAR(Data!$A381)),"")</f>
        <v/>
      </c>
      <c r="O381" s="8" t="str">
        <f>IFERROR(VLOOKUP($A381,Text_1_2[[Text.1.1.3]:[Text.1.3]],2,FALSE),"")</f>
        <v/>
      </c>
      <c r="P381" s="2"/>
    </row>
    <row r="382" spans="1:16" x14ac:dyDescent="0.25">
      <c r="A382" s="1">
        <v>32752</v>
      </c>
      <c r="B382" t="str">
        <f>HLOOKUP(Dashboard!$I$27,results,ROW(A382),FALSE)</f>
        <v/>
      </c>
      <c r="C382">
        <f>IFERROR(VLOOKUP(A382,observations_series_id_PCU22112222112243_api_key_ecc133893ea92a842ee685c73424608[],2,FALSE),"")</f>
        <v>103</v>
      </c>
      <c r="D382" s="2">
        <f>IFERROR(VLOOKUP(A382,observations_series_id_PCU22112222112243_api_key_ecc133893ea92a842ee685c73424608[],3,FALSE),"")</f>
        <v>0.83106796116504855</v>
      </c>
      <c r="E382" t="str">
        <f>IFERROR(VLOOKUP($A382,observations_series_id_WPU0613020T_api_key_ecc133893ea92a842ee685c734246086_file[],2,FALSE),"")</f>
        <v/>
      </c>
      <c r="F382" s="2" t="str">
        <f>IFERROR(VLOOKUP($A382,observations_series_id_WPU0613020T_api_key_ecc133893ea92a842ee685c734246086_file[],3,FALSE),"")</f>
        <v/>
      </c>
      <c r="G382" t="str">
        <f>IFERROR(VLOOKUP($A382,observations_series_id_PCU22122212_api_key_ecc133893ea92a842ee685c734246086_file[],2,FALSE),"")</f>
        <v/>
      </c>
      <c r="H382" s="2" t="str">
        <f>IFERROR(VLOOKUP($A382,observations_series_id_PCU22122212_api_key_ecc133893ea92a842ee685c734246086_file[],3,FALSE),"")</f>
        <v/>
      </c>
      <c r="I382">
        <f>IFERROR(VLOOKUP($A382,observations_series_id_PCU3241913241910_api_key_ecc133893ea92a842ee685c734246086[],2,FALSE),"")</f>
        <v>127.9</v>
      </c>
      <c r="J382" s="2">
        <f>IFERROR(VLOOKUP($A382,observations_series_id_PCU3241913241910_api_key_ecc133893ea92a842ee685c734246086[],3,FALSE),"")</f>
        <v>0.59812353401094609</v>
      </c>
      <c r="K382">
        <f>IFERROR(VLOOKUP($A382,observations_series_id_EXJPUS_api_key_ecc133893ea92a842ee685c734246086_file_type[],2,FALSE),"")</f>
        <v>145.07</v>
      </c>
      <c r="L382" s="2">
        <f>IFERROR(VLOOKUP($A382,observations_series_id_EXJPUS_api_key_ecc133893ea92a842ee685c734246086_file_type[],3,FALSE),"")</f>
        <v>-1.4679120424622596</v>
      </c>
      <c r="M382" t="str">
        <f>IFERROR(AVERAGEIFS(timeseries_access_key_fqeas14oitk235763mntlb1c0brnk9w3fenzqbk313q5kvxyf52kukw1pa[Value.LME-ZNC],timeseries_access_key_fqeas14oitk235763mntlb1c0brnk9w3fenzqbk313q5kvxyf52kukw1pa[Month],MONTH(Data!$A382),timeseries_access_key_fqeas14oitk235763mntlb1c0brnk9w3fenzqbk313q5kvxyf52kukw1pa[Year],YEAR(Data!$A382)),"")</f>
        <v/>
      </c>
      <c r="N382" s="2" t="str">
        <f>IFERROR(AVERAGEIFS(timeseries_access_key_fqeas14oitk235763mntlb1c0brnk9w3fenzqbk313q5kvxyf52kukw1pa[Column1],timeseries_access_key_fqeas14oitk235763mntlb1c0brnk9w3fenzqbk313q5kvxyf52kukw1pa[Month],MONTH(Data!$A382),timeseries_access_key_fqeas14oitk235763mntlb1c0brnk9w3fenzqbk313q5kvxyf52kukw1pa[Year],YEAR(Data!$A382)),"")</f>
        <v/>
      </c>
      <c r="O382" s="8" t="str">
        <f>IFERROR(VLOOKUP($A382,Text_1_2[[Text.1.1.3]:[Text.1.3]],2,FALSE),"")</f>
        <v/>
      </c>
      <c r="P382" s="2"/>
    </row>
    <row r="383" spans="1:16" x14ac:dyDescent="0.25">
      <c r="A383" s="1">
        <v>32782</v>
      </c>
      <c r="B383" t="str">
        <f>HLOOKUP(Dashboard!$I$27,results,ROW(A383),FALSE)</f>
        <v/>
      </c>
      <c r="C383">
        <f>IFERROR(VLOOKUP(A383,observations_series_id_PCU22112222112243_api_key_ecc133893ea92a842ee685c73424608[],2,FALSE),"")</f>
        <v>98.5</v>
      </c>
      <c r="D383" s="2">
        <f>IFERROR(VLOOKUP(A383,observations_series_id_PCU22112222112243_api_key_ecc133893ea92a842ee685c73424608[],3,FALSE),"")</f>
        <v>0.82335025380710658</v>
      </c>
      <c r="E383" t="str">
        <f>IFERROR(VLOOKUP($A383,observations_series_id_WPU0613020T_api_key_ecc133893ea92a842ee685c734246086_file[],2,FALSE),"")</f>
        <v/>
      </c>
      <c r="F383" s="2" t="str">
        <f>IFERROR(VLOOKUP($A383,observations_series_id_WPU0613020T_api_key_ecc133893ea92a842ee685c734246086_file[],3,FALSE),"")</f>
        <v/>
      </c>
      <c r="G383" t="str">
        <f>IFERROR(VLOOKUP($A383,observations_series_id_PCU22122212_api_key_ecc133893ea92a842ee685c734246086_file[],2,FALSE),"")</f>
        <v/>
      </c>
      <c r="H383" s="2" t="str">
        <f>IFERROR(VLOOKUP($A383,observations_series_id_PCU22122212_api_key_ecc133893ea92a842ee685c734246086_file[],3,FALSE),"")</f>
        <v/>
      </c>
      <c r="I383">
        <f>IFERROR(VLOOKUP($A383,observations_series_id_PCU3241913241910_api_key_ecc133893ea92a842ee685c734246086[],2,FALSE),"")</f>
        <v>128.1</v>
      </c>
      <c r="J383" s="2">
        <f>IFERROR(VLOOKUP($A383,observations_series_id_PCU3241913241910_api_key_ecc133893ea92a842ee685c734246086[],3,FALSE),"")</f>
        <v>0.59875097580015613</v>
      </c>
      <c r="K383">
        <f>IFERROR(VLOOKUP($A383,observations_series_id_EXJPUS_api_key_ecc133893ea92a842ee685c734246086_file_type[],2,FALSE),"")</f>
        <v>142.20670000000001</v>
      </c>
      <c r="L383" s="2">
        <f>IFERROR(VLOOKUP($A383,observations_series_id_EXJPUS_api_key_ecc133893ea92a842ee685c734246086_file_type[],3,FALSE),"")</f>
        <v>-1.5176028977537621</v>
      </c>
      <c r="M383" t="str">
        <f>IFERROR(AVERAGEIFS(timeseries_access_key_fqeas14oitk235763mntlb1c0brnk9w3fenzqbk313q5kvxyf52kukw1pa[Value.LME-ZNC],timeseries_access_key_fqeas14oitk235763mntlb1c0brnk9w3fenzqbk313q5kvxyf52kukw1pa[Month],MONTH(Data!$A383),timeseries_access_key_fqeas14oitk235763mntlb1c0brnk9w3fenzqbk313q5kvxyf52kukw1pa[Year],YEAR(Data!$A383)),"")</f>
        <v/>
      </c>
      <c r="N383" s="2" t="str">
        <f>IFERROR(AVERAGEIFS(timeseries_access_key_fqeas14oitk235763mntlb1c0brnk9w3fenzqbk313q5kvxyf52kukw1pa[Column1],timeseries_access_key_fqeas14oitk235763mntlb1c0brnk9w3fenzqbk313q5kvxyf52kukw1pa[Month],MONTH(Data!$A383),timeseries_access_key_fqeas14oitk235763mntlb1c0brnk9w3fenzqbk313q5kvxyf52kukw1pa[Year],YEAR(Data!$A383)),"")</f>
        <v/>
      </c>
      <c r="O383" s="8" t="str">
        <f>IFERROR(VLOOKUP($A383,Text_1_2[[Text.1.1.3]:[Text.1.3]],2,FALSE),"")</f>
        <v/>
      </c>
      <c r="P383" s="2"/>
    </row>
    <row r="384" spans="1:16" x14ac:dyDescent="0.25">
      <c r="A384" s="1">
        <v>32813</v>
      </c>
      <c r="B384" t="str">
        <f>HLOOKUP(Dashboard!$I$27,results,ROW(A384),FALSE)</f>
        <v/>
      </c>
      <c r="C384">
        <f>IFERROR(VLOOKUP(A384,observations_series_id_PCU22112222112243_api_key_ecc133893ea92a842ee685c73424608[],2,FALSE),"")</f>
        <v>95.4</v>
      </c>
      <c r="D384" s="2">
        <f>IFERROR(VLOOKUP(A384,observations_series_id_PCU22112222112243_api_key_ecc133893ea92a842ee685c73424608[],3,FALSE),"")</f>
        <v>0.8176100628930818</v>
      </c>
      <c r="E384" t="str">
        <f>IFERROR(VLOOKUP($A384,observations_series_id_WPU0613020T_api_key_ecc133893ea92a842ee685c734246086_file[],2,FALSE),"")</f>
        <v/>
      </c>
      <c r="F384" s="2" t="str">
        <f>IFERROR(VLOOKUP($A384,observations_series_id_WPU0613020T_api_key_ecc133893ea92a842ee685c734246086_file[],3,FALSE),"")</f>
        <v/>
      </c>
      <c r="G384" t="str">
        <f>IFERROR(VLOOKUP($A384,observations_series_id_PCU22122212_api_key_ecc133893ea92a842ee685c734246086_file[],2,FALSE),"")</f>
        <v/>
      </c>
      <c r="H384" s="2" t="str">
        <f>IFERROR(VLOOKUP($A384,observations_series_id_PCU22122212_api_key_ecc133893ea92a842ee685c734246086_file[],3,FALSE),"")</f>
        <v/>
      </c>
      <c r="I384">
        <f>IFERROR(VLOOKUP($A384,observations_series_id_PCU3241913241910_api_key_ecc133893ea92a842ee685c734246086[],2,FALSE),"")</f>
        <v>128.5</v>
      </c>
      <c r="J384" s="2">
        <f>IFERROR(VLOOKUP($A384,observations_series_id_PCU3241913241910_api_key_ecc133893ea92a842ee685c734246086[],3,FALSE),"")</f>
        <v>0.60000000000000009</v>
      </c>
      <c r="K384">
        <f>IFERROR(VLOOKUP($A384,observations_series_id_EXJPUS_api_key_ecc133893ea92a842ee685c734246086_file_type[],2,FALSE),"")</f>
        <v>143.5343</v>
      </c>
      <c r="L384" s="2">
        <f>IFERROR(VLOOKUP($A384,observations_series_id_EXJPUS_api_key_ecc133893ea92a842ee685c734246086_file_type[],3,FALSE),"")</f>
        <v>-1.4943166894602893</v>
      </c>
      <c r="M384" t="str">
        <f>IFERROR(AVERAGEIFS(timeseries_access_key_fqeas14oitk235763mntlb1c0brnk9w3fenzqbk313q5kvxyf52kukw1pa[Value.LME-ZNC],timeseries_access_key_fqeas14oitk235763mntlb1c0brnk9w3fenzqbk313q5kvxyf52kukw1pa[Month],MONTH(Data!$A384),timeseries_access_key_fqeas14oitk235763mntlb1c0brnk9w3fenzqbk313q5kvxyf52kukw1pa[Year],YEAR(Data!$A384)),"")</f>
        <v/>
      </c>
      <c r="N384" s="2" t="str">
        <f>IFERROR(AVERAGEIFS(timeseries_access_key_fqeas14oitk235763mntlb1c0brnk9w3fenzqbk313q5kvxyf52kukw1pa[Column1],timeseries_access_key_fqeas14oitk235763mntlb1c0brnk9w3fenzqbk313q5kvxyf52kukw1pa[Month],MONTH(Data!$A384),timeseries_access_key_fqeas14oitk235763mntlb1c0brnk9w3fenzqbk313q5kvxyf52kukw1pa[Year],YEAR(Data!$A384)),"")</f>
        <v/>
      </c>
      <c r="O384" s="8" t="str">
        <f>IFERROR(VLOOKUP($A384,Text_1_2[[Text.1.1.3]:[Text.1.3]],2,FALSE),"")</f>
        <v/>
      </c>
      <c r="P384" s="2"/>
    </row>
    <row r="385" spans="1:16" x14ac:dyDescent="0.25">
      <c r="A385" s="1">
        <v>32843</v>
      </c>
      <c r="B385" t="str">
        <f>HLOOKUP(Dashboard!$I$27,results,ROW(A385),FALSE)</f>
        <v/>
      </c>
      <c r="C385">
        <f>IFERROR(VLOOKUP(A385,observations_series_id_PCU22112222112243_api_key_ecc133893ea92a842ee685c73424608[],2,FALSE),"")</f>
        <v>96</v>
      </c>
      <c r="D385" s="2">
        <f>IFERROR(VLOOKUP(A385,observations_series_id_PCU22112222112243_api_key_ecc133893ea92a842ee685c73424608[],3,FALSE),"")</f>
        <v>0.81874999999999998</v>
      </c>
      <c r="E385" t="str">
        <f>IFERROR(VLOOKUP($A385,observations_series_id_WPU0613020T_api_key_ecc133893ea92a842ee685c734246086_file[],2,FALSE),"")</f>
        <v/>
      </c>
      <c r="F385" s="2" t="str">
        <f>IFERROR(VLOOKUP($A385,observations_series_id_WPU0613020T_api_key_ecc133893ea92a842ee685c734246086_file[],3,FALSE),"")</f>
        <v/>
      </c>
      <c r="G385" t="str">
        <f>IFERROR(VLOOKUP($A385,observations_series_id_PCU22122212_api_key_ecc133893ea92a842ee685c734246086_file[],2,FALSE),"")</f>
        <v/>
      </c>
      <c r="H385" s="2" t="str">
        <f>IFERROR(VLOOKUP($A385,observations_series_id_PCU22122212_api_key_ecc133893ea92a842ee685c734246086_file[],3,FALSE),"")</f>
        <v/>
      </c>
      <c r="I385">
        <f>IFERROR(VLOOKUP($A385,observations_series_id_PCU3241913241910_api_key_ecc133893ea92a842ee685c734246086[],2,FALSE),"")</f>
        <v>128.80000000000001</v>
      </c>
      <c r="J385" s="2">
        <f>IFERROR(VLOOKUP($A385,observations_series_id_PCU3241913241910_api_key_ecc133893ea92a842ee685c734246086[],3,FALSE),"")</f>
        <v>0.60093167701863359</v>
      </c>
      <c r="K385">
        <f>IFERROR(VLOOKUP($A385,observations_series_id_EXJPUS_api_key_ecc133893ea92a842ee685c734246086_file_type[],2,FALSE),"")</f>
        <v>143.685</v>
      </c>
      <c r="L385" s="2">
        <f>IFERROR(VLOOKUP($A385,observations_series_id_EXJPUS_api_key_ecc133893ea92a842ee685c734246086_file_type[],3,FALSE),"")</f>
        <v>-1.4917005950516753</v>
      </c>
      <c r="M385" t="str">
        <f>IFERROR(AVERAGEIFS(timeseries_access_key_fqeas14oitk235763mntlb1c0brnk9w3fenzqbk313q5kvxyf52kukw1pa[Value.LME-ZNC],timeseries_access_key_fqeas14oitk235763mntlb1c0brnk9w3fenzqbk313q5kvxyf52kukw1pa[Month],MONTH(Data!$A385),timeseries_access_key_fqeas14oitk235763mntlb1c0brnk9w3fenzqbk313q5kvxyf52kukw1pa[Year],YEAR(Data!$A385)),"")</f>
        <v/>
      </c>
      <c r="N385" s="2" t="str">
        <f>IFERROR(AVERAGEIFS(timeseries_access_key_fqeas14oitk235763mntlb1c0brnk9w3fenzqbk313q5kvxyf52kukw1pa[Column1],timeseries_access_key_fqeas14oitk235763mntlb1c0brnk9w3fenzqbk313q5kvxyf52kukw1pa[Month],MONTH(Data!$A385),timeseries_access_key_fqeas14oitk235763mntlb1c0brnk9w3fenzqbk313q5kvxyf52kukw1pa[Year],YEAR(Data!$A385)),"")</f>
        <v/>
      </c>
      <c r="O385" s="8" t="str">
        <f>IFERROR(VLOOKUP($A385,Text_1_2[[Text.1.1.3]:[Text.1.3]],2,FALSE),"")</f>
        <v/>
      </c>
      <c r="P385" s="2"/>
    </row>
    <row r="386" spans="1:16" x14ac:dyDescent="0.25">
      <c r="A386" s="1">
        <v>32874</v>
      </c>
      <c r="B386" t="str">
        <f>HLOOKUP(Dashboard!$I$27,results,ROW(A386),FALSE)</f>
        <v/>
      </c>
      <c r="C386">
        <f>IFERROR(VLOOKUP(A386,observations_series_id_PCU22112222112243_api_key_ecc133893ea92a842ee685c73424608[],2,FALSE),"")</f>
        <v>96.6</v>
      </c>
      <c r="D386" s="2">
        <f>IFERROR(VLOOKUP(A386,observations_series_id_PCU22112222112243_api_key_ecc133893ea92a842ee685c73424608[],3,FALSE),"")</f>
        <v>0.81987577639751552</v>
      </c>
      <c r="E386" t="str">
        <f>IFERROR(VLOOKUP($A386,observations_series_id_WPU0613020T_api_key_ecc133893ea92a842ee685c734246086_file[],2,FALSE),"")</f>
        <v/>
      </c>
      <c r="F386" s="2" t="str">
        <f>IFERROR(VLOOKUP($A386,observations_series_id_WPU0613020T_api_key_ecc133893ea92a842ee685c734246086_file[],3,FALSE),"")</f>
        <v/>
      </c>
      <c r="G386" t="str">
        <f>IFERROR(VLOOKUP($A386,observations_series_id_PCU22122212_api_key_ecc133893ea92a842ee685c734246086_file[],2,FALSE),"")</f>
        <v/>
      </c>
      <c r="H386" s="2" t="str">
        <f>IFERROR(VLOOKUP($A386,observations_series_id_PCU22122212_api_key_ecc133893ea92a842ee685c734246086_file[],3,FALSE),"")</f>
        <v/>
      </c>
      <c r="I386">
        <f>IFERROR(VLOOKUP($A386,observations_series_id_PCU3241913241910_api_key_ecc133893ea92a842ee685c734246086[],2,FALSE),"")</f>
        <v>129</v>
      </c>
      <c r="J386" s="2">
        <f>IFERROR(VLOOKUP($A386,observations_series_id_PCU3241913241910_api_key_ecc133893ea92a842ee685c734246086[],3,FALSE),"")</f>
        <v>0.60155038759689927</v>
      </c>
      <c r="K386">
        <f>IFERROR(VLOOKUP($A386,observations_series_id_EXJPUS_api_key_ecc133893ea92a842ee685c734246086_file_type[],2,FALSE),"")</f>
        <v>144.9819</v>
      </c>
      <c r="L386" s="2">
        <f>IFERROR(VLOOKUP($A386,observations_series_id_EXJPUS_api_key_ecc133893ea92a842ee685c734246086_file_type[],3,FALSE),"")</f>
        <v>-1.4694116989775963</v>
      </c>
      <c r="M386" t="str">
        <f>IFERROR(AVERAGEIFS(timeseries_access_key_fqeas14oitk235763mntlb1c0brnk9w3fenzqbk313q5kvxyf52kukw1pa[Value.LME-ZNC],timeseries_access_key_fqeas14oitk235763mntlb1c0brnk9w3fenzqbk313q5kvxyf52kukw1pa[Month],MONTH(Data!$A386),timeseries_access_key_fqeas14oitk235763mntlb1c0brnk9w3fenzqbk313q5kvxyf52kukw1pa[Year],YEAR(Data!$A386)),"")</f>
        <v/>
      </c>
      <c r="N386" s="2" t="str">
        <f>IFERROR(AVERAGEIFS(timeseries_access_key_fqeas14oitk235763mntlb1c0brnk9w3fenzqbk313q5kvxyf52kukw1pa[Column1],timeseries_access_key_fqeas14oitk235763mntlb1c0brnk9w3fenzqbk313q5kvxyf52kukw1pa[Month],MONTH(Data!$A386),timeseries_access_key_fqeas14oitk235763mntlb1c0brnk9w3fenzqbk313q5kvxyf52kukw1pa[Year],YEAR(Data!$A386)),"")</f>
        <v/>
      </c>
      <c r="O386" s="8" t="str">
        <f>IFERROR(VLOOKUP($A386,Text_1_2[[Text.1.1.3]:[Text.1.3]],2,FALSE),"")</f>
        <v/>
      </c>
      <c r="P386" s="2"/>
    </row>
    <row r="387" spans="1:16" x14ac:dyDescent="0.25">
      <c r="A387" s="1">
        <v>32905</v>
      </c>
      <c r="B387" t="str">
        <f>HLOOKUP(Dashboard!$I$27,results,ROW(A387),FALSE)</f>
        <v/>
      </c>
      <c r="C387">
        <f>IFERROR(VLOOKUP(A387,observations_series_id_PCU22112222112243_api_key_ecc133893ea92a842ee685c73424608[],2,FALSE),"")</f>
        <v>96.7</v>
      </c>
      <c r="D387" s="2">
        <f>IFERROR(VLOOKUP(A387,observations_series_id_PCU22112222112243_api_key_ecc133893ea92a842ee685c73424608[],3,FALSE),"")</f>
        <v>0.8200620475698035</v>
      </c>
      <c r="E387" t="str">
        <f>IFERROR(VLOOKUP($A387,observations_series_id_WPU0613020T_api_key_ecc133893ea92a842ee685c734246086_file[],2,FALSE),"")</f>
        <v/>
      </c>
      <c r="F387" s="2" t="str">
        <f>IFERROR(VLOOKUP($A387,observations_series_id_WPU0613020T_api_key_ecc133893ea92a842ee685c734246086_file[],3,FALSE),"")</f>
        <v/>
      </c>
      <c r="G387" t="str">
        <f>IFERROR(VLOOKUP($A387,observations_series_id_PCU22122212_api_key_ecc133893ea92a842ee685c734246086_file[],2,FALSE),"")</f>
        <v/>
      </c>
      <c r="H387" s="2" t="str">
        <f>IFERROR(VLOOKUP($A387,observations_series_id_PCU22122212_api_key_ecc133893ea92a842ee685c734246086_file[],3,FALSE),"")</f>
        <v/>
      </c>
      <c r="I387">
        <f>IFERROR(VLOOKUP($A387,observations_series_id_PCU3241913241910_api_key_ecc133893ea92a842ee685c734246086[],2,FALSE),"")</f>
        <v>129</v>
      </c>
      <c r="J387" s="2">
        <f>IFERROR(VLOOKUP($A387,observations_series_id_PCU3241913241910_api_key_ecc133893ea92a842ee685c734246086[],3,FALSE),"")</f>
        <v>0.60155038759689927</v>
      </c>
      <c r="K387">
        <f>IFERROR(VLOOKUP($A387,observations_series_id_EXJPUS_api_key_ecc133893ea92a842ee685c734246086_file_type[],2,FALSE),"")</f>
        <v>145.69319999999999</v>
      </c>
      <c r="L387" s="2">
        <f>IFERROR(VLOOKUP($A387,observations_series_id_EXJPUS_api_key_ecc133893ea92a842ee685c734246086_file_type[],3,FALSE),"")</f>
        <v>-1.4573555938094573</v>
      </c>
      <c r="M387" t="str">
        <f>IFERROR(AVERAGEIFS(timeseries_access_key_fqeas14oitk235763mntlb1c0brnk9w3fenzqbk313q5kvxyf52kukw1pa[Value.LME-ZNC],timeseries_access_key_fqeas14oitk235763mntlb1c0brnk9w3fenzqbk313q5kvxyf52kukw1pa[Month],MONTH(Data!$A387),timeseries_access_key_fqeas14oitk235763mntlb1c0brnk9w3fenzqbk313q5kvxyf52kukw1pa[Year],YEAR(Data!$A387)),"")</f>
        <v/>
      </c>
      <c r="N387" s="2" t="str">
        <f>IFERROR(AVERAGEIFS(timeseries_access_key_fqeas14oitk235763mntlb1c0brnk9w3fenzqbk313q5kvxyf52kukw1pa[Column1],timeseries_access_key_fqeas14oitk235763mntlb1c0brnk9w3fenzqbk313q5kvxyf52kukw1pa[Month],MONTH(Data!$A387),timeseries_access_key_fqeas14oitk235763mntlb1c0brnk9w3fenzqbk313q5kvxyf52kukw1pa[Year],YEAR(Data!$A387)),"")</f>
        <v/>
      </c>
      <c r="O387" s="8" t="str">
        <f>IFERROR(VLOOKUP($A387,Text_1_2[[Text.1.1.3]:[Text.1.3]],2,FALSE),"")</f>
        <v/>
      </c>
      <c r="P387" s="2"/>
    </row>
    <row r="388" spans="1:16" x14ac:dyDescent="0.25">
      <c r="A388" s="1">
        <v>32933</v>
      </c>
      <c r="B388" t="str">
        <f>HLOOKUP(Dashboard!$I$27,results,ROW(A388),FALSE)</f>
        <v/>
      </c>
      <c r="C388">
        <f>IFERROR(VLOOKUP(A388,observations_series_id_PCU22112222112243_api_key_ecc133893ea92a842ee685c73424608[],2,FALSE),"")</f>
        <v>97</v>
      </c>
      <c r="D388" s="2">
        <f>IFERROR(VLOOKUP(A388,observations_series_id_PCU22112222112243_api_key_ecc133893ea92a842ee685c73424608[],3,FALSE),"")</f>
        <v>0.8206185567010309</v>
      </c>
      <c r="E388" t="str">
        <f>IFERROR(VLOOKUP($A388,observations_series_id_WPU0613020T_api_key_ecc133893ea92a842ee685c734246086_file[],2,FALSE),"")</f>
        <v/>
      </c>
      <c r="F388" s="2" t="str">
        <f>IFERROR(VLOOKUP($A388,observations_series_id_WPU0613020T_api_key_ecc133893ea92a842ee685c734246086_file[],3,FALSE),"")</f>
        <v/>
      </c>
      <c r="G388" t="str">
        <f>IFERROR(VLOOKUP($A388,observations_series_id_PCU22122212_api_key_ecc133893ea92a842ee685c734246086_file[],2,FALSE),"")</f>
        <v/>
      </c>
      <c r="H388" s="2" t="str">
        <f>IFERROR(VLOOKUP($A388,observations_series_id_PCU22122212_api_key_ecc133893ea92a842ee685c734246086_file[],3,FALSE),"")</f>
        <v/>
      </c>
      <c r="I388">
        <f>IFERROR(VLOOKUP($A388,observations_series_id_PCU3241913241910_api_key_ecc133893ea92a842ee685c734246086[],2,FALSE),"")</f>
        <v>130.6</v>
      </c>
      <c r="J388" s="2">
        <f>IFERROR(VLOOKUP($A388,observations_series_id_PCU3241913241910_api_key_ecc133893ea92a842ee685c734246086[],3,FALSE),"")</f>
        <v>0.60643185298621738</v>
      </c>
      <c r="K388">
        <f>IFERROR(VLOOKUP($A388,observations_series_id_EXJPUS_api_key_ecc133893ea92a842ee685c734246086_file_type[],2,FALSE),"")</f>
        <v>153.3082</v>
      </c>
      <c r="L388" s="2">
        <f>IFERROR(VLOOKUP($A388,observations_series_id_EXJPUS_api_key_ecc133893ea92a842ee685c734246086_file_type[],3,FALSE),"")</f>
        <v>-1.3352958289250019</v>
      </c>
      <c r="M388" t="str">
        <f>IFERROR(AVERAGEIFS(timeseries_access_key_fqeas14oitk235763mntlb1c0brnk9w3fenzqbk313q5kvxyf52kukw1pa[Value.LME-ZNC],timeseries_access_key_fqeas14oitk235763mntlb1c0brnk9w3fenzqbk313q5kvxyf52kukw1pa[Month],MONTH(Data!$A388),timeseries_access_key_fqeas14oitk235763mntlb1c0brnk9w3fenzqbk313q5kvxyf52kukw1pa[Year],YEAR(Data!$A388)),"")</f>
        <v/>
      </c>
      <c r="N388" s="2" t="str">
        <f>IFERROR(AVERAGEIFS(timeseries_access_key_fqeas14oitk235763mntlb1c0brnk9w3fenzqbk313q5kvxyf52kukw1pa[Column1],timeseries_access_key_fqeas14oitk235763mntlb1c0brnk9w3fenzqbk313q5kvxyf52kukw1pa[Month],MONTH(Data!$A388),timeseries_access_key_fqeas14oitk235763mntlb1c0brnk9w3fenzqbk313q5kvxyf52kukw1pa[Year],YEAR(Data!$A388)),"")</f>
        <v/>
      </c>
      <c r="O388" s="8" t="str">
        <f>IFERROR(VLOOKUP($A388,Text_1_2[[Text.1.1.3]:[Text.1.3]],2,FALSE),"")</f>
        <v/>
      </c>
      <c r="P388" s="2"/>
    </row>
    <row r="389" spans="1:16" x14ac:dyDescent="0.25">
      <c r="A389" s="1">
        <v>32964</v>
      </c>
      <c r="B389" t="str">
        <f>HLOOKUP(Dashboard!$I$27,results,ROW(A389),FALSE)</f>
        <v/>
      </c>
      <c r="C389">
        <f>IFERROR(VLOOKUP(A389,observations_series_id_PCU22112222112243_api_key_ecc133893ea92a842ee685c73424608[],2,FALSE),"")</f>
        <v>96.8</v>
      </c>
      <c r="D389" s="2">
        <f>IFERROR(VLOOKUP(A389,observations_series_id_PCU22112222112243_api_key_ecc133893ea92a842ee685c73424608[],3,FALSE),"")</f>
        <v>0.82024793388429751</v>
      </c>
      <c r="E389" t="str">
        <f>IFERROR(VLOOKUP($A389,observations_series_id_WPU0613020T_api_key_ecc133893ea92a842ee685c734246086_file[],2,FALSE),"")</f>
        <v/>
      </c>
      <c r="F389" s="2" t="str">
        <f>IFERROR(VLOOKUP($A389,observations_series_id_WPU0613020T_api_key_ecc133893ea92a842ee685c734246086_file[],3,FALSE),"")</f>
        <v/>
      </c>
      <c r="G389" t="str">
        <f>IFERROR(VLOOKUP($A389,observations_series_id_PCU22122212_api_key_ecc133893ea92a842ee685c734246086_file[],2,FALSE),"")</f>
        <v/>
      </c>
      <c r="H389" s="2" t="str">
        <f>IFERROR(VLOOKUP($A389,observations_series_id_PCU22122212_api_key_ecc133893ea92a842ee685c734246086_file[],3,FALSE),"")</f>
        <v/>
      </c>
      <c r="I389">
        <f>IFERROR(VLOOKUP($A389,observations_series_id_PCU3241913241910_api_key_ecc133893ea92a842ee685c734246086[],2,FALSE),"")</f>
        <v>131.4</v>
      </c>
      <c r="J389" s="2">
        <f>IFERROR(VLOOKUP($A389,observations_series_id_PCU3241913241910_api_key_ecc133893ea92a842ee685c734246086[],3,FALSE),"")</f>
        <v>0.60882800608828003</v>
      </c>
      <c r="K389">
        <f>IFERROR(VLOOKUP($A389,observations_series_id_EXJPUS_api_key_ecc133893ea92a842ee685c734246086_file_type[],2,FALSE),"")</f>
        <v>158.45859999999999</v>
      </c>
      <c r="L389" s="2">
        <f>IFERROR(VLOOKUP($A389,observations_series_id_EXJPUS_api_key_ecc133893ea92a842ee685c734246086_file_type[],3,FALSE),"")</f>
        <v>-1.2593914120155043</v>
      </c>
      <c r="M389" t="str">
        <f>IFERROR(AVERAGEIFS(timeseries_access_key_fqeas14oitk235763mntlb1c0brnk9w3fenzqbk313q5kvxyf52kukw1pa[Value.LME-ZNC],timeseries_access_key_fqeas14oitk235763mntlb1c0brnk9w3fenzqbk313q5kvxyf52kukw1pa[Month],MONTH(Data!$A389),timeseries_access_key_fqeas14oitk235763mntlb1c0brnk9w3fenzqbk313q5kvxyf52kukw1pa[Year],YEAR(Data!$A389)),"")</f>
        <v/>
      </c>
      <c r="N389" s="2" t="str">
        <f>IFERROR(AVERAGEIFS(timeseries_access_key_fqeas14oitk235763mntlb1c0brnk9w3fenzqbk313q5kvxyf52kukw1pa[Column1],timeseries_access_key_fqeas14oitk235763mntlb1c0brnk9w3fenzqbk313q5kvxyf52kukw1pa[Month],MONTH(Data!$A389),timeseries_access_key_fqeas14oitk235763mntlb1c0brnk9w3fenzqbk313q5kvxyf52kukw1pa[Year],YEAR(Data!$A389)),"")</f>
        <v/>
      </c>
      <c r="O389" s="8" t="str">
        <f>IFERROR(VLOOKUP($A389,Text_1_2[[Text.1.1.3]:[Text.1.3]],2,FALSE),"")</f>
        <v/>
      </c>
      <c r="P389" s="2"/>
    </row>
    <row r="390" spans="1:16" x14ac:dyDescent="0.25">
      <c r="A390" s="1">
        <v>32994</v>
      </c>
      <c r="B390" t="str">
        <f>HLOOKUP(Dashboard!$I$27,results,ROW(A390),FALSE)</f>
        <v/>
      </c>
      <c r="C390">
        <f>IFERROR(VLOOKUP(A390,observations_series_id_PCU22112222112243_api_key_ecc133893ea92a842ee685c73424608[],2,FALSE),"")</f>
        <v>98.3</v>
      </c>
      <c r="D390" s="2">
        <f>IFERROR(VLOOKUP(A390,observations_series_id_PCU22112222112243_api_key_ecc133893ea92a842ee685c73424608[],3,FALSE),"")</f>
        <v>0.82299084435401837</v>
      </c>
      <c r="E390" t="str">
        <f>IFERROR(VLOOKUP($A390,observations_series_id_WPU0613020T_api_key_ecc133893ea92a842ee685c734246086_file[],2,FALSE),"")</f>
        <v/>
      </c>
      <c r="F390" s="2" t="str">
        <f>IFERROR(VLOOKUP($A390,observations_series_id_WPU0613020T_api_key_ecc133893ea92a842ee685c734246086_file[],3,FALSE),"")</f>
        <v/>
      </c>
      <c r="G390" t="str">
        <f>IFERROR(VLOOKUP($A390,observations_series_id_PCU22122212_api_key_ecc133893ea92a842ee685c734246086_file[],2,FALSE),"")</f>
        <v/>
      </c>
      <c r="H390" s="2" t="str">
        <f>IFERROR(VLOOKUP($A390,observations_series_id_PCU22122212_api_key_ecc133893ea92a842ee685c734246086_file[],3,FALSE),"")</f>
        <v/>
      </c>
      <c r="I390">
        <f>IFERROR(VLOOKUP($A390,observations_series_id_PCU3241913241910_api_key_ecc133893ea92a842ee685c734246086[],2,FALSE),"")</f>
        <v>131.30000000000001</v>
      </c>
      <c r="J390" s="2">
        <f>IFERROR(VLOOKUP($A390,observations_series_id_PCU3241913241910_api_key_ecc133893ea92a842ee685c734246086[],3,FALSE),"")</f>
        <v>0.60853008377760864</v>
      </c>
      <c r="K390">
        <f>IFERROR(VLOOKUP($A390,observations_series_id_EXJPUS_api_key_ecc133893ea92a842ee685c734246086_file_type[],2,FALSE),"")</f>
        <v>154.04409999999999</v>
      </c>
      <c r="L390" s="2">
        <f>IFERROR(VLOOKUP($A390,observations_series_id_EXJPUS_api_key_ecc133893ea92a842ee685c734246086_file_type[],3,FALSE),"")</f>
        <v>-1.3241396457248285</v>
      </c>
      <c r="M390" t="str">
        <f>IFERROR(AVERAGEIFS(timeseries_access_key_fqeas14oitk235763mntlb1c0brnk9w3fenzqbk313q5kvxyf52kukw1pa[Value.LME-ZNC],timeseries_access_key_fqeas14oitk235763mntlb1c0brnk9w3fenzqbk313q5kvxyf52kukw1pa[Month],MONTH(Data!$A390),timeseries_access_key_fqeas14oitk235763mntlb1c0brnk9w3fenzqbk313q5kvxyf52kukw1pa[Year],YEAR(Data!$A390)),"")</f>
        <v/>
      </c>
      <c r="N390" s="2" t="str">
        <f>IFERROR(AVERAGEIFS(timeseries_access_key_fqeas14oitk235763mntlb1c0brnk9w3fenzqbk313q5kvxyf52kukw1pa[Column1],timeseries_access_key_fqeas14oitk235763mntlb1c0brnk9w3fenzqbk313q5kvxyf52kukw1pa[Month],MONTH(Data!$A390),timeseries_access_key_fqeas14oitk235763mntlb1c0brnk9w3fenzqbk313q5kvxyf52kukw1pa[Year],YEAR(Data!$A390)),"")</f>
        <v/>
      </c>
      <c r="O390" s="8" t="str">
        <f>IFERROR(VLOOKUP($A390,Text_1_2[[Text.1.1.3]:[Text.1.3]],2,FALSE),"")</f>
        <v/>
      </c>
      <c r="P390" s="2"/>
    </row>
    <row r="391" spans="1:16" x14ac:dyDescent="0.25">
      <c r="A391" s="1">
        <v>33025</v>
      </c>
      <c r="B391" t="str">
        <f>HLOOKUP(Dashboard!$I$27,results,ROW(A391),FALSE)</f>
        <v/>
      </c>
      <c r="C391">
        <f>IFERROR(VLOOKUP(A391,observations_series_id_PCU22112222112243_api_key_ecc133893ea92a842ee685c73424608[],2,FALSE),"")</f>
        <v>104.2</v>
      </c>
      <c r="D391" s="2">
        <f>IFERROR(VLOOKUP(A391,observations_series_id_PCU22112222112243_api_key_ecc133893ea92a842ee685c73424608[],3,FALSE),"")</f>
        <v>0.83301343570057584</v>
      </c>
      <c r="E391" t="str">
        <f>IFERROR(VLOOKUP($A391,observations_series_id_WPU0613020T_api_key_ecc133893ea92a842ee685c734246086_file[],2,FALSE),"")</f>
        <v/>
      </c>
      <c r="F391" s="2" t="str">
        <f>IFERROR(VLOOKUP($A391,observations_series_id_WPU0613020T_api_key_ecc133893ea92a842ee685c734246086_file[],3,FALSE),"")</f>
        <v/>
      </c>
      <c r="G391" t="str">
        <f>IFERROR(VLOOKUP($A391,observations_series_id_PCU22122212_api_key_ecc133893ea92a842ee685c734246086_file[],2,FALSE),"")</f>
        <v/>
      </c>
      <c r="H391" s="2" t="str">
        <f>IFERROR(VLOOKUP($A391,observations_series_id_PCU22122212_api_key_ecc133893ea92a842ee685c734246086_file[],3,FALSE),"")</f>
        <v/>
      </c>
      <c r="I391">
        <f>IFERROR(VLOOKUP($A391,observations_series_id_PCU3241913241910_api_key_ecc133893ea92a842ee685c734246086[],2,FALSE),"")</f>
        <v>132.30000000000001</v>
      </c>
      <c r="J391" s="2">
        <f>IFERROR(VLOOKUP($A391,observations_series_id_PCU3241913241910_api_key_ecc133893ea92a842ee685c734246086[],3,FALSE),"")</f>
        <v>0.61148904006046867</v>
      </c>
      <c r="K391">
        <f>IFERROR(VLOOKUP($A391,observations_series_id_EXJPUS_api_key_ecc133893ea92a842ee685c734246086_file_type[],2,FALSE),"")</f>
        <v>153.69569999999999</v>
      </c>
      <c r="L391" s="2">
        <f>IFERROR(VLOOKUP($A391,observations_series_id_EXJPUS_api_key_ecc133893ea92a842ee685c734246086_file_type[],3,FALSE),"")</f>
        <v>-1.3294080445972138</v>
      </c>
      <c r="M391" t="str">
        <f>IFERROR(AVERAGEIFS(timeseries_access_key_fqeas14oitk235763mntlb1c0brnk9w3fenzqbk313q5kvxyf52kukw1pa[Value.LME-ZNC],timeseries_access_key_fqeas14oitk235763mntlb1c0brnk9w3fenzqbk313q5kvxyf52kukw1pa[Month],MONTH(Data!$A391),timeseries_access_key_fqeas14oitk235763mntlb1c0brnk9w3fenzqbk313q5kvxyf52kukw1pa[Year],YEAR(Data!$A391)),"")</f>
        <v/>
      </c>
      <c r="N391" s="2" t="str">
        <f>IFERROR(AVERAGEIFS(timeseries_access_key_fqeas14oitk235763mntlb1c0brnk9w3fenzqbk313q5kvxyf52kukw1pa[Column1],timeseries_access_key_fqeas14oitk235763mntlb1c0brnk9w3fenzqbk313q5kvxyf52kukw1pa[Month],MONTH(Data!$A391),timeseries_access_key_fqeas14oitk235763mntlb1c0brnk9w3fenzqbk313q5kvxyf52kukw1pa[Year],YEAR(Data!$A391)),"")</f>
        <v/>
      </c>
      <c r="O391" s="8" t="str">
        <f>IFERROR(VLOOKUP($A391,Text_1_2[[Text.1.1.3]:[Text.1.3]],2,FALSE),"")</f>
        <v/>
      </c>
      <c r="P391" s="2"/>
    </row>
    <row r="392" spans="1:16" x14ac:dyDescent="0.25">
      <c r="A392" s="1">
        <v>33055</v>
      </c>
      <c r="B392" t="str">
        <f>HLOOKUP(Dashboard!$I$27,results,ROW(A392),FALSE)</f>
        <v/>
      </c>
      <c r="C392">
        <f>IFERROR(VLOOKUP(A392,observations_series_id_PCU22112222112243_api_key_ecc133893ea92a842ee685c73424608[],2,FALSE),"")</f>
        <v>104.6</v>
      </c>
      <c r="D392" s="2">
        <f>IFERROR(VLOOKUP(A392,observations_series_id_PCU22112222112243_api_key_ecc133893ea92a842ee685c73424608[],3,FALSE),"")</f>
        <v>0.83365200764818359</v>
      </c>
      <c r="E392" t="str">
        <f>IFERROR(VLOOKUP($A392,observations_series_id_WPU0613020T_api_key_ecc133893ea92a842ee685c734246086_file[],2,FALSE),"")</f>
        <v/>
      </c>
      <c r="F392" s="2" t="str">
        <f>IFERROR(VLOOKUP($A392,observations_series_id_WPU0613020T_api_key_ecc133893ea92a842ee685c734246086_file[],3,FALSE),"")</f>
        <v/>
      </c>
      <c r="G392" t="str">
        <f>IFERROR(VLOOKUP($A392,observations_series_id_PCU22122212_api_key_ecc133893ea92a842ee685c734246086_file[],2,FALSE),"")</f>
        <v/>
      </c>
      <c r="H392" s="2" t="str">
        <f>IFERROR(VLOOKUP($A392,observations_series_id_PCU22122212_api_key_ecc133893ea92a842ee685c734246086_file[],3,FALSE),"")</f>
        <v/>
      </c>
      <c r="I392">
        <f>IFERROR(VLOOKUP($A392,observations_series_id_PCU3241913241910_api_key_ecc133893ea92a842ee685c734246086[],2,FALSE),"")</f>
        <v>132.4</v>
      </c>
      <c r="J392" s="2">
        <f>IFERROR(VLOOKUP($A392,observations_series_id_PCU3241913241910_api_key_ecc133893ea92a842ee685c734246086[],3,FALSE),"")</f>
        <v>0.6117824773413898</v>
      </c>
      <c r="K392">
        <f>IFERROR(VLOOKUP($A392,observations_series_id_EXJPUS_api_key_ecc133893ea92a842ee685c734246086_file_type[],2,FALSE),"")</f>
        <v>149.0395</v>
      </c>
      <c r="L392" s="2">
        <f>IFERROR(VLOOKUP($A392,observations_series_id_EXJPUS_api_key_ecc133893ea92a842ee685c734246086_file_type[],3,FALSE),"")</f>
        <v>-1.402181971893357</v>
      </c>
      <c r="M392" t="str">
        <f>IFERROR(AVERAGEIFS(timeseries_access_key_fqeas14oitk235763mntlb1c0brnk9w3fenzqbk313q5kvxyf52kukw1pa[Value.LME-ZNC],timeseries_access_key_fqeas14oitk235763mntlb1c0brnk9w3fenzqbk313q5kvxyf52kukw1pa[Month],MONTH(Data!$A392),timeseries_access_key_fqeas14oitk235763mntlb1c0brnk9w3fenzqbk313q5kvxyf52kukw1pa[Year],YEAR(Data!$A392)),"")</f>
        <v/>
      </c>
      <c r="N392" s="2" t="str">
        <f>IFERROR(AVERAGEIFS(timeseries_access_key_fqeas14oitk235763mntlb1c0brnk9w3fenzqbk313q5kvxyf52kukw1pa[Column1],timeseries_access_key_fqeas14oitk235763mntlb1c0brnk9w3fenzqbk313q5kvxyf52kukw1pa[Month],MONTH(Data!$A392),timeseries_access_key_fqeas14oitk235763mntlb1c0brnk9w3fenzqbk313q5kvxyf52kukw1pa[Year],YEAR(Data!$A392)),"")</f>
        <v/>
      </c>
      <c r="O392" s="8" t="str">
        <f>IFERROR(VLOOKUP($A392,Text_1_2[[Text.1.1.3]:[Text.1.3]],2,FALSE),"")</f>
        <v/>
      </c>
      <c r="P392" s="2"/>
    </row>
    <row r="393" spans="1:16" x14ac:dyDescent="0.25">
      <c r="A393" s="1">
        <v>33086</v>
      </c>
      <c r="B393" t="str">
        <f>HLOOKUP(Dashboard!$I$27,results,ROW(A393),FALSE)</f>
        <v/>
      </c>
      <c r="C393">
        <f>IFERROR(VLOOKUP(A393,observations_series_id_PCU22112222112243_api_key_ecc133893ea92a842ee685c73424608[],2,FALSE),"")</f>
        <v>104.8</v>
      </c>
      <c r="D393" s="2">
        <f>IFERROR(VLOOKUP(A393,observations_series_id_PCU22112222112243_api_key_ecc133893ea92a842ee685c73424608[],3,FALSE),"")</f>
        <v>0.83396946564885499</v>
      </c>
      <c r="E393" t="str">
        <f>IFERROR(VLOOKUP($A393,observations_series_id_WPU0613020T_api_key_ecc133893ea92a842ee685c734246086_file[],2,FALSE),"")</f>
        <v/>
      </c>
      <c r="F393" s="2" t="str">
        <f>IFERROR(VLOOKUP($A393,observations_series_id_WPU0613020T_api_key_ecc133893ea92a842ee685c734246086_file[],3,FALSE),"")</f>
        <v/>
      </c>
      <c r="G393" t="str">
        <f>IFERROR(VLOOKUP($A393,observations_series_id_PCU22122212_api_key_ecc133893ea92a842ee685c734246086_file[],2,FALSE),"")</f>
        <v/>
      </c>
      <c r="H393" s="2" t="str">
        <f>IFERROR(VLOOKUP($A393,observations_series_id_PCU22122212_api_key_ecc133893ea92a842ee685c734246086_file[],3,FALSE),"")</f>
        <v/>
      </c>
      <c r="I393">
        <f>IFERROR(VLOOKUP($A393,observations_series_id_PCU3241913241910_api_key_ecc133893ea92a842ee685c734246086[],2,FALSE),"")</f>
        <v>134.9</v>
      </c>
      <c r="J393" s="2">
        <f>IFERROR(VLOOKUP($A393,observations_series_id_PCU3241913241910_api_key_ecc133893ea92a842ee685c734246086[],3,FALSE),"")</f>
        <v>0.6189770200148258</v>
      </c>
      <c r="K393">
        <f>IFERROR(VLOOKUP($A393,observations_series_id_EXJPUS_api_key_ecc133893ea92a842ee685c734246086_file_type[],2,FALSE),"")</f>
        <v>147.46090000000001</v>
      </c>
      <c r="L393" s="2">
        <f>IFERROR(VLOOKUP($A393,observations_series_id_EXJPUS_api_key_ecc133893ea92a842ee685c734246086_file_type[],3,FALSE),"")</f>
        <v>-1.4278978359687211</v>
      </c>
      <c r="M393" t="str">
        <f>IFERROR(AVERAGEIFS(timeseries_access_key_fqeas14oitk235763mntlb1c0brnk9w3fenzqbk313q5kvxyf52kukw1pa[Value.LME-ZNC],timeseries_access_key_fqeas14oitk235763mntlb1c0brnk9w3fenzqbk313q5kvxyf52kukw1pa[Month],MONTH(Data!$A393),timeseries_access_key_fqeas14oitk235763mntlb1c0brnk9w3fenzqbk313q5kvxyf52kukw1pa[Year],YEAR(Data!$A393)),"")</f>
        <v/>
      </c>
      <c r="N393" s="2" t="str">
        <f>IFERROR(AVERAGEIFS(timeseries_access_key_fqeas14oitk235763mntlb1c0brnk9w3fenzqbk313q5kvxyf52kukw1pa[Column1],timeseries_access_key_fqeas14oitk235763mntlb1c0brnk9w3fenzqbk313q5kvxyf52kukw1pa[Month],MONTH(Data!$A393),timeseries_access_key_fqeas14oitk235763mntlb1c0brnk9w3fenzqbk313q5kvxyf52kukw1pa[Year],YEAR(Data!$A393)),"")</f>
        <v/>
      </c>
      <c r="O393" s="8" t="str">
        <f>IFERROR(VLOOKUP($A393,Text_1_2[[Text.1.1.3]:[Text.1.3]],2,FALSE),"")</f>
        <v/>
      </c>
      <c r="P393" s="2"/>
    </row>
    <row r="394" spans="1:16" x14ac:dyDescent="0.25">
      <c r="A394" s="1">
        <v>33117</v>
      </c>
      <c r="B394" t="str">
        <f>HLOOKUP(Dashboard!$I$27,results,ROW(A394),FALSE)</f>
        <v/>
      </c>
      <c r="C394">
        <f>IFERROR(VLOOKUP(A394,observations_series_id_PCU22112222112243_api_key_ecc133893ea92a842ee685c73424608[],2,FALSE),"")</f>
        <v>105.1</v>
      </c>
      <c r="D394" s="2">
        <f>IFERROR(VLOOKUP(A394,observations_series_id_PCU22112222112243_api_key_ecc133893ea92a842ee685c73424608[],3,FALSE),"")</f>
        <v>0.83444338725023792</v>
      </c>
      <c r="E394" t="str">
        <f>IFERROR(VLOOKUP($A394,observations_series_id_WPU0613020T_api_key_ecc133893ea92a842ee685c734246086_file[],2,FALSE),"")</f>
        <v/>
      </c>
      <c r="F394" s="2" t="str">
        <f>IFERROR(VLOOKUP($A394,observations_series_id_WPU0613020T_api_key_ecc133893ea92a842ee685c734246086_file[],3,FALSE),"")</f>
        <v/>
      </c>
      <c r="G394" t="str">
        <f>IFERROR(VLOOKUP($A394,observations_series_id_PCU22122212_api_key_ecc133893ea92a842ee685c734246086_file[],2,FALSE),"")</f>
        <v/>
      </c>
      <c r="H394" s="2" t="str">
        <f>IFERROR(VLOOKUP($A394,observations_series_id_PCU22122212_api_key_ecc133893ea92a842ee685c734246086_file[],3,FALSE),"")</f>
        <v/>
      </c>
      <c r="I394">
        <f>IFERROR(VLOOKUP($A394,observations_series_id_PCU3241913241910_api_key_ecc133893ea92a842ee685c734246086[],2,FALSE),"")</f>
        <v>137.19999999999999</v>
      </c>
      <c r="J394" s="2">
        <f>IFERROR(VLOOKUP($A394,observations_series_id_PCU3241913241910_api_key_ecc133893ea92a842ee685c734246086[],3,FALSE),"")</f>
        <v>0.62536443148688048</v>
      </c>
      <c r="K394">
        <f>IFERROR(VLOOKUP($A394,observations_series_id_EXJPUS_api_key_ecc133893ea92a842ee685c734246086_file_type[],2,FALSE),"")</f>
        <v>138.44049999999999</v>
      </c>
      <c r="L394" s="2">
        <f>IFERROR(VLOOKUP($A394,observations_series_id_EXJPUS_api_key_ecc133893ea92a842ee685c734246086_file_type[],3,FALSE),"")</f>
        <v>-1.5860929424554233</v>
      </c>
      <c r="M394" t="str">
        <f>IFERROR(AVERAGEIFS(timeseries_access_key_fqeas14oitk235763mntlb1c0brnk9w3fenzqbk313q5kvxyf52kukw1pa[Value.LME-ZNC],timeseries_access_key_fqeas14oitk235763mntlb1c0brnk9w3fenzqbk313q5kvxyf52kukw1pa[Month],MONTH(Data!$A394),timeseries_access_key_fqeas14oitk235763mntlb1c0brnk9w3fenzqbk313q5kvxyf52kukw1pa[Year],YEAR(Data!$A394)),"")</f>
        <v/>
      </c>
      <c r="N394" s="2" t="str">
        <f>IFERROR(AVERAGEIFS(timeseries_access_key_fqeas14oitk235763mntlb1c0brnk9w3fenzqbk313q5kvxyf52kukw1pa[Column1],timeseries_access_key_fqeas14oitk235763mntlb1c0brnk9w3fenzqbk313q5kvxyf52kukw1pa[Month],MONTH(Data!$A394),timeseries_access_key_fqeas14oitk235763mntlb1c0brnk9w3fenzqbk313q5kvxyf52kukw1pa[Year],YEAR(Data!$A394)),"")</f>
        <v/>
      </c>
      <c r="O394" s="8" t="str">
        <f>IFERROR(VLOOKUP($A394,Text_1_2[[Text.1.1.3]:[Text.1.3]],2,FALSE),"")</f>
        <v/>
      </c>
      <c r="P394" s="2"/>
    </row>
    <row r="395" spans="1:16" x14ac:dyDescent="0.25">
      <c r="A395" s="1">
        <v>33147</v>
      </c>
      <c r="B395" t="str">
        <f>HLOOKUP(Dashboard!$I$27,results,ROW(A395),FALSE)</f>
        <v/>
      </c>
      <c r="C395">
        <f>IFERROR(VLOOKUP(A395,observations_series_id_PCU22112222112243_api_key_ecc133893ea92a842ee685c73424608[],2,FALSE),"")</f>
        <v>101.9</v>
      </c>
      <c r="D395" s="2">
        <f>IFERROR(VLOOKUP(A395,observations_series_id_PCU22112222112243_api_key_ecc133893ea92a842ee685c73424608[],3,FALSE),"")</f>
        <v>0.82924435721295386</v>
      </c>
      <c r="E395" t="str">
        <f>IFERROR(VLOOKUP($A395,observations_series_id_WPU0613020T_api_key_ecc133893ea92a842ee685c734246086_file[],2,FALSE),"")</f>
        <v/>
      </c>
      <c r="F395" s="2" t="str">
        <f>IFERROR(VLOOKUP($A395,observations_series_id_WPU0613020T_api_key_ecc133893ea92a842ee685c734246086_file[],3,FALSE),"")</f>
        <v/>
      </c>
      <c r="G395" t="str">
        <f>IFERROR(VLOOKUP($A395,observations_series_id_PCU22122212_api_key_ecc133893ea92a842ee685c734246086_file[],2,FALSE),"")</f>
        <v/>
      </c>
      <c r="H395" s="2" t="str">
        <f>IFERROR(VLOOKUP($A395,observations_series_id_PCU22122212_api_key_ecc133893ea92a842ee685c734246086_file[],3,FALSE),"")</f>
        <v/>
      </c>
      <c r="I395">
        <f>IFERROR(VLOOKUP($A395,observations_series_id_PCU3241913241910_api_key_ecc133893ea92a842ee685c734246086[],2,FALSE),"")</f>
        <v>145.30000000000001</v>
      </c>
      <c r="J395" s="2">
        <f>IFERROR(VLOOKUP($A395,observations_series_id_PCU3241913241910_api_key_ecc133893ea92a842ee685c734246086[],3,FALSE),"")</f>
        <v>0.64624913971094289</v>
      </c>
      <c r="K395">
        <f>IFERROR(VLOOKUP($A395,observations_series_id_EXJPUS_api_key_ecc133893ea92a842ee685c734246086_file_type[],2,FALSE),"")</f>
        <v>129.5909</v>
      </c>
      <c r="L395" s="2">
        <f>IFERROR(VLOOKUP($A395,observations_series_id_EXJPUS_api_key_ecc133893ea92a842ee685c734246086_file_type[],3,FALSE),"")</f>
        <v>-1.7626939854573118</v>
      </c>
      <c r="M395" t="str">
        <f>IFERROR(AVERAGEIFS(timeseries_access_key_fqeas14oitk235763mntlb1c0brnk9w3fenzqbk313q5kvxyf52kukw1pa[Value.LME-ZNC],timeseries_access_key_fqeas14oitk235763mntlb1c0brnk9w3fenzqbk313q5kvxyf52kukw1pa[Month],MONTH(Data!$A395),timeseries_access_key_fqeas14oitk235763mntlb1c0brnk9w3fenzqbk313q5kvxyf52kukw1pa[Year],YEAR(Data!$A395)),"")</f>
        <v/>
      </c>
      <c r="N395" s="2" t="str">
        <f>IFERROR(AVERAGEIFS(timeseries_access_key_fqeas14oitk235763mntlb1c0brnk9w3fenzqbk313q5kvxyf52kukw1pa[Column1],timeseries_access_key_fqeas14oitk235763mntlb1c0brnk9w3fenzqbk313q5kvxyf52kukw1pa[Month],MONTH(Data!$A395),timeseries_access_key_fqeas14oitk235763mntlb1c0brnk9w3fenzqbk313q5kvxyf52kukw1pa[Year],YEAR(Data!$A395)),"")</f>
        <v/>
      </c>
      <c r="O395" s="8" t="str">
        <f>IFERROR(VLOOKUP($A395,Text_1_2[[Text.1.1.3]:[Text.1.3]],2,FALSE),"")</f>
        <v/>
      </c>
      <c r="P395" s="2"/>
    </row>
    <row r="396" spans="1:16" x14ac:dyDescent="0.25">
      <c r="A396" s="1">
        <v>33178</v>
      </c>
      <c r="B396" t="str">
        <f>HLOOKUP(Dashboard!$I$27,results,ROW(A396),FALSE)</f>
        <v/>
      </c>
      <c r="C396">
        <f>IFERROR(VLOOKUP(A396,observations_series_id_PCU22112222112243_api_key_ecc133893ea92a842ee685c73424608[],2,FALSE),"")</f>
        <v>101</v>
      </c>
      <c r="D396" s="2">
        <f>IFERROR(VLOOKUP(A396,observations_series_id_PCU22112222112243_api_key_ecc133893ea92a842ee685c73424608[],3,FALSE),"")</f>
        <v>0.82772277227722779</v>
      </c>
      <c r="E396" t="str">
        <f>IFERROR(VLOOKUP($A396,observations_series_id_WPU0613020T_api_key_ecc133893ea92a842ee685c734246086_file[],2,FALSE),"")</f>
        <v/>
      </c>
      <c r="F396" s="2" t="str">
        <f>IFERROR(VLOOKUP($A396,observations_series_id_WPU0613020T_api_key_ecc133893ea92a842ee685c734246086_file[],3,FALSE),"")</f>
        <v/>
      </c>
      <c r="G396" t="str">
        <f>IFERROR(VLOOKUP($A396,observations_series_id_PCU22122212_api_key_ecc133893ea92a842ee685c734246086_file[],2,FALSE),"")</f>
        <v/>
      </c>
      <c r="H396" s="2" t="str">
        <f>IFERROR(VLOOKUP($A396,observations_series_id_PCU22122212_api_key_ecc133893ea92a842ee685c734246086_file[],3,FALSE),"")</f>
        <v/>
      </c>
      <c r="I396">
        <f>IFERROR(VLOOKUP($A396,observations_series_id_PCU3241913241910_api_key_ecc133893ea92a842ee685c734246086[],2,FALSE),"")</f>
        <v>150.80000000000001</v>
      </c>
      <c r="J396" s="2">
        <f>IFERROR(VLOOKUP($A396,observations_series_id_PCU3241913241910_api_key_ecc133893ea92a842ee685c734246086[],3,FALSE),"")</f>
        <v>0.65915119363395225</v>
      </c>
      <c r="K396">
        <f>IFERROR(VLOOKUP($A396,observations_series_id_EXJPUS_api_key_ecc133893ea92a842ee685c734246086_file_type[],2,FALSE),"")</f>
        <v>129.21549999999999</v>
      </c>
      <c r="L396" s="2">
        <f>IFERROR(VLOOKUP($A396,observations_series_id_EXJPUS_api_key_ecc133893ea92a842ee685c734246086_file_type[],3,FALSE),"")</f>
        <v>-1.7707202309320476</v>
      </c>
      <c r="M396" t="str">
        <f>IFERROR(AVERAGEIFS(timeseries_access_key_fqeas14oitk235763mntlb1c0brnk9w3fenzqbk313q5kvxyf52kukw1pa[Value.LME-ZNC],timeseries_access_key_fqeas14oitk235763mntlb1c0brnk9w3fenzqbk313q5kvxyf52kukw1pa[Month],MONTH(Data!$A396),timeseries_access_key_fqeas14oitk235763mntlb1c0brnk9w3fenzqbk313q5kvxyf52kukw1pa[Year],YEAR(Data!$A396)),"")</f>
        <v/>
      </c>
      <c r="N396" s="2" t="str">
        <f>IFERROR(AVERAGEIFS(timeseries_access_key_fqeas14oitk235763mntlb1c0brnk9w3fenzqbk313q5kvxyf52kukw1pa[Column1],timeseries_access_key_fqeas14oitk235763mntlb1c0brnk9w3fenzqbk313q5kvxyf52kukw1pa[Month],MONTH(Data!$A396),timeseries_access_key_fqeas14oitk235763mntlb1c0brnk9w3fenzqbk313q5kvxyf52kukw1pa[Year],YEAR(Data!$A396)),"")</f>
        <v/>
      </c>
      <c r="O396" s="8" t="str">
        <f>IFERROR(VLOOKUP($A396,Text_1_2[[Text.1.1.3]:[Text.1.3]],2,FALSE),"")</f>
        <v/>
      </c>
      <c r="P396" s="2"/>
    </row>
    <row r="397" spans="1:16" x14ac:dyDescent="0.25">
      <c r="A397" s="1">
        <v>33208</v>
      </c>
      <c r="B397" t="str">
        <f>HLOOKUP(Dashboard!$I$27,results,ROW(A397),FALSE)</f>
        <v/>
      </c>
      <c r="C397">
        <f>IFERROR(VLOOKUP(A397,observations_series_id_PCU22112222112243_api_key_ecc133893ea92a842ee685c73424608[],2,FALSE),"")</f>
        <v>100</v>
      </c>
      <c r="D397" s="2">
        <f>IFERROR(VLOOKUP(A397,observations_series_id_PCU22112222112243_api_key_ecc133893ea92a842ee685c73424608[],3,FALSE),"")</f>
        <v>0.82600000000000007</v>
      </c>
      <c r="E397" t="str">
        <f>IFERROR(VLOOKUP($A397,observations_series_id_WPU0613020T_api_key_ecc133893ea92a842ee685c734246086_file[],2,FALSE),"")</f>
        <v/>
      </c>
      <c r="F397" s="2" t="str">
        <f>IFERROR(VLOOKUP($A397,observations_series_id_WPU0613020T_api_key_ecc133893ea92a842ee685c734246086_file[],3,FALSE),"")</f>
        <v/>
      </c>
      <c r="G397" t="str">
        <f>IFERROR(VLOOKUP($A397,observations_series_id_PCU22122212_api_key_ecc133893ea92a842ee685c734246086_file[],2,FALSE),"")</f>
        <v/>
      </c>
      <c r="H397" s="2" t="str">
        <f>IFERROR(VLOOKUP($A397,observations_series_id_PCU22122212_api_key_ecc133893ea92a842ee685c734246086_file[],3,FALSE),"")</f>
        <v/>
      </c>
      <c r="I397">
        <f>IFERROR(VLOOKUP($A397,observations_series_id_PCU3241913241910_api_key_ecc133893ea92a842ee685c734246086[],2,FALSE),"")</f>
        <v>151.80000000000001</v>
      </c>
      <c r="J397" s="2">
        <f>IFERROR(VLOOKUP($A397,observations_series_id_PCU3241913241910_api_key_ecc133893ea92a842ee685c734246086[],3,FALSE),"")</f>
        <v>0.66139657444005273</v>
      </c>
      <c r="K397">
        <f>IFERROR(VLOOKUP($A397,observations_series_id_EXJPUS_api_key_ecc133893ea92a842ee685c734246086_file_type[],2,FALSE),"")</f>
        <v>133.88900000000001</v>
      </c>
      <c r="L397" s="2">
        <f>IFERROR(VLOOKUP($A397,observations_series_id_EXJPUS_api_key_ecc133893ea92a842ee685c734246086_file_type[],3,FALSE),"")</f>
        <v>-1.6740060796630041</v>
      </c>
      <c r="M397" t="str">
        <f>IFERROR(AVERAGEIFS(timeseries_access_key_fqeas14oitk235763mntlb1c0brnk9w3fenzqbk313q5kvxyf52kukw1pa[Value.LME-ZNC],timeseries_access_key_fqeas14oitk235763mntlb1c0brnk9w3fenzqbk313q5kvxyf52kukw1pa[Month],MONTH(Data!$A397),timeseries_access_key_fqeas14oitk235763mntlb1c0brnk9w3fenzqbk313q5kvxyf52kukw1pa[Year],YEAR(Data!$A397)),"")</f>
        <v/>
      </c>
      <c r="N397" s="2" t="str">
        <f>IFERROR(AVERAGEIFS(timeseries_access_key_fqeas14oitk235763mntlb1c0brnk9w3fenzqbk313q5kvxyf52kukw1pa[Column1],timeseries_access_key_fqeas14oitk235763mntlb1c0brnk9w3fenzqbk313q5kvxyf52kukw1pa[Month],MONTH(Data!$A397),timeseries_access_key_fqeas14oitk235763mntlb1c0brnk9w3fenzqbk313q5kvxyf52kukw1pa[Year],YEAR(Data!$A397)),"")</f>
        <v/>
      </c>
      <c r="O397" s="8" t="str">
        <f>IFERROR(VLOOKUP($A397,Text_1_2[[Text.1.1.3]:[Text.1.3]],2,FALSE),"")</f>
        <v/>
      </c>
      <c r="P397" s="2"/>
    </row>
    <row r="398" spans="1:16" x14ac:dyDescent="0.25">
      <c r="A398" s="1">
        <v>33239</v>
      </c>
      <c r="B398" t="str">
        <f>HLOOKUP(Dashboard!$I$27,results,ROW(A398),FALSE)</f>
        <v/>
      </c>
      <c r="C398">
        <f>IFERROR(VLOOKUP(A398,observations_series_id_PCU22112222112243_api_key_ecc133893ea92a842ee685c73424608[],2,FALSE),"")</f>
        <v>104.4</v>
      </c>
      <c r="D398" s="2">
        <f>IFERROR(VLOOKUP(A398,observations_series_id_PCU22112222112243_api_key_ecc133893ea92a842ee685c73424608[],3,FALSE),"")</f>
        <v>0.83333333333333337</v>
      </c>
      <c r="E398" t="str">
        <f>IFERROR(VLOOKUP($A398,observations_series_id_WPU0613020T_api_key_ecc133893ea92a842ee685c734246086_file[],2,FALSE),"")</f>
        <v/>
      </c>
      <c r="F398" s="2" t="str">
        <f>IFERROR(VLOOKUP($A398,observations_series_id_WPU0613020T_api_key_ecc133893ea92a842ee685c734246086_file[],3,FALSE),"")</f>
        <v/>
      </c>
      <c r="G398" t="str">
        <f>IFERROR(VLOOKUP($A398,observations_series_id_PCU22122212_api_key_ecc133893ea92a842ee685c734246086_file[],2,FALSE),"")</f>
        <v/>
      </c>
      <c r="H398" s="2" t="str">
        <f>IFERROR(VLOOKUP($A398,observations_series_id_PCU22122212_api_key_ecc133893ea92a842ee685c734246086_file[],3,FALSE),"")</f>
        <v/>
      </c>
      <c r="I398">
        <f>IFERROR(VLOOKUP($A398,observations_series_id_PCU3241913241910_api_key_ecc133893ea92a842ee685c734246086[],2,FALSE),"")</f>
        <v>153.1</v>
      </c>
      <c r="J398" s="2">
        <f>IFERROR(VLOOKUP($A398,observations_series_id_PCU3241913241910_api_key_ecc133893ea92a842ee685c734246086[],3,FALSE),"")</f>
        <v>0.66427171783148276</v>
      </c>
      <c r="K398">
        <f>IFERROR(VLOOKUP($A398,observations_series_id_EXJPUS_api_key_ecc133893ea92a842ee685c734246086_file_type[],2,FALSE),"")</f>
        <v>133.6986</v>
      </c>
      <c r="L398" s="2">
        <f>IFERROR(VLOOKUP($A398,observations_series_id_EXJPUS_api_key_ecc133893ea92a842ee685c734246086_file_type[],3,FALSE),"")</f>
        <v>-1.6778141281958074</v>
      </c>
      <c r="M398" t="str">
        <f>IFERROR(AVERAGEIFS(timeseries_access_key_fqeas14oitk235763mntlb1c0brnk9w3fenzqbk313q5kvxyf52kukw1pa[Value.LME-ZNC],timeseries_access_key_fqeas14oitk235763mntlb1c0brnk9w3fenzqbk313q5kvxyf52kukw1pa[Month],MONTH(Data!$A398),timeseries_access_key_fqeas14oitk235763mntlb1c0brnk9w3fenzqbk313q5kvxyf52kukw1pa[Year],YEAR(Data!$A398)),"")</f>
        <v/>
      </c>
      <c r="N398" s="2" t="str">
        <f>IFERROR(AVERAGEIFS(timeseries_access_key_fqeas14oitk235763mntlb1c0brnk9w3fenzqbk313q5kvxyf52kukw1pa[Column1],timeseries_access_key_fqeas14oitk235763mntlb1c0brnk9w3fenzqbk313q5kvxyf52kukw1pa[Month],MONTH(Data!$A398),timeseries_access_key_fqeas14oitk235763mntlb1c0brnk9w3fenzqbk313q5kvxyf52kukw1pa[Year],YEAR(Data!$A398)),"")</f>
        <v/>
      </c>
      <c r="O398" s="8" t="str">
        <f>IFERROR(VLOOKUP($A398,Text_1_2[[Text.1.1.3]:[Text.1.3]],2,FALSE),"")</f>
        <v/>
      </c>
      <c r="P398" s="2"/>
    </row>
    <row r="399" spans="1:16" x14ac:dyDescent="0.25">
      <c r="A399" s="1">
        <v>33270</v>
      </c>
      <c r="B399" t="str">
        <f>HLOOKUP(Dashboard!$I$27,results,ROW(A399),FALSE)</f>
        <v/>
      </c>
      <c r="C399">
        <f>IFERROR(VLOOKUP(A399,observations_series_id_PCU22112222112243_api_key_ecc133893ea92a842ee685c73424608[],2,FALSE),"")</f>
        <v>104.5</v>
      </c>
      <c r="D399" s="2">
        <f>IFERROR(VLOOKUP(A399,observations_series_id_PCU22112222112243_api_key_ecc133893ea92a842ee685c73424608[],3,FALSE),"")</f>
        <v>0.83349282296650717</v>
      </c>
      <c r="E399" t="str">
        <f>IFERROR(VLOOKUP($A399,observations_series_id_WPU0613020T_api_key_ecc133893ea92a842ee685c734246086_file[],2,FALSE),"")</f>
        <v/>
      </c>
      <c r="F399" s="2" t="str">
        <f>IFERROR(VLOOKUP($A399,observations_series_id_WPU0613020T_api_key_ecc133893ea92a842ee685c734246086_file[],3,FALSE),"")</f>
        <v/>
      </c>
      <c r="G399" t="str">
        <f>IFERROR(VLOOKUP($A399,observations_series_id_PCU22122212_api_key_ecc133893ea92a842ee685c734246086_file[],2,FALSE),"")</f>
        <v/>
      </c>
      <c r="H399" s="2" t="str">
        <f>IFERROR(VLOOKUP($A399,observations_series_id_PCU22122212_api_key_ecc133893ea92a842ee685c734246086_file[],3,FALSE),"")</f>
        <v/>
      </c>
      <c r="I399">
        <f>IFERROR(VLOOKUP($A399,observations_series_id_PCU3241913241910_api_key_ecc133893ea92a842ee685c734246086[],2,FALSE),"")</f>
        <v>153.1</v>
      </c>
      <c r="J399" s="2">
        <f>IFERROR(VLOOKUP($A399,observations_series_id_PCU3241913241910_api_key_ecc133893ea92a842ee685c734246086[],3,FALSE),"")</f>
        <v>0.66427171783148276</v>
      </c>
      <c r="K399">
        <f>IFERROR(VLOOKUP($A399,observations_series_id_EXJPUS_api_key_ecc133893ea92a842ee685c734246086_file_type[],2,FALSE),"")</f>
        <v>130.53579999999999</v>
      </c>
      <c r="L399" s="2">
        <f>IFERROR(VLOOKUP($A399,observations_series_id_EXJPUS_api_key_ecc133893ea92a842ee685c734246086_file_type[],3,FALSE),"")</f>
        <v>-1.7426958734691937</v>
      </c>
      <c r="M399" t="str">
        <f>IFERROR(AVERAGEIFS(timeseries_access_key_fqeas14oitk235763mntlb1c0brnk9w3fenzqbk313q5kvxyf52kukw1pa[Value.LME-ZNC],timeseries_access_key_fqeas14oitk235763mntlb1c0brnk9w3fenzqbk313q5kvxyf52kukw1pa[Month],MONTH(Data!$A399),timeseries_access_key_fqeas14oitk235763mntlb1c0brnk9w3fenzqbk313q5kvxyf52kukw1pa[Year],YEAR(Data!$A399)),"")</f>
        <v/>
      </c>
      <c r="N399" s="2" t="str">
        <f>IFERROR(AVERAGEIFS(timeseries_access_key_fqeas14oitk235763mntlb1c0brnk9w3fenzqbk313q5kvxyf52kukw1pa[Column1],timeseries_access_key_fqeas14oitk235763mntlb1c0brnk9w3fenzqbk313q5kvxyf52kukw1pa[Month],MONTH(Data!$A399),timeseries_access_key_fqeas14oitk235763mntlb1c0brnk9w3fenzqbk313q5kvxyf52kukw1pa[Year],YEAR(Data!$A399)),"")</f>
        <v/>
      </c>
      <c r="O399" s="8" t="str">
        <f>IFERROR(VLOOKUP($A399,Text_1_2[[Text.1.1.3]:[Text.1.3]],2,FALSE),"")</f>
        <v/>
      </c>
      <c r="P399" s="2"/>
    </row>
    <row r="400" spans="1:16" x14ac:dyDescent="0.25">
      <c r="A400" s="1">
        <v>33298</v>
      </c>
      <c r="B400" t="str">
        <f>HLOOKUP(Dashboard!$I$27,results,ROW(A400),FALSE)</f>
        <v/>
      </c>
      <c r="C400">
        <f>IFERROR(VLOOKUP(A400,observations_series_id_PCU22112222112243_api_key_ecc133893ea92a842ee685c73424608[],2,FALSE),"")</f>
        <v>104.5</v>
      </c>
      <c r="D400" s="2">
        <f>IFERROR(VLOOKUP(A400,observations_series_id_PCU22112222112243_api_key_ecc133893ea92a842ee685c73424608[],3,FALSE),"")</f>
        <v>0.83349282296650717</v>
      </c>
      <c r="E400" t="str">
        <f>IFERROR(VLOOKUP($A400,observations_series_id_WPU0613020T_api_key_ecc133893ea92a842ee685c734246086_file[],2,FALSE),"")</f>
        <v/>
      </c>
      <c r="F400" s="2" t="str">
        <f>IFERROR(VLOOKUP($A400,observations_series_id_WPU0613020T_api_key_ecc133893ea92a842ee685c734246086_file[],3,FALSE),"")</f>
        <v/>
      </c>
      <c r="G400" t="str">
        <f>IFERROR(VLOOKUP($A400,observations_series_id_PCU22122212_api_key_ecc133893ea92a842ee685c734246086_file[],2,FALSE),"")</f>
        <v/>
      </c>
      <c r="H400" s="2" t="str">
        <f>IFERROR(VLOOKUP($A400,observations_series_id_PCU22122212_api_key_ecc133893ea92a842ee685c734246086_file[],3,FALSE),"")</f>
        <v/>
      </c>
      <c r="I400">
        <f>IFERROR(VLOOKUP($A400,observations_series_id_PCU3241913241910_api_key_ecc133893ea92a842ee685c734246086[],2,FALSE),"")</f>
        <v>151.4</v>
      </c>
      <c r="J400" s="2">
        <f>IFERROR(VLOOKUP($A400,observations_series_id_PCU3241913241910_api_key_ecc133893ea92a842ee685c734246086[],3,FALSE),"")</f>
        <v>0.66050198150594452</v>
      </c>
      <c r="K400">
        <f>IFERROR(VLOOKUP($A400,observations_series_id_EXJPUS_api_key_ecc133893ea92a842ee685c734246086_file_type[],2,FALSE),"")</f>
        <v>137.38669999999999</v>
      </c>
      <c r="L400" s="2">
        <f>IFERROR(VLOOKUP($A400,observations_series_id_EXJPUS_api_key_ecc133893ea92a842ee685c734246086_file_type[],3,FALSE),"")</f>
        <v>-1.605929103763319</v>
      </c>
      <c r="M400" t="str">
        <f>IFERROR(AVERAGEIFS(timeseries_access_key_fqeas14oitk235763mntlb1c0brnk9w3fenzqbk313q5kvxyf52kukw1pa[Value.LME-ZNC],timeseries_access_key_fqeas14oitk235763mntlb1c0brnk9w3fenzqbk313q5kvxyf52kukw1pa[Month],MONTH(Data!$A400),timeseries_access_key_fqeas14oitk235763mntlb1c0brnk9w3fenzqbk313q5kvxyf52kukw1pa[Year],YEAR(Data!$A400)),"")</f>
        <v/>
      </c>
      <c r="N400" s="2" t="str">
        <f>IFERROR(AVERAGEIFS(timeseries_access_key_fqeas14oitk235763mntlb1c0brnk9w3fenzqbk313q5kvxyf52kukw1pa[Column1],timeseries_access_key_fqeas14oitk235763mntlb1c0brnk9w3fenzqbk313q5kvxyf52kukw1pa[Month],MONTH(Data!$A400),timeseries_access_key_fqeas14oitk235763mntlb1c0brnk9w3fenzqbk313q5kvxyf52kukw1pa[Year],YEAR(Data!$A400)),"")</f>
        <v/>
      </c>
      <c r="O400" s="8" t="str">
        <f>IFERROR(VLOOKUP($A400,Text_1_2[[Text.1.1.3]:[Text.1.3]],2,FALSE),"")</f>
        <v/>
      </c>
      <c r="P400" s="2"/>
    </row>
    <row r="401" spans="1:16" x14ac:dyDescent="0.25">
      <c r="A401" s="1">
        <v>33329</v>
      </c>
      <c r="B401" t="str">
        <f>HLOOKUP(Dashboard!$I$27,results,ROW(A401),FALSE)</f>
        <v/>
      </c>
      <c r="C401">
        <f>IFERROR(VLOOKUP(A401,observations_series_id_PCU22112222112243_api_key_ecc133893ea92a842ee685c73424608[],2,FALSE),"")</f>
        <v>104.8</v>
      </c>
      <c r="D401" s="2">
        <f>IFERROR(VLOOKUP(A401,observations_series_id_PCU22112222112243_api_key_ecc133893ea92a842ee685c73424608[],3,FALSE),"")</f>
        <v>0.83396946564885499</v>
      </c>
      <c r="E401" t="str">
        <f>IFERROR(VLOOKUP($A401,observations_series_id_WPU0613020T_api_key_ecc133893ea92a842ee685c734246086_file[],2,FALSE),"")</f>
        <v/>
      </c>
      <c r="F401" s="2" t="str">
        <f>IFERROR(VLOOKUP($A401,observations_series_id_WPU0613020T_api_key_ecc133893ea92a842ee685c734246086_file[],3,FALSE),"")</f>
        <v/>
      </c>
      <c r="G401" t="str">
        <f>IFERROR(VLOOKUP($A401,observations_series_id_PCU22122212_api_key_ecc133893ea92a842ee685c734246086_file[],2,FALSE),"")</f>
        <v/>
      </c>
      <c r="H401" s="2" t="str">
        <f>IFERROR(VLOOKUP($A401,observations_series_id_PCU22122212_api_key_ecc133893ea92a842ee685c734246086_file[],3,FALSE),"")</f>
        <v/>
      </c>
      <c r="I401">
        <f>IFERROR(VLOOKUP($A401,observations_series_id_PCU3241913241910_api_key_ecc133893ea92a842ee685c734246086[],2,FALSE),"")</f>
        <v>150.5</v>
      </c>
      <c r="J401" s="2">
        <f>IFERROR(VLOOKUP($A401,observations_series_id_PCU3241913241910_api_key_ecc133893ea92a842ee685c734246086[],3,FALSE),"")</f>
        <v>0.65847176079734226</v>
      </c>
      <c r="K401">
        <f>IFERROR(VLOOKUP($A401,observations_series_id_EXJPUS_api_key_ecc133893ea92a842ee685c734246086_file_type[],2,FALSE),"")</f>
        <v>137.11269999999999</v>
      </c>
      <c r="L401" s="2">
        <f>IFERROR(VLOOKUP($A401,observations_series_id_EXJPUS_api_key_ecc133893ea92a842ee685c734246086_file_type[],3,FALSE),"")</f>
        <v>-1.611136678075773</v>
      </c>
      <c r="M401" t="str">
        <f>IFERROR(AVERAGEIFS(timeseries_access_key_fqeas14oitk235763mntlb1c0brnk9w3fenzqbk313q5kvxyf52kukw1pa[Value.LME-ZNC],timeseries_access_key_fqeas14oitk235763mntlb1c0brnk9w3fenzqbk313q5kvxyf52kukw1pa[Month],MONTH(Data!$A401),timeseries_access_key_fqeas14oitk235763mntlb1c0brnk9w3fenzqbk313q5kvxyf52kukw1pa[Year],YEAR(Data!$A401)),"")</f>
        <v/>
      </c>
      <c r="N401" s="2" t="str">
        <f>IFERROR(AVERAGEIFS(timeseries_access_key_fqeas14oitk235763mntlb1c0brnk9w3fenzqbk313q5kvxyf52kukw1pa[Column1],timeseries_access_key_fqeas14oitk235763mntlb1c0brnk9w3fenzqbk313q5kvxyf52kukw1pa[Month],MONTH(Data!$A401),timeseries_access_key_fqeas14oitk235763mntlb1c0brnk9w3fenzqbk313q5kvxyf52kukw1pa[Year],YEAR(Data!$A401)),"")</f>
        <v/>
      </c>
      <c r="O401" s="8" t="str">
        <f>IFERROR(VLOOKUP($A401,Text_1_2[[Text.1.1.3]:[Text.1.3]],2,FALSE),"")</f>
        <v/>
      </c>
      <c r="P401" s="2"/>
    </row>
    <row r="402" spans="1:16" x14ac:dyDescent="0.25">
      <c r="A402" s="1">
        <v>33359</v>
      </c>
      <c r="B402" t="str">
        <f>HLOOKUP(Dashboard!$I$27,results,ROW(A402),FALSE)</f>
        <v/>
      </c>
      <c r="C402">
        <f>IFERROR(VLOOKUP(A402,observations_series_id_PCU22112222112243_api_key_ecc133893ea92a842ee685c73424608[],2,FALSE),"")</f>
        <v>107.8</v>
      </c>
      <c r="D402" s="2">
        <f>IFERROR(VLOOKUP(A402,observations_series_id_PCU22112222112243_api_key_ecc133893ea92a842ee685c73424608[],3,FALSE),"")</f>
        <v>0.83858998144712427</v>
      </c>
      <c r="E402" t="str">
        <f>IFERROR(VLOOKUP($A402,observations_series_id_WPU0613020T_api_key_ecc133893ea92a842ee685c734246086_file[],2,FALSE),"")</f>
        <v/>
      </c>
      <c r="F402" s="2" t="str">
        <f>IFERROR(VLOOKUP($A402,observations_series_id_WPU0613020T_api_key_ecc133893ea92a842ee685c734246086_file[],3,FALSE),"")</f>
        <v/>
      </c>
      <c r="G402" t="str">
        <f>IFERROR(VLOOKUP($A402,observations_series_id_PCU22122212_api_key_ecc133893ea92a842ee685c734246086_file[],2,FALSE),"")</f>
        <v/>
      </c>
      <c r="H402" s="2" t="str">
        <f>IFERROR(VLOOKUP($A402,observations_series_id_PCU22122212_api_key_ecc133893ea92a842ee685c734246086_file[],3,FALSE),"")</f>
        <v/>
      </c>
      <c r="I402">
        <f>IFERROR(VLOOKUP($A402,observations_series_id_PCU3241913241910_api_key_ecc133893ea92a842ee685c734246086[],2,FALSE),"")</f>
        <v>149.30000000000001</v>
      </c>
      <c r="J402" s="2">
        <f>IFERROR(VLOOKUP($A402,observations_series_id_PCU3241913241910_api_key_ecc133893ea92a842ee685c734246086[],3,FALSE),"")</f>
        <v>0.65572672471533822</v>
      </c>
      <c r="K402">
        <f>IFERROR(VLOOKUP($A402,observations_series_id_EXJPUS_api_key_ecc133893ea92a842ee685c734246086_file_type[],2,FALSE),"")</f>
        <v>138.2218</v>
      </c>
      <c r="L402" s="2">
        <f>IFERROR(VLOOKUP($A402,observations_series_id_EXJPUS_api_key_ecc133893ea92a842ee685c734246086_file_type[],3,FALSE),"")</f>
        <v>-1.5901847610145432</v>
      </c>
      <c r="M402" t="str">
        <f>IFERROR(AVERAGEIFS(timeseries_access_key_fqeas14oitk235763mntlb1c0brnk9w3fenzqbk313q5kvxyf52kukw1pa[Value.LME-ZNC],timeseries_access_key_fqeas14oitk235763mntlb1c0brnk9w3fenzqbk313q5kvxyf52kukw1pa[Month],MONTH(Data!$A402),timeseries_access_key_fqeas14oitk235763mntlb1c0brnk9w3fenzqbk313q5kvxyf52kukw1pa[Year],YEAR(Data!$A402)),"")</f>
        <v/>
      </c>
      <c r="N402" s="2" t="str">
        <f>IFERROR(AVERAGEIFS(timeseries_access_key_fqeas14oitk235763mntlb1c0brnk9w3fenzqbk313q5kvxyf52kukw1pa[Column1],timeseries_access_key_fqeas14oitk235763mntlb1c0brnk9w3fenzqbk313q5kvxyf52kukw1pa[Month],MONTH(Data!$A402),timeseries_access_key_fqeas14oitk235763mntlb1c0brnk9w3fenzqbk313q5kvxyf52kukw1pa[Year],YEAR(Data!$A402)),"")</f>
        <v/>
      </c>
      <c r="O402" s="8" t="str">
        <f>IFERROR(VLOOKUP($A402,Text_1_2[[Text.1.1.3]:[Text.1.3]],2,FALSE),"")</f>
        <v/>
      </c>
      <c r="P402" s="2"/>
    </row>
    <row r="403" spans="1:16" x14ac:dyDescent="0.25">
      <c r="A403" s="1">
        <v>33390</v>
      </c>
      <c r="B403" t="str">
        <f>HLOOKUP(Dashboard!$I$27,results,ROW(A403),FALSE)</f>
        <v/>
      </c>
      <c r="C403">
        <f>IFERROR(VLOOKUP(A403,observations_series_id_PCU22112222112243_api_key_ecc133893ea92a842ee685c73424608[],2,FALSE),"")</f>
        <v>111.5</v>
      </c>
      <c r="D403" s="2">
        <f>IFERROR(VLOOKUP(A403,observations_series_id_PCU22112222112243_api_key_ecc133893ea92a842ee685c73424608[],3,FALSE),"")</f>
        <v>0.84394618834080715</v>
      </c>
      <c r="E403" t="str">
        <f>IFERROR(VLOOKUP($A403,observations_series_id_WPU0613020T_api_key_ecc133893ea92a842ee685c734246086_file[],2,FALSE),"")</f>
        <v/>
      </c>
      <c r="F403" s="2" t="str">
        <f>IFERROR(VLOOKUP($A403,observations_series_id_WPU0613020T_api_key_ecc133893ea92a842ee685c734246086_file[],3,FALSE),"")</f>
        <v/>
      </c>
      <c r="G403" t="str">
        <f>IFERROR(VLOOKUP($A403,observations_series_id_PCU22122212_api_key_ecc133893ea92a842ee685c734246086_file[],2,FALSE),"")</f>
        <v/>
      </c>
      <c r="H403" s="2" t="str">
        <f>IFERROR(VLOOKUP($A403,observations_series_id_PCU22122212_api_key_ecc133893ea92a842ee685c734246086_file[],3,FALSE),"")</f>
        <v/>
      </c>
      <c r="I403">
        <f>IFERROR(VLOOKUP($A403,observations_series_id_PCU3241913241910_api_key_ecc133893ea92a842ee685c734246086[],2,FALSE),"")</f>
        <v>149</v>
      </c>
      <c r="J403" s="2">
        <f>IFERROR(VLOOKUP($A403,observations_series_id_PCU3241913241910_api_key_ecc133893ea92a842ee685c734246086[],3,FALSE),"")</f>
        <v>0.65503355704697985</v>
      </c>
      <c r="K403">
        <f>IFERROR(VLOOKUP($A403,observations_series_id_EXJPUS_api_key_ecc133893ea92a842ee685c734246086_file_type[],2,FALSE),"")</f>
        <v>139.7475</v>
      </c>
      <c r="L403" s="2">
        <f>IFERROR(VLOOKUP($A403,observations_series_id_EXJPUS_api_key_ecc133893ea92a842ee685c734246086_file_type[],3,FALSE),"")</f>
        <v>-1.5619062952825629</v>
      </c>
      <c r="M403" t="str">
        <f>IFERROR(AVERAGEIFS(timeseries_access_key_fqeas14oitk235763mntlb1c0brnk9w3fenzqbk313q5kvxyf52kukw1pa[Value.LME-ZNC],timeseries_access_key_fqeas14oitk235763mntlb1c0brnk9w3fenzqbk313q5kvxyf52kukw1pa[Month],MONTH(Data!$A403),timeseries_access_key_fqeas14oitk235763mntlb1c0brnk9w3fenzqbk313q5kvxyf52kukw1pa[Year],YEAR(Data!$A403)),"")</f>
        <v/>
      </c>
      <c r="N403" s="2" t="str">
        <f>IFERROR(AVERAGEIFS(timeseries_access_key_fqeas14oitk235763mntlb1c0brnk9w3fenzqbk313q5kvxyf52kukw1pa[Column1],timeseries_access_key_fqeas14oitk235763mntlb1c0brnk9w3fenzqbk313q5kvxyf52kukw1pa[Month],MONTH(Data!$A403),timeseries_access_key_fqeas14oitk235763mntlb1c0brnk9w3fenzqbk313q5kvxyf52kukw1pa[Year],YEAR(Data!$A403)),"")</f>
        <v/>
      </c>
      <c r="O403" s="8" t="str">
        <f>IFERROR(VLOOKUP($A403,Text_1_2[[Text.1.1.3]:[Text.1.3]],2,FALSE),"")</f>
        <v/>
      </c>
      <c r="P403" s="2"/>
    </row>
    <row r="404" spans="1:16" x14ac:dyDescent="0.25">
      <c r="A404" s="1">
        <v>33420</v>
      </c>
      <c r="B404" t="str">
        <f>HLOOKUP(Dashboard!$I$27,results,ROW(A404),FALSE)</f>
        <v/>
      </c>
      <c r="C404">
        <f>IFERROR(VLOOKUP(A404,observations_series_id_PCU22112222112243_api_key_ecc133893ea92a842ee685c73424608[],2,FALSE),"")</f>
        <v>113.1</v>
      </c>
      <c r="D404" s="2">
        <f>IFERROR(VLOOKUP(A404,observations_series_id_PCU22112222112243_api_key_ecc133893ea92a842ee685c73424608[],3,FALSE),"")</f>
        <v>0.84615384615384615</v>
      </c>
      <c r="E404" t="str">
        <f>IFERROR(VLOOKUP($A404,observations_series_id_WPU0613020T_api_key_ecc133893ea92a842ee685c734246086_file[],2,FALSE),"")</f>
        <v/>
      </c>
      <c r="F404" s="2" t="str">
        <f>IFERROR(VLOOKUP($A404,observations_series_id_WPU0613020T_api_key_ecc133893ea92a842ee685c734246086_file[],3,FALSE),"")</f>
        <v/>
      </c>
      <c r="G404" t="str">
        <f>IFERROR(VLOOKUP($A404,observations_series_id_PCU22122212_api_key_ecc133893ea92a842ee685c734246086_file[],2,FALSE),"")</f>
        <v/>
      </c>
      <c r="H404" s="2" t="str">
        <f>IFERROR(VLOOKUP($A404,observations_series_id_PCU22122212_api_key_ecc133893ea92a842ee685c734246086_file[],3,FALSE),"")</f>
        <v/>
      </c>
      <c r="I404">
        <f>IFERROR(VLOOKUP($A404,observations_series_id_PCU3241913241910_api_key_ecc133893ea92a842ee685c734246086[],2,FALSE),"")</f>
        <v>149</v>
      </c>
      <c r="J404" s="2">
        <f>IFERROR(VLOOKUP($A404,observations_series_id_PCU3241913241910_api_key_ecc133893ea92a842ee685c734246086[],3,FALSE),"")</f>
        <v>0.65503355704697985</v>
      </c>
      <c r="K404">
        <f>IFERROR(VLOOKUP($A404,observations_series_id_EXJPUS_api_key_ecc133893ea92a842ee685c734246086_file_type[],2,FALSE),"")</f>
        <v>137.83000000000001</v>
      </c>
      <c r="L404" s="2">
        <f>IFERROR(VLOOKUP($A404,observations_series_id_EXJPUS_api_key_ecc133893ea92a842ee685c734246086_file_type[],3,FALSE),"")</f>
        <v>-1.5975477036929546</v>
      </c>
      <c r="M404" t="str">
        <f>IFERROR(AVERAGEIFS(timeseries_access_key_fqeas14oitk235763mntlb1c0brnk9w3fenzqbk313q5kvxyf52kukw1pa[Value.LME-ZNC],timeseries_access_key_fqeas14oitk235763mntlb1c0brnk9w3fenzqbk313q5kvxyf52kukw1pa[Month],MONTH(Data!$A404),timeseries_access_key_fqeas14oitk235763mntlb1c0brnk9w3fenzqbk313q5kvxyf52kukw1pa[Year],YEAR(Data!$A404)),"")</f>
        <v/>
      </c>
      <c r="N404" s="2" t="str">
        <f>IFERROR(AVERAGEIFS(timeseries_access_key_fqeas14oitk235763mntlb1c0brnk9w3fenzqbk313q5kvxyf52kukw1pa[Column1],timeseries_access_key_fqeas14oitk235763mntlb1c0brnk9w3fenzqbk313q5kvxyf52kukw1pa[Month],MONTH(Data!$A404),timeseries_access_key_fqeas14oitk235763mntlb1c0brnk9w3fenzqbk313q5kvxyf52kukw1pa[Year],YEAR(Data!$A404)),"")</f>
        <v/>
      </c>
      <c r="O404" s="8" t="str">
        <f>IFERROR(VLOOKUP($A404,Text_1_2[[Text.1.1.3]:[Text.1.3]],2,FALSE),"")</f>
        <v/>
      </c>
      <c r="P404" s="2"/>
    </row>
    <row r="405" spans="1:16" x14ac:dyDescent="0.25">
      <c r="A405" s="1">
        <v>33451</v>
      </c>
      <c r="B405" t="str">
        <f>HLOOKUP(Dashboard!$I$27,results,ROW(A405),FALSE)</f>
        <v/>
      </c>
      <c r="C405">
        <f>IFERROR(VLOOKUP(A405,observations_series_id_PCU22112222112243_api_key_ecc133893ea92a842ee685c73424608[],2,FALSE),"")</f>
        <v>112.5</v>
      </c>
      <c r="D405" s="2">
        <f>IFERROR(VLOOKUP(A405,observations_series_id_PCU22112222112243_api_key_ecc133893ea92a842ee685c73424608[],3,FALSE),"")</f>
        <v>0.84533333333333338</v>
      </c>
      <c r="E405" t="str">
        <f>IFERROR(VLOOKUP($A405,observations_series_id_WPU0613020T_api_key_ecc133893ea92a842ee685c734246086_file[],2,FALSE),"")</f>
        <v/>
      </c>
      <c r="F405" s="2" t="str">
        <f>IFERROR(VLOOKUP($A405,observations_series_id_WPU0613020T_api_key_ecc133893ea92a842ee685c734246086_file[],3,FALSE),"")</f>
        <v/>
      </c>
      <c r="G405" t="str">
        <f>IFERROR(VLOOKUP($A405,observations_series_id_PCU22122212_api_key_ecc133893ea92a842ee685c734246086_file[],2,FALSE),"")</f>
        <v/>
      </c>
      <c r="H405" s="2" t="str">
        <f>IFERROR(VLOOKUP($A405,observations_series_id_PCU22122212_api_key_ecc133893ea92a842ee685c734246086_file[],3,FALSE),"")</f>
        <v/>
      </c>
      <c r="I405">
        <f>IFERROR(VLOOKUP($A405,observations_series_id_PCU3241913241910_api_key_ecc133893ea92a842ee685c734246086[],2,FALSE),"")</f>
        <v>148.69999999999999</v>
      </c>
      <c r="J405" s="2">
        <f>IFERROR(VLOOKUP($A405,observations_series_id_PCU3241913241910_api_key_ecc133893ea92a842ee685c734246086[],3,FALSE),"")</f>
        <v>0.65433759246805645</v>
      </c>
      <c r="K405">
        <f>IFERROR(VLOOKUP($A405,observations_series_id_EXJPUS_api_key_ecc133893ea92a842ee685c734246086_file_type[],2,FALSE),"")</f>
        <v>136.81639999999999</v>
      </c>
      <c r="L405" s="2">
        <f>IFERROR(VLOOKUP($A405,observations_series_id_EXJPUS_api_key_ecc133893ea92a842ee685c734246086_file_type[],3,FALSE),"")</f>
        <v>-1.6167915542288793</v>
      </c>
      <c r="M405" t="str">
        <f>IFERROR(AVERAGEIFS(timeseries_access_key_fqeas14oitk235763mntlb1c0brnk9w3fenzqbk313q5kvxyf52kukw1pa[Value.LME-ZNC],timeseries_access_key_fqeas14oitk235763mntlb1c0brnk9w3fenzqbk313q5kvxyf52kukw1pa[Month],MONTH(Data!$A405),timeseries_access_key_fqeas14oitk235763mntlb1c0brnk9w3fenzqbk313q5kvxyf52kukw1pa[Year],YEAR(Data!$A405)),"")</f>
        <v/>
      </c>
      <c r="N405" s="2" t="str">
        <f>IFERROR(AVERAGEIFS(timeseries_access_key_fqeas14oitk235763mntlb1c0brnk9w3fenzqbk313q5kvxyf52kukw1pa[Column1],timeseries_access_key_fqeas14oitk235763mntlb1c0brnk9w3fenzqbk313q5kvxyf52kukw1pa[Month],MONTH(Data!$A405),timeseries_access_key_fqeas14oitk235763mntlb1c0brnk9w3fenzqbk313q5kvxyf52kukw1pa[Year],YEAR(Data!$A405)),"")</f>
        <v/>
      </c>
      <c r="O405" s="8" t="str">
        <f>IFERROR(VLOOKUP($A405,Text_1_2[[Text.1.1.3]:[Text.1.3]],2,FALSE),"")</f>
        <v/>
      </c>
      <c r="P405" s="2"/>
    </row>
    <row r="406" spans="1:16" x14ac:dyDescent="0.25">
      <c r="A406" s="1">
        <v>33482</v>
      </c>
      <c r="B406" t="str">
        <f>HLOOKUP(Dashboard!$I$27,results,ROW(A406),FALSE)</f>
        <v/>
      </c>
      <c r="C406">
        <f>IFERROR(VLOOKUP(A406,observations_series_id_PCU22112222112243_api_key_ecc133893ea92a842ee685c73424608[],2,FALSE),"")</f>
        <v>112.5</v>
      </c>
      <c r="D406" s="2">
        <f>IFERROR(VLOOKUP(A406,observations_series_id_PCU22112222112243_api_key_ecc133893ea92a842ee685c73424608[],3,FALSE),"")</f>
        <v>0.84533333333333338</v>
      </c>
      <c r="E406" t="str">
        <f>IFERROR(VLOOKUP($A406,observations_series_id_WPU0613020T_api_key_ecc133893ea92a842ee685c734246086_file[],2,FALSE),"")</f>
        <v/>
      </c>
      <c r="F406" s="2" t="str">
        <f>IFERROR(VLOOKUP($A406,observations_series_id_WPU0613020T_api_key_ecc133893ea92a842ee685c734246086_file[],3,FALSE),"")</f>
        <v/>
      </c>
      <c r="G406" t="str">
        <f>IFERROR(VLOOKUP($A406,observations_series_id_PCU22122212_api_key_ecc133893ea92a842ee685c734246086_file[],2,FALSE),"")</f>
        <v/>
      </c>
      <c r="H406" s="2" t="str">
        <f>IFERROR(VLOOKUP($A406,observations_series_id_PCU22122212_api_key_ecc133893ea92a842ee685c734246086_file[],3,FALSE),"")</f>
        <v/>
      </c>
      <c r="I406">
        <f>IFERROR(VLOOKUP($A406,observations_series_id_PCU3241913241910_api_key_ecc133893ea92a842ee685c734246086[],2,FALSE),"")</f>
        <v>148.69999999999999</v>
      </c>
      <c r="J406" s="2">
        <f>IFERROR(VLOOKUP($A406,observations_series_id_PCU3241913241910_api_key_ecc133893ea92a842ee685c734246086[],3,FALSE),"")</f>
        <v>0.65433759246805645</v>
      </c>
      <c r="K406">
        <f>IFERROR(VLOOKUP($A406,observations_series_id_EXJPUS_api_key_ecc133893ea92a842ee685c734246086_file_type[],2,FALSE),"")</f>
        <v>134.29949999999999</v>
      </c>
      <c r="L406" s="2">
        <f>IFERROR(VLOOKUP($A406,observations_series_id_EXJPUS_api_key_ecc133893ea92a842ee685c734246086_file_type[],3,FALSE),"")</f>
        <v>-1.6658327097271397</v>
      </c>
      <c r="M406" t="str">
        <f>IFERROR(AVERAGEIFS(timeseries_access_key_fqeas14oitk235763mntlb1c0brnk9w3fenzqbk313q5kvxyf52kukw1pa[Value.LME-ZNC],timeseries_access_key_fqeas14oitk235763mntlb1c0brnk9w3fenzqbk313q5kvxyf52kukw1pa[Month],MONTH(Data!$A406),timeseries_access_key_fqeas14oitk235763mntlb1c0brnk9w3fenzqbk313q5kvxyf52kukw1pa[Year],YEAR(Data!$A406)),"")</f>
        <v/>
      </c>
      <c r="N406" s="2" t="str">
        <f>IFERROR(AVERAGEIFS(timeseries_access_key_fqeas14oitk235763mntlb1c0brnk9w3fenzqbk313q5kvxyf52kukw1pa[Column1],timeseries_access_key_fqeas14oitk235763mntlb1c0brnk9w3fenzqbk313q5kvxyf52kukw1pa[Month],MONTH(Data!$A406),timeseries_access_key_fqeas14oitk235763mntlb1c0brnk9w3fenzqbk313q5kvxyf52kukw1pa[Year],YEAR(Data!$A406)),"")</f>
        <v/>
      </c>
      <c r="O406" s="8" t="str">
        <f>IFERROR(VLOOKUP($A406,Text_1_2[[Text.1.1.3]:[Text.1.3]],2,FALSE),"")</f>
        <v/>
      </c>
      <c r="P406" s="2"/>
    </row>
    <row r="407" spans="1:16" x14ac:dyDescent="0.25">
      <c r="A407" s="1">
        <v>33512</v>
      </c>
      <c r="B407" t="str">
        <f>HLOOKUP(Dashboard!$I$27,results,ROW(A407),FALSE)</f>
        <v/>
      </c>
      <c r="C407">
        <f>IFERROR(VLOOKUP(A407,observations_series_id_PCU22112222112243_api_key_ecc133893ea92a842ee685c73424608[],2,FALSE),"")</f>
        <v>107.9</v>
      </c>
      <c r="D407" s="2">
        <f>IFERROR(VLOOKUP(A407,observations_series_id_PCU22112222112243_api_key_ecc133893ea92a842ee685c73424608[],3,FALSE),"")</f>
        <v>0.83873957367933272</v>
      </c>
      <c r="E407" t="str">
        <f>IFERROR(VLOOKUP($A407,observations_series_id_WPU0613020T_api_key_ecc133893ea92a842ee685c734246086_file[],2,FALSE),"")</f>
        <v/>
      </c>
      <c r="F407" s="2" t="str">
        <f>IFERROR(VLOOKUP($A407,observations_series_id_WPU0613020T_api_key_ecc133893ea92a842ee685c734246086_file[],3,FALSE),"")</f>
        <v/>
      </c>
      <c r="G407" t="str">
        <f>IFERROR(VLOOKUP($A407,observations_series_id_PCU22122212_api_key_ecc133893ea92a842ee685c734246086_file[],2,FALSE),"")</f>
        <v/>
      </c>
      <c r="H407" s="2" t="str">
        <f>IFERROR(VLOOKUP($A407,observations_series_id_PCU22122212_api_key_ecc133893ea92a842ee685c734246086_file[],3,FALSE),"")</f>
        <v/>
      </c>
      <c r="I407">
        <f>IFERROR(VLOOKUP($A407,observations_series_id_PCU3241913241910_api_key_ecc133893ea92a842ee685c734246086[],2,FALSE),"")</f>
        <v>147.9</v>
      </c>
      <c r="J407" s="2">
        <f>IFERROR(VLOOKUP($A407,observations_series_id_PCU3241913241910_api_key_ecc133893ea92a842ee685c734246086[],3,FALSE),"")</f>
        <v>0.65246788370520625</v>
      </c>
      <c r="K407">
        <f>IFERROR(VLOOKUP($A407,observations_series_id_EXJPUS_api_key_ecc133893ea92a842ee685c734246086_file_type[],2,FALSE),"")</f>
        <v>130.7723</v>
      </c>
      <c r="L407" s="2">
        <f>IFERROR(VLOOKUP($A407,observations_series_id_EXJPUS_api_key_ecc133893ea92a842ee685c734246086_file_type[],3,FALSE),"")</f>
        <v>-1.7377357437316618</v>
      </c>
      <c r="M407" t="str">
        <f>IFERROR(AVERAGEIFS(timeseries_access_key_fqeas14oitk235763mntlb1c0brnk9w3fenzqbk313q5kvxyf52kukw1pa[Value.LME-ZNC],timeseries_access_key_fqeas14oitk235763mntlb1c0brnk9w3fenzqbk313q5kvxyf52kukw1pa[Month],MONTH(Data!$A407),timeseries_access_key_fqeas14oitk235763mntlb1c0brnk9w3fenzqbk313q5kvxyf52kukw1pa[Year],YEAR(Data!$A407)),"")</f>
        <v/>
      </c>
      <c r="N407" s="2" t="str">
        <f>IFERROR(AVERAGEIFS(timeseries_access_key_fqeas14oitk235763mntlb1c0brnk9w3fenzqbk313q5kvxyf52kukw1pa[Column1],timeseries_access_key_fqeas14oitk235763mntlb1c0brnk9w3fenzqbk313q5kvxyf52kukw1pa[Month],MONTH(Data!$A407),timeseries_access_key_fqeas14oitk235763mntlb1c0brnk9w3fenzqbk313q5kvxyf52kukw1pa[Year],YEAR(Data!$A407)),"")</f>
        <v/>
      </c>
      <c r="O407" s="8" t="str">
        <f>IFERROR(VLOOKUP($A407,Text_1_2[[Text.1.1.3]:[Text.1.3]],2,FALSE),"")</f>
        <v/>
      </c>
      <c r="P407" s="2"/>
    </row>
    <row r="408" spans="1:16" x14ac:dyDescent="0.25">
      <c r="A408" s="1">
        <v>33543</v>
      </c>
      <c r="B408" t="str">
        <f>HLOOKUP(Dashboard!$I$27,results,ROW(A408),FALSE)</f>
        <v/>
      </c>
      <c r="C408">
        <f>IFERROR(VLOOKUP(A408,observations_series_id_PCU22112222112243_api_key_ecc133893ea92a842ee685c73424608[],2,FALSE),"")</f>
        <v>103.5</v>
      </c>
      <c r="D408" s="2">
        <f>IFERROR(VLOOKUP(A408,observations_series_id_PCU22112222112243_api_key_ecc133893ea92a842ee685c73424608[],3,FALSE),"")</f>
        <v>0.8318840579710145</v>
      </c>
      <c r="E408" t="str">
        <f>IFERROR(VLOOKUP($A408,observations_series_id_WPU0613020T_api_key_ecc133893ea92a842ee685c734246086_file[],2,FALSE),"")</f>
        <v/>
      </c>
      <c r="F408" s="2" t="str">
        <f>IFERROR(VLOOKUP($A408,observations_series_id_WPU0613020T_api_key_ecc133893ea92a842ee685c734246086_file[],3,FALSE),"")</f>
        <v/>
      </c>
      <c r="G408" t="str">
        <f>IFERROR(VLOOKUP($A408,observations_series_id_PCU22122212_api_key_ecc133893ea92a842ee685c734246086_file[],2,FALSE),"")</f>
        <v/>
      </c>
      <c r="H408" s="2" t="str">
        <f>IFERROR(VLOOKUP($A408,observations_series_id_PCU22122212_api_key_ecc133893ea92a842ee685c734246086_file[],3,FALSE),"")</f>
        <v/>
      </c>
      <c r="I408">
        <f>IFERROR(VLOOKUP($A408,observations_series_id_PCU3241913241910_api_key_ecc133893ea92a842ee685c734246086[],2,FALSE),"")</f>
        <v>148</v>
      </c>
      <c r="J408" s="2">
        <f>IFERROR(VLOOKUP($A408,observations_series_id_PCU3241913241910_api_key_ecc133893ea92a842ee685c734246086[],3,FALSE),"")</f>
        <v>0.6527027027027027</v>
      </c>
      <c r="K408">
        <f>IFERROR(VLOOKUP($A408,observations_series_id_EXJPUS_api_key_ecc133893ea92a842ee685c734246086_file_type[],2,FALSE),"")</f>
        <v>129.63210000000001</v>
      </c>
      <c r="L408" s="2">
        <f>IFERROR(VLOOKUP($A408,observations_series_id_EXJPUS_api_key_ecc133893ea92a842ee685c734246086_file_type[],3,FALSE),"")</f>
        <v>-1.7618159391076742</v>
      </c>
      <c r="M408" t="str">
        <f>IFERROR(AVERAGEIFS(timeseries_access_key_fqeas14oitk235763mntlb1c0brnk9w3fenzqbk313q5kvxyf52kukw1pa[Value.LME-ZNC],timeseries_access_key_fqeas14oitk235763mntlb1c0brnk9w3fenzqbk313q5kvxyf52kukw1pa[Month],MONTH(Data!$A408),timeseries_access_key_fqeas14oitk235763mntlb1c0brnk9w3fenzqbk313q5kvxyf52kukw1pa[Year],YEAR(Data!$A408)),"")</f>
        <v/>
      </c>
      <c r="N408" s="2" t="str">
        <f>IFERROR(AVERAGEIFS(timeseries_access_key_fqeas14oitk235763mntlb1c0brnk9w3fenzqbk313q5kvxyf52kukw1pa[Column1],timeseries_access_key_fqeas14oitk235763mntlb1c0brnk9w3fenzqbk313q5kvxyf52kukw1pa[Month],MONTH(Data!$A408),timeseries_access_key_fqeas14oitk235763mntlb1c0brnk9w3fenzqbk313q5kvxyf52kukw1pa[Year],YEAR(Data!$A408)),"")</f>
        <v/>
      </c>
      <c r="O408" s="8" t="str">
        <f>IFERROR(VLOOKUP($A408,Text_1_2[[Text.1.1.3]:[Text.1.3]],2,FALSE),"")</f>
        <v/>
      </c>
      <c r="P408" s="2"/>
    </row>
    <row r="409" spans="1:16" x14ac:dyDescent="0.25">
      <c r="A409" s="1">
        <v>33573</v>
      </c>
      <c r="B409" t="str">
        <f>HLOOKUP(Dashboard!$I$27,results,ROW(A409),FALSE)</f>
        <v/>
      </c>
      <c r="C409">
        <f>IFERROR(VLOOKUP(A409,observations_series_id_PCU22112222112243_api_key_ecc133893ea92a842ee685c73424608[],2,FALSE),"")</f>
        <v>105.2</v>
      </c>
      <c r="D409" s="2">
        <f>IFERROR(VLOOKUP(A409,observations_series_id_PCU22112222112243_api_key_ecc133893ea92a842ee685c73424608[],3,FALSE),"")</f>
        <v>0.83460076045627374</v>
      </c>
      <c r="E409" t="str">
        <f>IFERROR(VLOOKUP($A409,observations_series_id_WPU0613020T_api_key_ecc133893ea92a842ee685c734246086_file[],2,FALSE),"")</f>
        <v/>
      </c>
      <c r="F409" s="2" t="str">
        <f>IFERROR(VLOOKUP($A409,observations_series_id_WPU0613020T_api_key_ecc133893ea92a842ee685c734246086_file[],3,FALSE),"")</f>
        <v/>
      </c>
      <c r="G409" t="str">
        <f>IFERROR(VLOOKUP($A409,observations_series_id_PCU22122212_api_key_ecc133893ea92a842ee685c734246086_file[],2,FALSE),"")</f>
        <v/>
      </c>
      <c r="H409" s="2" t="str">
        <f>IFERROR(VLOOKUP($A409,observations_series_id_PCU22122212_api_key_ecc133893ea92a842ee685c734246086_file[],3,FALSE),"")</f>
        <v/>
      </c>
      <c r="I409">
        <f>IFERROR(VLOOKUP($A409,observations_series_id_PCU3241913241910_api_key_ecc133893ea92a842ee685c734246086[],2,FALSE),"")</f>
        <v>147.9</v>
      </c>
      <c r="J409" s="2">
        <f>IFERROR(VLOOKUP($A409,observations_series_id_PCU3241913241910_api_key_ecc133893ea92a842ee685c734246086[],3,FALSE),"")</f>
        <v>0.65246788370520625</v>
      </c>
      <c r="K409">
        <f>IFERROR(VLOOKUP($A409,observations_series_id_EXJPUS_api_key_ecc133893ea92a842ee685c734246086_file_type[],2,FALSE),"")</f>
        <v>128.0395</v>
      </c>
      <c r="L409" s="2">
        <f>IFERROR(VLOOKUP($A409,observations_series_id_EXJPUS_api_key_ecc133893ea92a842ee685c734246086_file_type[],3,FALSE),"")</f>
        <v>-1.7961683699170958</v>
      </c>
      <c r="M409" t="str">
        <f>IFERROR(AVERAGEIFS(timeseries_access_key_fqeas14oitk235763mntlb1c0brnk9w3fenzqbk313q5kvxyf52kukw1pa[Value.LME-ZNC],timeseries_access_key_fqeas14oitk235763mntlb1c0brnk9w3fenzqbk313q5kvxyf52kukw1pa[Month],MONTH(Data!$A409),timeseries_access_key_fqeas14oitk235763mntlb1c0brnk9w3fenzqbk313q5kvxyf52kukw1pa[Year],YEAR(Data!$A409)),"")</f>
        <v/>
      </c>
      <c r="N409" s="2" t="str">
        <f>IFERROR(AVERAGEIFS(timeseries_access_key_fqeas14oitk235763mntlb1c0brnk9w3fenzqbk313q5kvxyf52kukw1pa[Column1],timeseries_access_key_fqeas14oitk235763mntlb1c0brnk9w3fenzqbk313q5kvxyf52kukw1pa[Month],MONTH(Data!$A409),timeseries_access_key_fqeas14oitk235763mntlb1c0brnk9w3fenzqbk313q5kvxyf52kukw1pa[Year],YEAR(Data!$A409)),"")</f>
        <v/>
      </c>
      <c r="O409" s="8" t="str">
        <f>IFERROR(VLOOKUP($A409,Text_1_2[[Text.1.1.3]:[Text.1.3]],2,FALSE),"")</f>
        <v/>
      </c>
      <c r="P409" s="2"/>
    </row>
    <row r="410" spans="1:16" x14ac:dyDescent="0.25">
      <c r="A410" s="1">
        <v>33604</v>
      </c>
      <c r="B410" t="str">
        <f>HLOOKUP(Dashboard!$I$27,results,ROW(A410),FALSE)</f>
        <v/>
      </c>
      <c r="C410">
        <f>IFERROR(VLOOKUP(A410,observations_series_id_PCU22112222112243_api_key_ecc133893ea92a842ee685c73424608[],2,FALSE),"")</f>
        <v>105.9</v>
      </c>
      <c r="D410" s="2">
        <f>IFERROR(VLOOKUP(A410,observations_series_id_PCU22112222112243_api_key_ecc133893ea92a842ee685c73424608[],3,FALSE),"")</f>
        <v>0.8356940509915014</v>
      </c>
      <c r="E410" t="str">
        <f>IFERROR(VLOOKUP($A410,observations_series_id_WPU0613020T_api_key_ecc133893ea92a842ee685c734246086_file[],2,FALSE),"")</f>
        <v/>
      </c>
      <c r="F410" s="2" t="str">
        <f>IFERROR(VLOOKUP($A410,observations_series_id_WPU0613020T_api_key_ecc133893ea92a842ee685c734246086_file[],3,FALSE),"")</f>
        <v/>
      </c>
      <c r="G410" t="str">
        <f>IFERROR(VLOOKUP($A410,observations_series_id_PCU22122212_api_key_ecc133893ea92a842ee685c734246086_file[],2,FALSE),"")</f>
        <v/>
      </c>
      <c r="H410" s="2" t="str">
        <f>IFERROR(VLOOKUP($A410,observations_series_id_PCU22122212_api_key_ecc133893ea92a842ee685c734246086_file[],3,FALSE),"")</f>
        <v/>
      </c>
      <c r="I410">
        <f>IFERROR(VLOOKUP($A410,observations_series_id_PCU3241913241910_api_key_ecc133893ea92a842ee685c734246086[],2,FALSE),"")</f>
        <v>148</v>
      </c>
      <c r="J410" s="2">
        <f>IFERROR(VLOOKUP($A410,observations_series_id_PCU3241913241910_api_key_ecc133893ea92a842ee685c734246086[],3,FALSE),"")</f>
        <v>0.6527027027027027</v>
      </c>
      <c r="K410">
        <f>IFERROR(VLOOKUP($A410,observations_series_id_EXJPUS_api_key_ecc133893ea92a842ee685c734246086_file_type[],2,FALSE),"")</f>
        <v>125.4614</v>
      </c>
      <c r="L410" s="2">
        <f>IFERROR(VLOOKUP($A410,observations_series_id_EXJPUS_api_key_ecc133893ea92a842ee685c734246086_file_type[],3,FALSE),"")</f>
        <v>-1.8536266931502436</v>
      </c>
      <c r="M410" t="str">
        <f>IFERROR(AVERAGEIFS(timeseries_access_key_fqeas14oitk235763mntlb1c0brnk9w3fenzqbk313q5kvxyf52kukw1pa[Value.LME-ZNC],timeseries_access_key_fqeas14oitk235763mntlb1c0brnk9w3fenzqbk313q5kvxyf52kukw1pa[Month],MONTH(Data!$A410),timeseries_access_key_fqeas14oitk235763mntlb1c0brnk9w3fenzqbk313q5kvxyf52kukw1pa[Year],YEAR(Data!$A410)),"")</f>
        <v/>
      </c>
      <c r="N410" s="2" t="str">
        <f>IFERROR(AVERAGEIFS(timeseries_access_key_fqeas14oitk235763mntlb1c0brnk9w3fenzqbk313q5kvxyf52kukw1pa[Column1],timeseries_access_key_fqeas14oitk235763mntlb1c0brnk9w3fenzqbk313q5kvxyf52kukw1pa[Month],MONTH(Data!$A410),timeseries_access_key_fqeas14oitk235763mntlb1c0brnk9w3fenzqbk313q5kvxyf52kukw1pa[Year],YEAR(Data!$A410)),"")</f>
        <v/>
      </c>
      <c r="O410" s="8" t="str">
        <f>IFERROR(VLOOKUP($A410,Text_1_2[[Text.1.1.3]:[Text.1.3]],2,FALSE),"")</f>
        <v/>
      </c>
      <c r="P410" s="2"/>
    </row>
    <row r="411" spans="1:16" x14ac:dyDescent="0.25">
      <c r="A411" s="1">
        <v>33635</v>
      </c>
      <c r="B411" t="str">
        <f>HLOOKUP(Dashboard!$I$27,results,ROW(A411),FALSE)</f>
        <v/>
      </c>
      <c r="C411">
        <f>IFERROR(VLOOKUP(A411,observations_series_id_PCU22112222112243_api_key_ecc133893ea92a842ee685c73424608[],2,FALSE),"")</f>
        <v>105.4</v>
      </c>
      <c r="D411" s="2">
        <f>IFERROR(VLOOKUP(A411,observations_series_id_PCU22112222112243_api_key_ecc133893ea92a842ee685c73424608[],3,FALSE),"")</f>
        <v>0.83491461100569264</v>
      </c>
      <c r="E411" t="str">
        <f>IFERROR(VLOOKUP($A411,observations_series_id_WPU0613020T_api_key_ecc133893ea92a842ee685c734246086_file[],2,FALSE),"")</f>
        <v/>
      </c>
      <c r="F411" s="2" t="str">
        <f>IFERROR(VLOOKUP($A411,observations_series_id_WPU0613020T_api_key_ecc133893ea92a842ee685c734246086_file[],3,FALSE),"")</f>
        <v/>
      </c>
      <c r="G411" t="str">
        <f>IFERROR(VLOOKUP($A411,observations_series_id_PCU22122212_api_key_ecc133893ea92a842ee685c734246086_file[],2,FALSE),"")</f>
        <v/>
      </c>
      <c r="H411" s="2" t="str">
        <f>IFERROR(VLOOKUP($A411,observations_series_id_PCU22122212_api_key_ecc133893ea92a842ee685c734246086_file[],3,FALSE),"")</f>
        <v/>
      </c>
      <c r="I411">
        <f>IFERROR(VLOOKUP($A411,observations_series_id_PCU3241913241910_api_key_ecc133893ea92a842ee685c734246086[],2,FALSE),"")</f>
        <v>148.30000000000001</v>
      </c>
      <c r="J411" s="2">
        <f>IFERROR(VLOOKUP($A411,observations_series_id_PCU3241913241910_api_key_ecc133893ea92a842ee685c734246086[],3,FALSE),"")</f>
        <v>0.65340525960890083</v>
      </c>
      <c r="K411">
        <f>IFERROR(VLOOKUP($A411,observations_series_id_EXJPUS_api_key_ecc133893ea92a842ee685c734246086_file_type[],2,FALSE),"")</f>
        <v>127.69889999999999</v>
      </c>
      <c r="L411" s="2">
        <f>IFERROR(VLOOKUP($A411,observations_series_id_EXJPUS_api_key_ecc133893ea92a842ee685c734246086_file_type[],3,FALSE),"")</f>
        <v>-1.8036263429050678</v>
      </c>
      <c r="M411" t="str">
        <f>IFERROR(AVERAGEIFS(timeseries_access_key_fqeas14oitk235763mntlb1c0brnk9w3fenzqbk313q5kvxyf52kukw1pa[Value.LME-ZNC],timeseries_access_key_fqeas14oitk235763mntlb1c0brnk9w3fenzqbk313q5kvxyf52kukw1pa[Month],MONTH(Data!$A411),timeseries_access_key_fqeas14oitk235763mntlb1c0brnk9w3fenzqbk313q5kvxyf52kukw1pa[Year],YEAR(Data!$A411)),"")</f>
        <v/>
      </c>
      <c r="N411" s="2" t="str">
        <f>IFERROR(AVERAGEIFS(timeseries_access_key_fqeas14oitk235763mntlb1c0brnk9w3fenzqbk313q5kvxyf52kukw1pa[Column1],timeseries_access_key_fqeas14oitk235763mntlb1c0brnk9w3fenzqbk313q5kvxyf52kukw1pa[Month],MONTH(Data!$A411),timeseries_access_key_fqeas14oitk235763mntlb1c0brnk9w3fenzqbk313q5kvxyf52kukw1pa[Year],YEAR(Data!$A411)),"")</f>
        <v/>
      </c>
      <c r="O411" s="8" t="str">
        <f>IFERROR(VLOOKUP($A411,Text_1_2[[Text.1.1.3]:[Text.1.3]],2,FALSE),"")</f>
        <v/>
      </c>
      <c r="P411" s="2"/>
    </row>
    <row r="412" spans="1:16" x14ac:dyDescent="0.25">
      <c r="A412" s="1">
        <v>33664</v>
      </c>
      <c r="B412" t="str">
        <f>HLOOKUP(Dashboard!$I$27,results,ROW(A412),FALSE)</f>
        <v/>
      </c>
      <c r="C412">
        <f>IFERROR(VLOOKUP(A412,observations_series_id_PCU22112222112243_api_key_ecc133893ea92a842ee685c73424608[],2,FALSE),"")</f>
        <v>105.7</v>
      </c>
      <c r="D412" s="2">
        <f>IFERROR(VLOOKUP(A412,observations_series_id_PCU22112222112243_api_key_ecc133893ea92a842ee685c73424608[],3,FALSE),"")</f>
        <v>0.83538315988647116</v>
      </c>
      <c r="E412" t="str">
        <f>IFERROR(VLOOKUP($A412,observations_series_id_WPU0613020T_api_key_ecc133893ea92a842ee685c734246086_file[],2,FALSE),"")</f>
        <v/>
      </c>
      <c r="F412" s="2" t="str">
        <f>IFERROR(VLOOKUP($A412,observations_series_id_WPU0613020T_api_key_ecc133893ea92a842ee685c734246086_file[],3,FALSE),"")</f>
        <v/>
      </c>
      <c r="G412" t="str">
        <f>IFERROR(VLOOKUP($A412,observations_series_id_PCU22122212_api_key_ecc133893ea92a842ee685c734246086_file[],2,FALSE),"")</f>
        <v/>
      </c>
      <c r="H412" s="2" t="str">
        <f>IFERROR(VLOOKUP($A412,observations_series_id_PCU22122212_api_key_ecc133893ea92a842ee685c734246086_file[],3,FALSE),"")</f>
        <v/>
      </c>
      <c r="I412">
        <f>IFERROR(VLOOKUP($A412,observations_series_id_PCU3241913241910_api_key_ecc133893ea92a842ee685c734246086[],2,FALSE),"")</f>
        <v>148.30000000000001</v>
      </c>
      <c r="J412" s="2">
        <f>IFERROR(VLOOKUP($A412,observations_series_id_PCU3241913241910_api_key_ecc133893ea92a842ee685c734246086[],3,FALSE),"")</f>
        <v>0.65340525960890083</v>
      </c>
      <c r="K412">
        <f>IFERROR(VLOOKUP($A412,observations_series_id_EXJPUS_api_key_ecc133893ea92a842ee685c734246086_file_type[],2,FALSE),"")</f>
        <v>132.86269999999999</v>
      </c>
      <c r="L412" s="2">
        <f>IFERROR(VLOOKUP($A412,observations_series_id_EXJPUS_api_key_ecc133893ea92a842ee685c734246086_file_type[],3,FALSE),"")</f>
        <v>-1.6946614813638443</v>
      </c>
      <c r="M412" t="str">
        <f>IFERROR(AVERAGEIFS(timeseries_access_key_fqeas14oitk235763mntlb1c0brnk9w3fenzqbk313q5kvxyf52kukw1pa[Value.LME-ZNC],timeseries_access_key_fqeas14oitk235763mntlb1c0brnk9w3fenzqbk313q5kvxyf52kukw1pa[Month],MONTH(Data!$A412),timeseries_access_key_fqeas14oitk235763mntlb1c0brnk9w3fenzqbk313q5kvxyf52kukw1pa[Year],YEAR(Data!$A412)),"")</f>
        <v/>
      </c>
      <c r="N412" s="2" t="str">
        <f>IFERROR(AVERAGEIFS(timeseries_access_key_fqeas14oitk235763mntlb1c0brnk9w3fenzqbk313q5kvxyf52kukw1pa[Column1],timeseries_access_key_fqeas14oitk235763mntlb1c0brnk9w3fenzqbk313q5kvxyf52kukw1pa[Month],MONTH(Data!$A412),timeseries_access_key_fqeas14oitk235763mntlb1c0brnk9w3fenzqbk313q5kvxyf52kukw1pa[Year],YEAR(Data!$A412)),"")</f>
        <v/>
      </c>
      <c r="O412" s="8" t="str">
        <f>IFERROR(VLOOKUP($A412,Text_1_2[[Text.1.1.3]:[Text.1.3]],2,FALSE),"")</f>
        <v/>
      </c>
      <c r="P412" s="2"/>
    </row>
    <row r="413" spans="1:16" x14ac:dyDescent="0.25">
      <c r="A413" s="1">
        <v>33695</v>
      </c>
      <c r="B413" t="str">
        <f>HLOOKUP(Dashboard!$I$27,results,ROW(A413),FALSE)</f>
        <v/>
      </c>
      <c r="C413">
        <f>IFERROR(VLOOKUP(A413,observations_series_id_PCU22112222112243_api_key_ecc133893ea92a842ee685c73424608[],2,FALSE),"")</f>
        <v>105</v>
      </c>
      <c r="D413" s="2">
        <f>IFERROR(VLOOKUP(A413,observations_series_id_PCU22112222112243_api_key_ecc133893ea92a842ee685c73424608[],3,FALSE),"")</f>
        <v>0.8342857142857143</v>
      </c>
      <c r="E413" t="str">
        <f>IFERROR(VLOOKUP($A413,observations_series_id_WPU0613020T_api_key_ecc133893ea92a842ee685c734246086_file[],2,FALSE),"")</f>
        <v/>
      </c>
      <c r="F413" s="2" t="str">
        <f>IFERROR(VLOOKUP($A413,observations_series_id_WPU0613020T_api_key_ecc133893ea92a842ee685c734246086_file[],3,FALSE),"")</f>
        <v/>
      </c>
      <c r="G413" t="str">
        <f>IFERROR(VLOOKUP($A413,observations_series_id_PCU22122212_api_key_ecc133893ea92a842ee685c734246086_file[],2,FALSE),"")</f>
        <v/>
      </c>
      <c r="H413" s="2" t="str">
        <f>IFERROR(VLOOKUP($A413,observations_series_id_PCU22122212_api_key_ecc133893ea92a842ee685c734246086_file[],3,FALSE),"")</f>
        <v/>
      </c>
      <c r="I413">
        <f>IFERROR(VLOOKUP($A413,observations_series_id_PCU3241913241910_api_key_ecc133893ea92a842ee685c734246086[],2,FALSE),"")</f>
        <v>148.30000000000001</v>
      </c>
      <c r="J413" s="2">
        <f>IFERROR(VLOOKUP($A413,observations_series_id_PCU3241913241910_api_key_ecc133893ea92a842ee685c734246086[],3,FALSE),"")</f>
        <v>0.65340525960890083</v>
      </c>
      <c r="K413">
        <f>IFERROR(VLOOKUP($A413,observations_series_id_EXJPUS_api_key_ecc133893ea92a842ee685c734246086_file_type[],2,FALSE),"")</f>
        <v>133.5395</v>
      </c>
      <c r="L413" s="2">
        <f>IFERROR(VLOOKUP($A413,observations_series_id_EXJPUS_api_key_ecc133893ea92a842ee685c734246086_file_type[],3,FALSE),"")</f>
        <v>-1.6810044967968278</v>
      </c>
      <c r="M413" t="str">
        <f>IFERROR(AVERAGEIFS(timeseries_access_key_fqeas14oitk235763mntlb1c0brnk9w3fenzqbk313q5kvxyf52kukw1pa[Value.LME-ZNC],timeseries_access_key_fqeas14oitk235763mntlb1c0brnk9w3fenzqbk313q5kvxyf52kukw1pa[Month],MONTH(Data!$A413),timeseries_access_key_fqeas14oitk235763mntlb1c0brnk9w3fenzqbk313q5kvxyf52kukw1pa[Year],YEAR(Data!$A413)),"")</f>
        <v/>
      </c>
      <c r="N413" s="2" t="str">
        <f>IFERROR(AVERAGEIFS(timeseries_access_key_fqeas14oitk235763mntlb1c0brnk9w3fenzqbk313q5kvxyf52kukw1pa[Column1],timeseries_access_key_fqeas14oitk235763mntlb1c0brnk9w3fenzqbk313q5kvxyf52kukw1pa[Month],MONTH(Data!$A413),timeseries_access_key_fqeas14oitk235763mntlb1c0brnk9w3fenzqbk313q5kvxyf52kukw1pa[Year],YEAR(Data!$A413)),"")</f>
        <v/>
      </c>
      <c r="O413" s="8" t="str">
        <f>IFERROR(VLOOKUP($A413,Text_1_2[[Text.1.1.3]:[Text.1.3]],2,FALSE),"")</f>
        <v/>
      </c>
      <c r="P413" s="2"/>
    </row>
    <row r="414" spans="1:16" x14ac:dyDescent="0.25">
      <c r="A414" s="1">
        <v>33725</v>
      </c>
      <c r="B414" t="str">
        <f>HLOOKUP(Dashboard!$I$27,results,ROW(A414),FALSE)</f>
        <v/>
      </c>
      <c r="C414">
        <f>IFERROR(VLOOKUP(A414,observations_series_id_PCU22112222112243_api_key_ecc133893ea92a842ee685c73424608[],2,FALSE),"")</f>
        <v>108</v>
      </c>
      <c r="D414" s="2">
        <f>IFERROR(VLOOKUP(A414,observations_series_id_PCU22112222112243_api_key_ecc133893ea92a842ee685c73424608[],3,FALSE),"")</f>
        <v>0.83888888888888891</v>
      </c>
      <c r="E414" t="str">
        <f>IFERROR(VLOOKUP($A414,observations_series_id_WPU0613020T_api_key_ecc133893ea92a842ee685c734246086_file[],2,FALSE),"")</f>
        <v/>
      </c>
      <c r="F414" s="2" t="str">
        <f>IFERROR(VLOOKUP($A414,observations_series_id_WPU0613020T_api_key_ecc133893ea92a842ee685c734246086_file[],3,FALSE),"")</f>
        <v/>
      </c>
      <c r="G414" t="str">
        <f>IFERROR(VLOOKUP($A414,observations_series_id_PCU22122212_api_key_ecc133893ea92a842ee685c734246086_file[],2,FALSE),"")</f>
        <v/>
      </c>
      <c r="H414" s="2" t="str">
        <f>IFERROR(VLOOKUP($A414,observations_series_id_PCU22122212_api_key_ecc133893ea92a842ee685c734246086_file[],3,FALSE),"")</f>
        <v/>
      </c>
      <c r="I414">
        <f>IFERROR(VLOOKUP($A414,observations_series_id_PCU3241913241910_api_key_ecc133893ea92a842ee685c734246086[],2,FALSE),"")</f>
        <v>148.6</v>
      </c>
      <c r="J414" s="2">
        <f>IFERROR(VLOOKUP($A414,observations_series_id_PCU3241913241910_api_key_ecc133893ea92a842ee685c734246086[],3,FALSE),"")</f>
        <v>0.65410497981157467</v>
      </c>
      <c r="K414">
        <f>IFERROR(VLOOKUP($A414,observations_series_id_EXJPUS_api_key_ecc133893ea92a842ee685c734246086_file_type[],2,FALSE),"")</f>
        <v>130.77099999999999</v>
      </c>
      <c r="L414" s="2">
        <f>IFERROR(VLOOKUP($A414,observations_series_id_EXJPUS_api_key_ecc133893ea92a842ee685c734246086_file_type[],3,FALSE),"")</f>
        <v>-1.7377629596776045</v>
      </c>
      <c r="M414" t="str">
        <f>IFERROR(AVERAGEIFS(timeseries_access_key_fqeas14oitk235763mntlb1c0brnk9w3fenzqbk313q5kvxyf52kukw1pa[Value.LME-ZNC],timeseries_access_key_fqeas14oitk235763mntlb1c0brnk9w3fenzqbk313q5kvxyf52kukw1pa[Month],MONTH(Data!$A414),timeseries_access_key_fqeas14oitk235763mntlb1c0brnk9w3fenzqbk313q5kvxyf52kukw1pa[Year],YEAR(Data!$A414)),"")</f>
        <v/>
      </c>
      <c r="N414" s="2" t="str">
        <f>IFERROR(AVERAGEIFS(timeseries_access_key_fqeas14oitk235763mntlb1c0brnk9w3fenzqbk313q5kvxyf52kukw1pa[Column1],timeseries_access_key_fqeas14oitk235763mntlb1c0brnk9w3fenzqbk313q5kvxyf52kukw1pa[Month],MONTH(Data!$A414),timeseries_access_key_fqeas14oitk235763mntlb1c0brnk9w3fenzqbk313q5kvxyf52kukw1pa[Year],YEAR(Data!$A414)),"")</f>
        <v/>
      </c>
      <c r="O414" s="8" t="str">
        <f>IFERROR(VLOOKUP($A414,Text_1_2[[Text.1.1.3]:[Text.1.3]],2,FALSE),"")</f>
        <v/>
      </c>
      <c r="P414" s="2"/>
    </row>
    <row r="415" spans="1:16" x14ac:dyDescent="0.25">
      <c r="A415" s="1">
        <v>33756</v>
      </c>
      <c r="B415" t="str">
        <f>HLOOKUP(Dashboard!$I$27,results,ROW(A415),FALSE)</f>
        <v/>
      </c>
      <c r="C415">
        <f>IFERROR(VLOOKUP(A415,observations_series_id_PCU22112222112243_api_key_ecc133893ea92a842ee685c73424608[],2,FALSE),"")</f>
        <v>113.3</v>
      </c>
      <c r="D415" s="2">
        <f>IFERROR(VLOOKUP(A415,observations_series_id_PCU22112222112243_api_key_ecc133893ea92a842ee685c73424608[],3,FALSE),"")</f>
        <v>0.84642541924095327</v>
      </c>
      <c r="E415" t="str">
        <f>IFERROR(VLOOKUP($A415,observations_series_id_WPU0613020T_api_key_ecc133893ea92a842ee685c734246086_file[],2,FALSE),"")</f>
        <v/>
      </c>
      <c r="F415" s="2" t="str">
        <f>IFERROR(VLOOKUP($A415,observations_series_id_WPU0613020T_api_key_ecc133893ea92a842ee685c734246086_file[],3,FALSE),"")</f>
        <v/>
      </c>
      <c r="G415" t="str">
        <f>IFERROR(VLOOKUP($A415,observations_series_id_PCU22122212_api_key_ecc133893ea92a842ee685c734246086_file[],2,FALSE),"")</f>
        <v/>
      </c>
      <c r="H415" s="2" t="str">
        <f>IFERROR(VLOOKUP($A415,observations_series_id_PCU22122212_api_key_ecc133893ea92a842ee685c734246086_file[],3,FALSE),"")</f>
        <v/>
      </c>
      <c r="I415">
        <f>IFERROR(VLOOKUP($A415,observations_series_id_PCU3241913241910_api_key_ecc133893ea92a842ee685c734246086[],2,FALSE),"")</f>
        <v>148.6</v>
      </c>
      <c r="J415" s="2">
        <f>IFERROR(VLOOKUP($A415,observations_series_id_PCU3241913241910_api_key_ecc133893ea92a842ee685c734246086[],3,FALSE),"")</f>
        <v>0.65410497981157467</v>
      </c>
      <c r="K415">
        <f>IFERROR(VLOOKUP($A415,observations_series_id_EXJPUS_api_key_ecc133893ea92a842ee685c734246086_file_type[],2,FALSE),"")</f>
        <v>126.8355</v>
      </c>
      <c r="L415" s="2">
        <f>IFERROR(VLOOKUP($A415,observations_series_id_EXJPUS_api_key_ecc133893ea92a842ee685c734246086_file_type[],3,FALSE),"")</f>
        <v>-1.8227113071655805</v>
      </c>
      <c r="M415" t="str">
        <f>IFERROR(AVERAGEIFS(timeseries_access_key_fqeas14oitk235763mntlb1c0brnk9w3fenzqbk313q5kvxyf52kukw1pa[Value.LME-ZNC],timeseries_access_key_fqeas14oitk235763mntlb1c0brnk9w3fenzqbk313q5kvxyf52kukw1pa[Month],MONTH(Data!$A415),timeseries_access_key_fqeas14oitk235763mntlb1c0brnk9w3fenzqbk313q5kvxyf52kukw1pa[Year],YEAR(Data!$A415)),"")</f>
        <v/>
      </c>
      <c r="N415" s="2" t="str">
        <f>IFERROR(AVERAGEIFS(timeseries_access_key_fqeas14oitk235763mntlb1c0brnk9w3fenzqbk313q5kvxyf52kukw1pa[Column1],timeseries_access_key_fqeas14oitk235763mntlb1c0brnk9w3fenzqbk313q5kvxyf52kukw1pa[Month],MONTH(Data!$A415),timeseries_access_key_fqeas14oitk235763mntlb1c0brnk9w3fenzqbk313q5kvxyf52kukw1pa[Year],YEAR(Data!$A415)),"")</f>
        <v/>
      </c>
      <c r="O415" s="8" t="str">
        <f>IFERROR(VLOOKUP($A415,Text_1_2[[Text.1.1.3]:[Text.1.3]],2,FALSE),"")</f>
        <v/>
      </c>
      <c r="P415" s="2"/>
    </row>
    <row r="416" spans="1:16" x14ac:dyDescent="0.25">
      <c r="A416" s="1">
        <v>33786</v>
      </c>
      <c r="B416" t="str">
        <f>HLOOKUP(Dashboard!$I$27,results,ROW(A416),FALSE)</f>
        <v/>
      </c>
      <c r="C416">
        <f>IFERROR(VLOOKUP(A416,observations_series_id_PCU22112222112243_api_key_ecc133893ea92a842ee685c73424608[],2,FALSE),"")</f>
        <v>114</v>
      </c>
      <c r="D416" s="2">
        <f>IFERROR(VLOOKUP(A416,observations_series_id_PCU22112222112243_api_key_ecc133893ea92a842ee685c73424608[],3,FALSE),"")</f>
        <v>0.84736842105263155</v>
      </c>
      <c r="E416" t="str">
        <f>IFERROR(VLOOKUP($A416,observations_series_id_WPU0613020T_api_key_ecc133893ea92a842ee685c734246086_file[],2,FALSE),"")</f>
        <v/>
      </c>
      <c r="F416" s="2" t="str">
        <f>IFERROR(VLOOKUP($A416,observations_series_id_WPU0613020T_api_key_ecc133893ea92a842ee685c734246086_file[],3,FALSE),"")</f>
        <v/>
      </c>
      <c r="G416" t="str">
        <f>IFERROR(VLOOKUP($A416,observations_series_id_PCU22122212_api_key_ecc133893ea92a842ee685c734246086_file[],2,FALSE),"")</f>
        <v/>
      </c>
      <c r="H416" s="2" t="str">
        <f>IFERROR(VLOOKUP($A416,observations_series_id_PCU22122212_api_key_ecc133893ea92a842ee685c734246086_file[],3,FALSE),"")</f>
        <v/>
      </c>
      <c r="I416">
        <f>IFERROR(VLOOKUP($A416,observations_series_id_PCU3241913241910_api_key_ecc133893ea92a842ee685c734246086[],2,FALSE),"")</f>
        <v>148.9</v>
      </c>
      <c r="J416" s="2">
        <f>IFERROR(VLOOKUP($A416,observations_series_id_PCU3241913241910_api_key_ecc133893ea92a842ee685c734246086[],3,FALSE),"")</f>
        <v>0.65480188045668242</v>
      </c>
      <c r="K416">
        <f>IFERROR(VLOOKUP($A416,observations_series_id_EXJPUS_api_key_ecc133893ea92a842ee685c734246086_file_type[],2,FALSE),"")</f>
        <v>125.8817</v>
      </c>
      <c r="L416" s="2">
        <f>IFERROR(VLOOKUP($A416,observations_series_id_EXJPUS_api_key_ecc133893ea92a842ee685c734246086_file_type[],3,FALSE),"")</f>
        <v>-1.8440988642511185</v>
      </c>
      <c r="M416" t="str">
        <f>IFERROR(AVERAGEIFS(timeseries_access_key_fqeas14oitk235763mntlb1c0brnk9w3fenzqbk313q5kvxyf52kukw1pa[Value.LME-ZNC],timeseries_access_key_fqeas14oitk235763mntlb1c0brnk9w3fenzqbk313q5kvxyf52kukw1pa[Month],MONTH(Data!$A416),timeseries_access_key_fqeas14oitk235763mntlb1c0brnk9w3fenzqbk313q5kvxyf52kukw1pa[Year],YEAR(Data!$A416)),"")</f>
        <v/>
      </c>
      <c r="N416" s="2" t="str">
        <f>IFERROR(AVERAGEIFS(timeseries_access_key_fqeas14oitk235763mntlb1c0brnk9w3fenzqbk313q5kvxyf52kukw1pa[Column1],timeseries_access_key_fqeas14oitk235763mntlb1c0brnk9w3fenzqbk313q5kvxyf52kukw1pa[Month],MONTH(Data!$A416),timeseries_access_key_fqeas14oitk235763mntlb1c0brnk9w3fenzqbk313q5kvxyf52kukw1pa[Year],YEAR(Data!$A416)),"")</f>
        <v/>
      </c>
      <c r="O416" s="8" t="str">
        <f>IFERROR(VLOOKUP($A416,Text_1_2[[Text.1.1.3]:[Text.1.3]],2,FALSE),"")</f>
        <v/>
      </c>
      <c r="P416" s="2"/>
    </row>
    <row r="417" spans="1:16" x14ac:dyDescent="0.25">
      <c r="A417" s="1">
        <v>33817</v>
      </c>
      <c r="B417" t="str">
        <f>HLOOKUP(Dashboard!$I$27,results,ROW(A417),FALSE)</f>
        <v/>
      </c>
      <c r="C417">
        <f>IFERROR(VLOOKUP(A417,observations_series_id_PCU22112222112243_api_key_ecc133893ea92a842ee685c73424608[],2,FALSE),"")</f>
        <v>113.6</v>
      </c>
      <c r="D417" s="2">
        <f>IFERROR(VLOOKUP(A417,observations_series_id_PCU22112222112243_api_key_ecc133893ea92a842ee685c73424608[],3,FALSE),"")</f>
        <v>0.846830985915493</v>
      </c>
      <c r="E417" t="str">
        <f>IFERROR(VLOOKUP($A417,observations_series_id_WPU0613020T_api_key_ecc133893ea92a842ee685c734246086_file[],2,FALSE),"")</f>
        <v/>
      </c>
      <c r="F417" s="2" t="str">
        <f>IFERROR(VLOOKUP($A417,observations_series_id_WPU0613020T_api_key_ecc133893ea92a842ee685c734246086_file[],3,FALSE),"")</f>
        <v/>
      </c>
      <c r="G417" t="str">
        <f>IFERROR(VLOOKUP($A417,observations_series_id_PCU22122212_api_key_ecc133893ea92a842ee685c734246086_file[],2,FALSE),"")</f>
        <v/>
      </c>
      <c r="H417" s="2" t="str">
        <f>IFERROR(VLOOKUP($A417,observations_series_id_PCU22122212_api_key_ecc133893ea92a842ee685c734246086_file[],3,FALSE),"")</f>
        <v/>
      </c>
      <c r="I417">
        <f>IFERROR(VLOOKUP($A417,observations_series_id_PCU3241913241910_api_key_ecc133893ea92a842ee685c734246086[],2,FALSE),"")</f>
        <v>150.30000000000001</v>
      </c>
      <c r="J417" s="2">
        <f>IFERROR(VLOOKUP($A417,observations_series_id_PCU3241913241910_api_key_ecc133893ea92a842ee685c734246086[],3,FALSE),"")</f>
        <v>0.65801729873586168</v>
      </c>
      <c r="K417">
        <f>IFERROR(VLOOKUP($A417,observations_series_id_EXJPUS_api_key_ecc133893ea92a842ee685c734246086_file_type[],2,FALSE),"")</f>
        <v>126.23099999999999</v>
      </c>
      <c r="L417" s="2">
        <f>IFERROR(VLOOKUP($A417,observations_series_id_EXJPUS_api_key_ecc133893ea92a842ee685c734246086_file_type[],3,FALSE),"")</f>
        <v>-1.8362288185944817</v>
      </c>
      <c r="M417" t="str">
        <f>IFERROR(AVERAGEIFS(timeseries_access_key_fqeas14oitk235763mntlb1c0brnk9w3fenzqbk313q5kvxyf52kukw1pa[Value.LME-ZNC],timeseries_access_key_fqeas14oitk235763mntlb1c0brnk9w3fenzqbk313q5kvxyf52kukw1pa[Month],MONTH(Data!$A417),timeseries_access_key_fqeas14oitk235763mntlb1c0brnk9w3fenzqbk313q5kvxyf52kukw1pa[Year],YEAR(Data!$A417)),"")</f>
        <v/>
      </c>
      <c r="N417" s="2" t="str">
        <f>IFERROR(AVERAGEIFS(timeseries_access_key_fqeas14oitk235763mntlb1c0brnk9w3fenzqbk313q5kvxyf52kukw1pa[Column1],timeseries_access_key_fqeas14oitk235763mntlb1c0brnk9w3fenzqbk313q5kvxyf52kukw1pa[Month],MONTH(Data!$A417),timeseries_access_key_fqeas14oitk235763mntlb1c0brnk9w3fenzqbk313q5kvxyf52kukw1pa[Year],YEAR(Data!$A417)),"")</f>
        <v/>
      </c>
      <c r="O417" s="8" t="str">
        <f>IFERROR(VLOOKUP($A417,Text_1_2[[Text.1.1.3]:[Text.1.3]],2,FALSE),"")</f>
        <v/>
      </c>
      <c r="P417" s="2"/>
    </row>
    <row r="418" spans="1:16" x14ac:dyDescent="0.25">
      <c r="A418" s="1">
        <v>33848</v>
      </c>
      <c r="B418" t="str">
        <f>HLOOKUP(Dashboard!$I$27,results,ROW(A418),FALSE)</f>
        <v/>
      </c>
      <c r="C418">
        <f>IFERROR(VLOOKUP(A418,observations_series_id_PCU22112222112243_api_key_ecc133893ea92a842ee685c73424608[],2,FALSE),"")</f>
        <v>114.3</v>
      </c>
      <c r="D418" s="2">
        <f>IFERROR(VLOOKUP(A418,observations_series_id_PCU22112222112243_api_key_ecc133893ea92a842ee685c73424608[],3,FALSE),"")</f>
        <v>0.84776902887139105</v>
      </c>
      <c r="E418" t="str">
        <f>IFERROR(VLOOKUP($A418,observations_series_id_WPU0613020T_api_key_ecc133893ea92a842ee685c734246086_file[],2,FALSE),"")</f>
        <v/>
      </c>
      <c r="F418" s="2" t="str">
        <f>IFERROR(VLOOKUP($A418,observations_series_id_WPU0613020T_api_key_ecc133893ea92a842ee685c734246086_file[],3,FALSE),"")</f>
        <v/>
      </c>
      <c r="G418" t="str">
        <f>IFERROR(VLOOKUP($A418,observations_series_id_PCU22122212_api_key_ecc133893ea92a842ee685c734246086_file[],2,FALSE),"")</f>
        <v/>
      </c>
      <c r="H418" s="2" t="str">
        <f>IFERROR(VLOOKUP($A418,observations_series_id_PCU22122212_api_key_ecc133893ea92a842ee685c734246086_file[],3,FALSE),"")</f>
        <v/>
      </c>
      <c r="I418">
        <f>IFERROR(VLOOKUP($A418,observations_series_id_PCU3241913241910_api_key_ecc133893ea92a842ee685c734246086[],2,FALSE),"")</f>
        <v>150.69999999999999</v>
      </c>
      <c r="J418" s="2">
        <f>IFERROR(VLOOKUP($A418,observations_series_id_PCU3241913241910_api_key_ecc133893ea92a842ee685c734246086[],3,FALSE),"")</f>
        <v>0.65892501658925018</v>
      </c>
      <c r="K418">
        <f>IFERROR(VLOOKUP($A418,observations_series_id_EXJPUS_api_key_ecc133893ea92a842ee685c734246086_file_type[],2,FALSE),"")</f>
        <v>122.5967</v>
      </c>
      <c r="L418" s="2">
        <f>IFERROR(VLOOKUP($A418,observations_series_id_EXJPUS_api_key_ecc133893ea92a842ee685c734246086_file_type[],3,FALSE),"")</f>
        <v>-1.9203069903186627</v>
      </c>
      <c r="M418" t="str">
        <f>IFERROR(AVERAGEIFS(timeseries_access_key_fqeas14oitk235763mntlb1c0brnk9w3fenzqbk313q5kvxyf52kukw1pa[Value.LME-ZNC],timeseries_access_key_fqeas14oitk235763mntlb1c0brnk9w3fenzqbk313q5kvxyf52kukw1pa[Month],MONTH(Data!$A418),timeseries_access_key_fqeas14oitk235763mntlb1c0brnk9w3fenzqbk313q5kvxyf52kukw1pa[Year],YEAR(Data!$A418)),"")</f>
        <v/>
      </c>
      <c r="N418" s="2" t="str">
        <f>IFERROR(AVERAGEIFS(timeseries_access_key_fqeas14oitk235763mntlb1c0brnk9w3fenzqbk313q5kvxyf52kukw1pa[Column1],timeseries_access_key_fqeas14oitk235763mntlb1c0brnk9w3fenzqbk313q5kvxyf52kukw1pa[Month],MONTH(Data!$A418),timeseries_access_key_fqeas14oitk235763mntlb1c0brnk9w3fenzqbk313q5kvxyf52kukw1pa[Year],YEAR(Data!$A418)),"")</f>
        <v/>
      </c>
      <c r="O418" s="8" t="str">
        <f>IFERROR(VLOOKUP($A418,Text_1_2[[Text.1.1.3]:[Text.1.3]],2,FALSE),"")</f>
        <v/>
      </c>
      <c r="P418" s="2"/>
    </row>
    <row r="419" spans="1:16" x14ac:dyDescent="0.25">
      <c r="A419" s="1">
        <v>33878</v>
      </c>
      <c r="B419" t="str">
        <f>HLOOKUP(Dashboard!$I$27,results,ROW(A419),FALSE)</f>
        <v/>
      </c>
      <c r="C419">
        <f>IFERROR(VLOOKUP(A419,observations_series_id_PCU22112222112243_api_key_ecc133893ea92a842ee685c73424608[],2,FALSE),"")</f>
        <v>110.3</v>
      </c>
      <c r="D419" s="2">
        <f>IFERROR(VLOOKUP(A419,observations_series_id_PCU22112222112243_api_key_ecc133893ea92a842ee685c73424608[],3,FALSE),"")</f>
        <v>0.84224841341795109</v>
      </c>
      <c r="E419" t="str">
        <f>IFERROR(VLOOKUP($A419,observations_series_id_WPU0613020T_api_key_ecc133893ea92a842ee685c734246086_file[],2,FALSE),"")</f>
        <v/>
      </c>
      <c r="F419" s="2" t="str">
        <f>IFERROR(VLOOKUP($A419,observations_series_id_WPU0613020T_api_key_ecc133893ea92a842ee685c734246086_file[],3,FALSE),"")</f>
        <v/>
      </c>
      <c r="G419" t="str">
        <f>IFERROR(VLOOKUP($A419,observations_series_id_PCU22122212_api_key_ecc133893ea92a842ee685c734246086_file[],2,FALSE),"")</f>
        <v/>
      </c>
      <c r="H419" s="2" t="str">
        <f>IFERROR(VLOOKUP($A419,observations_series_id_PCU22122212_api_key_ecc133893ea92a842ee685c734246086_file[],3,FALSE),"")</f>
        <v/>
      </c>
      <c r="I419">
        <f>IFERROR(VLOOKUP($A419,observations_series_id_PCU3241913241910_api_key_ecc133893ea92a842ee685c734246086[],2,FALSE),"")</f>
        <v>150.69999999999999</v>
      </c>
      <c r="J419" s="2">
        <f>IFERROR(VLOOKUP($A419,observations_series_id_PCU3241913241910_api_key_ecc133893ea92a842ee685c734246086[],3,FALSE),"")</f>
        <v>0.65892501658925018</v>
      </c>
      <c r="K419">
        <f>IFERROR(VLOOKUP($A419,observations_series_id_EXJPUS_api_key_ecc133893ea92a842ee685c734246086_file_type[],2,FALSE),"")</f>
        <v>121.1652</v>
      </c>
      <c r="L419" s="2">
        <f>IFERROR(VLOOKUP($A419,observations_series_id_EXJPUS_api_key_ecc133893ea92a842ee685c734246086_file_type[],3,FALSE),"")</f>
        <v>-1.9548088064889919</v>
      </c>
      <c r="M419" t="str">
        <f>IFERROR(AVERAGEIFS(timeseries_access_key_fqeas14oitk235763mntlb1c0brnk9w3fenzqbk313q5kvxyf52kukw1pa[Value.LME-ZNC],timeseries_access_key_fqeas14oitk235763mntlb1c0brnk9w3fenzqbk313q5kvxyf52kukw1pa[Month],MONTH(Data!$A419),timeseries_access_key_fqeas14oitk235763mntlb1c0brnk9w3fenzqbk313q5kvxyf52kukw1pa[Year],YEAR(Data!$A419)),"")</f>
        <v/>
      </c>
      <c r="N419" s="2" t="str">
        <f>IFERROR(AVERAGEIFS(timeseries_access_key_fqeas14oitk235763mntlb1c0brnk9w3fenzqbk313q5kvxyf52kukw1pa[Column1],timeseries_access_key_fqeas14oitk235763mntlb1c0brnk9w3fenzqbk313q5kvxyf52kukw1pa[Month],MONTH(Data!$A419),timeseries_access_key_fqeas14oitk235763mntlb1c0brnk9w3fenzqbk313q5kvxyf52kukw1pa[Year],YEAR(Data!$A419)),"")</f>
        <v/>
      </c>
      <c r="O419" s="8" t="str">
        <f>IFERROR(VLOOKUP($A419,Text_1_2[[Text.1.1.3]:[Text.1.3]],2,FALSE),"")</f>
        <v/>
      </c>
      <c r="P419" s="2"/>
    </row>
    <row r="420" spans="1:16" x14ac:dyDescent="0.25">
      <c r="A420" s="1">
        <v>33909</v>
      </c>
      <c r="B420" t="str">
        <f>HLOOKUP(Dashboard!$I$27,results,ROW(A420),FALSE)</f>
        <v/>
      </c>
      <c r="C420">
        <f>IFERROR(VLOOKUP(A420,observations_series_id_PCU22112222112243_api_key_ecc133893ea92a842ee685c73424608[],2,FALSE),"")</f>
        <v>105.5</v>
      </c>
      <c r="D420" s="2">
        <f>IFERROR(VLOOKUP(A420,observations_series_id_PCU22112222112243_api_key_ecc133893ea92a842ee685c73424608[],3,FALSE),"")</f>
        <v>0.83507109004739344</v>
      </c>
      <c r="E420" t="str">
        <f>IFERROR(VLOOKUP($A420,observations_series_id_WPU0613020T_api_key_ecc133893ea92a842ee685c734246086_file[],2,FALSE),"")</f>
        <v/>
      </c>
      <c r="F420" s="2" t="str">
        <f>IFERROR(VLOOKUP($A420,observations_series_id_WPU0613020T_api_key_ecc133893ea92a842ee685c734246086_file[],3,FALSE),"")</f>
        <v/>
      </c>
      <c r="G420" t="str">
        <f>IFERROR(VLOOKUP($A420,observations_series_id_PCU22122212_api_key_ecc133893ea92a842ee685c734246086_file[],2,FALSE),"")</f>
        <v/>
      </c>
      <c r="H420" s="2" t="str">
        <f>IFERROR(VLOOKUP($A420,observations_series_id_PCU22122212_api_key_ecc133893ea92a842ee685c734246086_file[],3,FALSE),"")</f>
        <v/>
      </c>
      <c r="I420">
        <f>IFERROR(VLOOKUP($A420,observations_series_id_PCU3241913241910_api_key_ecc133893ea92a842ee685c734246086[],2,FALSE),"")</f>
        <v>151</v>
      </c>
      <c r="J420" s="2">
        <f>IFERROR(VLOOKUP($A420,observations_series_id_PCU3241913241910_api_key_ecc133893ea92a842ee685c734246086[],3,FALSE),"")</f>
        <v>0.65960264900662247</v>
      </c>
      <c r="K420">
        <f>IFERROR(VLOOKUP($A420,observations_series_id_EXJPUS_api_key_ecc133893ea92a842ee685c734246086_file_type[],2,FALSE),"")</f>
        <v>123.88</v>
      </c>
      <c r="L420" s="2">
        <f>IFERROR(VLOOKUP($A420,observations_series_id_EXJPUS_api_key_ecc133893ea92a842ee685c734246086_file_type[],3,FALSE),"")</f>
        <v>-1.890054891830804</v>
      </c>
      <c r="M420" t="str">
        <f>IFERROR(AVERAGEIFS(timeseries_access_key_fqeas14oitk235763mntlb1c0brnk9w3fenzqbk313q5kvxyf52kukw1pa[Value.LME-ZNC],timeseries_access_key_fqeas14oitk235763mntlb1c0brnk9w3fenzqbk313q5kvxyf52kukw1pa[Month],MONTH(Data!$A420),timeseries_access_key_fqeas14oitk235763mntlb1c0brnk9w3fenzqbk313q5kvxyf52kukw1pa[Year],YEAR(Data!$A420)),"")</f>
        <v/>
      </c>
      <c r="N420" s="2" t="str">
        <f>IFERROR(AVERAGEIFS(timeseries_access_key_fqeas14oitk235763mntlb1c0brnk9w3fenzqbk313q5kvxyf52kukw1pa[Column1],timeseries_access_key_fqeas14oitk235763mntlb1c0brnk9w3fenzqbk313q5kvxyf52kukw1pa[Month],MONTH(Data!$A420),timeseries_access_key_fqeas14oitk235763mntlb1c0brnk9w3fenzqbk313q5kvxyf52kukw1pa[Year],YEAR(Data!$A420)),"")</f>
        <v/>
      </c>
      <c r="O420" s="8" t="str">
        <f>IFERROR(VLOOKUP($A420,Text_1_2[[Text.1.1.3]:[Text.1.3]],2,FALSE),"")</f>
        <v/>
      </c>
      <c r="P420" s="2"/>
    </row>
    <row r="421" spans="1:16" x14ac:dyDescent="0.25">
      <c r="A421" s="1">
        <v>33939</v>
      </c>
      <c r="B421" t="str">
        <f>HLOOKUP(Dashboard!$I$27,results,ROW(A421),FALSE)</f>
        <v/>
      </c>
      <c r="C421">
        <f>IFERROR(VLOOKUP(A421,observations_series_id_PCU22112222112243_api_key_ecc133893ea92a842ee685c73424608[],2,FALSE),"")</f>
        <v>106.6</v>
      </c>
      <c r="D421" s="2">
        <f>IFERROR(VLOOKUP(A421,observations_series_id_PCU22112222112243_api_key_ecc133893ea92a842ee685c73424608[],3,FALSE),"")</f>
        <v>0.83677298311444659</v>
      </c>
      <c r="E421" t="str">
        <f>IFERROR(VLOOKUP($A421,observations_series_id_WPU0613020T_api_key_ecc133893ea92a842ee685c734246086_file[],2,FALSE),"")</f>
        <v/>
      </c>
      <c r="F421" s="2" t="str">
        <f>IFERROR(VLOOKUP($A421,observations_series_id_WPU0613020T_api_key_ecc133893ea92a842ee685c734246086_file[],3,FALSE),"")</f>
        <v/>
      </c>
      <c r="G421" t="str">
        <f>IFERROR(VLOOKUP($A421,observations_series_id_PCU22122212_api_key_ecc133893ea92a842ee685c734246086_file[],2,FALSE),"")</f>
        <v/>
      </c>
      <c r="H421" s="2" t="str">
        <f>IFERROR(VLOOKUP($A421,observations_series_id_PCU22122212_api_key_ecc133893ea92a842ee685c734246086_file[],3,FALSE),"")</f>
        <v/>
      </c>
      <c r="I421">
        <f>IFERROR(VLOOKUP($A421,observations_series_id_PCU3241913241910_api_key_ecc133893ea92a842ee685c734246086[],2,FALSE),"")</f>
        <v>151.6</v>
      </c>
      <c r="J421" s="2">
        <f>IFERROR(VLOOKUP($A421,observations_series_id_PCU3241913241910_api_key_ecc133893ea92a842ee685c734246086[],3,FALSE),"")</f>
        <v>0.66094986807387857</v>
      </c>
      <c r="K421">
        <f>IFERROR(VLOOKUP($A421,observations_series_id_EXJPUS_api_key_ecc133893ea92a842ee685c734246086_file_type[],2,FALSE),"")</f>
        <v>124.04089999999999</v>
      </c>
      <c r="L421" s="2">
        <f>IFERROR(VLOOKUP($A421,observations_series_id_EXJPUS_api_key_ecc133893ea92a842ee685c734246086_file_type[],3,FALSE),"")</f>
        <v>-1.8863060490531751</v>
      </c>
      <c r="M421" t="str">
        <f>IFERROR(AVERAGEIFS(timeseries_access_key_fqeas14oitk235763mntlb1c0brnk9w3fenzqbk313q5kvxyf52kukw1pa[Value.LME-ZNC],timeseries_access_key_fqeas14oitk235763mntlb1c0brnk9w3fenzqbk313q5kvxyf52kukw1pa[Month],MONTH(Data!$A421),timeseries_access_key_fqeas14oitk235763mntlb1c0brnk9w3fenzqbk313q5kvxyf52kukw1pa[Year],YEAR(Data!$A421)),"")</f>
        <v/>
      </c>
      <c r="N421" s="2" t="str">
        <f>IFERROR(AVERAGEIFS(timeseries_access_key_fqeas14oitk235763mntlb1c0brnk9w3fenzqbk313q5kvxyf52kukw1pa[Column1],timeseries_access_key_fqeas14oitk235763mntlb1c0brnk9w3fenzqbk313q5kvxyf52kukw1pa[Month],MONTH(Data!$A421),timeseries_access_key_fqeas14oitk235763mntlb1c0brnk9w3fenzqbk313q5kvxyf52kukw1pa[Year],YEAR(Data!$A421)),"")</f>
        <v/>
      </c>
      <c r="O421" s="8" t="str">
        <f>IFERROR(VLOOKUP($A421,Text_1_2[[Text.1.1.3]:[Text.1.3]],2,FALSE),"")</f>
        <v/>
      </c>
      <c r="P421" s="2"/>
    </row>
    <row r="422" spans="1:16" x14ac:dyDescent="0.25">
      <c r="A422" s="1">
        <v>33970</v>
      </c>
      <c r="B422" t="str">
        <f>HLOOKUP(Dashboard!$I$27,results,ROW(A422),FALSE)</f>
        <v/>
      </c>
      <c r="C422">
        <f>IFERROR(VLOOKUP(A422,observations_series_id_PCU22112222112243_api_key_ecc133893ea92a842ee685c73424608[],2,FALSE),"")</f>
        <v>106.9</v>
      </c>
      <c r="D422" s="2">
        <f>IFERROR(VLOOKUP(A422,observations_series_id_PCU22112222112243_api_key_ecc133893ea92a842ee685c73424608[],3,FALSE),"")</f>
        <v>0.83723105706267542</v>
      </c>
      <c r="E422" t="str">
        <f>IFERROR(VLOOKUP($A422,observations_series_id_WPU0613020T_api_key_ecc133893ea92a842ee685c734246086_file[],2,FALSE),"")</f>
        <v/>
      </c>
      <c r="F422" s="2" t="str">
        <f>IFERROR(VLOOKUP($A422,observations_series_id_WPU0613020T_api_key_ecc133893ea92a842ee685c734246086_file[],3,FALSE),"")</f>
        <v/>
      </c>
      <c r="G422" t="str">
        <f>IFERROR(VLOOKUP($A422,observations_series_id_PCU22122212_api_key_ecc133893ea92a842ee685c734246086_file[],2,FALSE),"")</f>
        <v/>
      </c>
      <c r="H422" s="2" t="str">
        <f>IFERROR(VLOOKUP($A422,observations_series_id_PCU22122212_api_key_ecc133893ea92a842ee685c734246086_file[],3,FALSE),"")</f>
        <v/>
      </c>
      <c r="I422">
        <f>IFERROR(VLOOKUP($A422,observations_series_id_PCU3241913241910_api_key_ecc133893ea92a842ee685c734246086[],2,FALSE),"")</f>
        <v>151</v>
      </c>
      <c r="J422" s="2">
        <f>IFERROR(VLOOKUP($A422,observations_series_id_PCU3241913241910_api_key_ecc133893ea92a842ee685c734246086[],3,FALSE),"")</f>
        <v>0.65960264900662247</v>
      </c>
      <c r="K422">
        <f>IFERROR(VLOOKUP($A422,observations_series_id_EXJPUS_api_key_ecc133893ea92a842ee685c734246086_file_type[],2,FALSE),"")</f>
        <v>124.9932</v>
      </c>
      <c r="L422" s="2">
        <f>IFERROR(VLOOKUP($A422,observations_series_id_EXJPUS_api_key_ecc133893ea92a842ee685c734246086_file_type[],3,FALSE),"")</f>
        <v>-1.8643158187805415</v>
      </c>
      <c r="M422" t="str">
        <f>IFERROR(AVERAGEIFS(timeseries_access_key_fqeas14oitk235763mntlb1c0brnk9w3fenzqbk313q5kvxyf52kukw1pa[Value.LME-ZNC],timeseries_access_key_fqeas14oitk235763mntlb1c0brnk9w3fenzqbk313q5kvxyf52kukw1pa[Month],MONTH(Data!$A422),timeseries_access_key_fqeas14oitk235763mntlb1c0brnk9w3fenzqbk313q5kvxyf52kukw1pa[Year],YEAR(Data!$A422)),"")</f>
        <v/>
      </c>
      <c r="N422" s="2" t="str">
        <f>IFERROR(AVERAGEIFS(timeseries_access_key_fqeas14oitk235763mntlb1c0brnk9w3fenzqbk313q5kvxyf52kukw1pa[Column1],timeseries_access_key_fqeas14oitk235763mntlb1c0brnk9w3fenzqbk313q5kvxyf52kukw1pa[Month],MONTH(Data!$A422),timeseries_access_key_fqeas14oitk235763mntlb1c0brnk9w3fenzqbk313q5kvxyf52kukw1pa[Year],YEAR(Data!$A422)),"")</f>
        <v/>
      </c>
      <c r="O422" s="8" t="str">
        <f>IFERROR(VLOOKUP($A422,Text_1_2[[Text.1.1.3]:[Text.1.3]],2,FALSE),"")</f>
        <v/>
      </c>
      <c r="P422" s="2"/>
    </row>
    <row r="423" spans="1:16" x14ac:dyDescent="0.25">
      <c r="A423" s="1">
        <v>34001</v>
      </c>
      <c r="B423" t="str">
        <f>HLOOKUP(Dashboard!$I$27,results,ROW(A423),FALSE)</f>
        <v/>
      </c>
      <c r="C423">
        <f>IFERROR(VLOOKUP(A423,observations_series_id_PCU22112222112243_api_key_ecc133893ea92a842ee685c73424608[],2,FALSE),"")</f>
        <v>106.3</v>
      </c>
      <c r="D423" s="2">
        <f>IFERROR(VLOOKUP(A423,observations_series_id_PCU22112222112243_api_key_ecc133893ea92a842ee685c73424608[],3,FALSE),"")</f>
        <v>0.8363123236124177</v>
      </c>
      <c r="E423" t="str">
        <f>IFERROR(VLOOKUP($A423,observations_series_id_WPU0613020T_api_key_ecc133893ea92a842ee685c734246086_file[],2,FALSE),"")</f>
        <v/>
      </c>
      <c r="F423" s="2" t="str">
        <f>IFERROR(VLOOKUP($A423,observations_series_id_WPU0613020T_api_key_ecc133893ea92a842ee685c734246086_file[],3,FALSE),"")</f>
        <v/>
      </c>
      <c r="G423" t="str">
        <f>IFERROR(VLOOKUP($A423,observations_series_id_PCU22122212_api_key_ecc133893ea92a842ee685c734246086_file[],2,FALSE),"")</f>
        <v/>
      </c>
      <c r="H423" s="2" t="str">
        <f>IFERROR(VLOOKUP($A423,observations_series_id_PCU22122212_api_key_ecc133893ea92a842ee685c734246086_file[],3,FALSE),"")</f>
        <v/>
      </c>
      <c r="I423">
        <f>IFERROR(VLOOKUP($A423,observations_series_id_PCU3241913241910_api_key_ecc133893ea92a842ee685c734246086[],2,FALSE),"")</f>
        <v>151</v>
      </c>
      <c r="J423" s="2">
        <f>IFERROR(VLOOKUP($A423,observations_series_id_PCU3241913241910_api_key_ecc133893ea92a842ee685c734246086[],3,FALSE),"")</f>
        <v>0.65960264900662247</v>
      </c>
      <c r="K423">
        <f>IFERROR(VLOOKUP($A423,observations_series_id_EXJPUS_api_key_ecc133893ea92a842ee685c734246086_file_type[],2,FALSE),"")</f>
        <v>120.7595</v>
      </c>
      <c r="L423" s="2">
        <f>IFERROR(VLOOKUP($A423,observations_series_id_EXJPUS_api_key_ecc133893ea92a842ee685c734246086_file_type[],3,FALSE),"")</f>
        <v>-1.9647356936721332</v>
      </c>
      <c r="M423" t="str">
        <f>IFERROR(AVERAGEIFS(timeseries_access_key_fqeas14oitk235763mntlb1c0brnk9w3fenzqbk313q5kvxyf52kukw1pa[Value.LME-ZNC],timeseries_access_key_fqeas14oitk235763mntlb1c0brnk9w3fenzqbk313q5kvxyf52kukw1pa[Month],MONTH(Data!$A423),timeseries_access_key_fqeas14oitk235763mntlb1c0brnk9w3fenzqbk313q5kvxyf52kukw1pa[Year],YEAR(Data!$A423)),"")</f>
        <v/>
      </c>
      <c r="N423" s="2" t="str">
        <f>IFERROR(AVERAGEIFS(timeseries_access_key_fqeas14oitk235763mntlb1c0brnk9w3fenzqbk313q5kvxyf52kukw1pa[Column1],timeseries_access_key_fqeas14oitk235763mntlb1c0brnk9w3fenzqbk313q5kvxyf52kukw1pa[Month],MONTH(Data!$A423),timeseries_access_key_fqeas14oitk235763mntlb1c0brnk9w3fenzqbk313q5kvxyf52kukw1pa[Year],YEAR(Data!$A423)),"")</f>
        <v/>
      </c>
      <c r="O423" s="8" t="str">
        <f>IFERROR(VLOOKUP($A423,Text_1_2[[Text.1.1.3]:[Text.1.3]],2,FALSE),"")</f>
        <v/>
      </c>
      <c r="P423" s="2"/>
    </row>
    <row r="424" spans="1:16" x14ac:dyDescent="0.25">
      <c r="A424" s="1">
        <v>34029</v>
      </c>
      <c r="B424" t="str">
        <f>HLOOKUP(Dashboard!$I$27,results,ROW(A424),FALSE)</f>
        <v/>
      </c>
      <c r="C424">
        <f>IFERROR(VLOOKUP(A424,observations_series_id_PCU22112222112243_api_key_ecc133893ea92a842ee685c73424608[],2,FALSE),"")</f>
        <v>106.5</v>
      </c>
      <c r="D424" s="2">
        <f>IFERROR(VLOOKUP(A424,observations_series_id_PCU22112222112243_api_key_ecc133893ea92a842ee685c73424608[],3,FALSE),"")</f>
        <v>0.83661971830985915</v>
      </c>
      <c r="E424" t="str">
        <f>IFERROR(VLOOKUP($A424,observations_series_id_WPU0613020T_api_key_ecc133893ea92a842ee685c734246086_file[],2,FALSE),"")</f>
        <v/>
      </c>
      <c r="F424" s="2" t="str">
        <f>IFERROR(VLOOKUP($A424,observations_series_id_WPU0613020T_api_key_ecc133893ea92a842ee685c734246086_file[],3,FALSE),"")</f>
        <v/>
      </c>
      <c r="G424" t="str">
        <f>IFERROR(VLOOKUP($A424,observations_series_id_PCU22122212_api_key_ecc133893ea92a842ee685c734246086_file[],2,FALSE),"")</f>
        <v/>
      </c>
      <c r="H424" s="2" t="str">
        <f>IFERROR(VLOOKUP($A424,observations_series_id_PCU22122212_api_key_ecc133893ea92a842ee685c734246086_file[],3,FALSE),"")</f>
        <v/>
      </c>
      <c r="I424">
        <f>IFERROR(VLOOKUP($A424,observations_series_id_PCU3241913241910_api_key_ecc133893ea92a842ee685c734246086[],2,FALSE),"")</f>
        <v>151.1</v>
      </c>
      <c r="J424" s="2">
        <f>IFERROR(VLOOKUP($A424,observations_series_id_PCU3241913241910_api_key_ecc133893ea92a842ee685c734246086[],3,FALSE),"")</f>
        <v>0.65982792852415617</v>
      </c>
      <c r="K424">
        <f>IFERROR(VLOOKUP($A424,observations_series_id_EXJPUS_api_key_ecc133893ea92a842ee685c734246086_file_type[],2,FALSE),"")</f>
        <v>117.01739999999999</v>
      </c>
      <c r="L424" s="2">
        <f>IFERROR(VLOOKUP($A424,observations_series_id_EXJPUS_api_key_ecc133893ea92a842ee685c734246086_file_type[],3,FALSE),"")</f>
        <v>-2.0595449907449663</v>
      </c>
      <c r="M424" t="str">
        <f>IFERROR(AVERAGEIFS(timeseries_access_key_fqeas14oitk235763mntlb1c0brnk9w3fenzqbk313q5kvxyf52kukw1pa[Value.LME-ZNC],timeseries_access_key_fqeas14oitk235763mntlb1c0brnk9w3fenzqbk313q5kvxyf52kukw1pa[Month],MONTH(Data!$A424),timeseries_access_key_fqeas14oitk235763mntlb1c0brnk9w3fenzqbk313q5kvxyf52kukw1pa[Year],YEAR(Data!$A424)),"")</f>
        <v/>
      </c>
      <c r="N424" s="2" t="str">
        <f>IFERROR(AVERAGEIFS(timeseries_access_key_fqeas14oitk235763mntlb1c0brnk9w3fenzqbk313q5kvxyf52kukw1pa[Column1],timeseries_access_key_fqeas14oitk235763mntlb1c0brnk9w3fenzqbk313q5kvxyf52kukw1pa[Month],MONTH(Data!$A424),timeseries_access_key_fqeas14oitk235763mntlb1c0brnk9w3fenzqbk313q5kvxyf52kukw1pa[Year],YEAR(Data!$A424)),"")</f>
        <v/>
      </c>
      <c r="O424" s="8" t="str">
        <f>IFERROR(VLOOKUP($A424,Text_1_2[[Text.1.1.3]:[Text.1.3]],2,FALSE),"")</f>
        <v/>
      </c>
      <c r="P424" s="2"/>
    </row>
    <row r="425" spans="1:16" x14ac:dyDescent="0.25">
      <c r="A425" s="1">
        <v>34060</v>
      </c>
      <c r="B425" t="str">
        <f>HLOOKUP(Dashboard!$I$27,results,ROW(A425),FALSE)</f>
        <v/>
      </c>
      <c r="C425">
        <f>IFERROR(VLOOKUP(A425,observations_series_id_PCU22112222112243_api_key_ecc133893ea92a842ee685c73424608[],2,FALSE),"")</f>
        <v>106.7</v>
      </c>
      <c r="D425" s="2">
        <f>IFERROR(VLOOKUP(A425,observations_series_id_PCU22112222112243_api_key_ecc133893ea92a842ee685c73424608[],3,FALSE),"")</f>
        <v>0.83692596063730085</v>
      </c>
      <c r="E425" t="str">
        <f>IFERROR(VLOOKUP($A425,observations_series_id_WPU0613020T_api_key_ecc133893ea92a842ee685c734246086_file[],2,FALSE),"")</f>
        <v/>
      </c>
      <c r="F425" s="2" t="str">
        <f>IFERROR(VLOOKUP($A425,observations_series_id_WPU0613020T_api_key_ecc133893ea92a842ee685c734246086_file[],3,FALSE),"")</f>
        <v/>
      </c>
      <c r="G425" t="str">
        <f>IFERROR(VLOOKUP($A425,observations_series_id_PCU22122212_api_key_ecc133893ea92a842ee685c734246086_file[],2,FALSE),"")</f>
        <v/>
      </c>
      <c r="H425" s="2" t="str">
        <f>IFERROR(VLOOKUP($A425,observations_series_id_PCU22122212_api_key_ecc133893ea92a842ee685c734246086_file[],3,FALSE),"")</f>
        <v/>
      </c>
      <c r="I425">
        <f>IFERROR(VLOOKUP($A425,observations_series_id_PCU3241913241910_api_key_ecc133893ea92a842ee685c734246086[],2,FALSE),"")</f>
        <v>151.4</v>
      </c>
      <c r="J425" s="2">
        <f>IFERROR(VLOOKUP($A425,observations_series_id_PCU3241913241910_api_key_ecc133893ea92a842ee685c734246086[],3,FALSE),"")</f>
        <v>0.66050198150594452</v>
      </c>
      <c r="K425">
        <f>IFERROR(VLOOKUP($A425,observations_series_id_EXJPUS_api_key_ecc133893ea92a842ee685c734246086_file_type[],2,FALSE),"")</f>
        <v>112.4114</v>
      </c>
      <c r="L425" s="2">
        <f>IFERROR(VLOOKUP($A425,observations_series_id_EXJPUS_api_key_ecc133893ea92a842ee685c734246086_file_type[],3,FALSE),"")</f>
        <v>-2.1849082922194722</v>
      </c>
      <c r="M425" t="str">
        <f>IFERROR(AVERAGEIFS(timeseries_access_key_fqeas14oitk235763mntlb1c0brnk9w3fenzqbk313q5kvxyf52kukw1pa[Value.LME-ZNC],timeseries_access_key_fqeas14oitk235763mntlb1c0brnk9w3fenzqbk313q5kvxyf52kukw1pa[Month],MONTH(Data!$A425),timeseries_access_key_fqeas14oitk235763mntlb1c0brnk9w3fenzqbk313q5kvxyf52kukw1pa[Year],YEAR(Data!$A425)),"")</f>
        <v/>
      </c>
      <c r="N425" s="2" t="str">
        <f>IFERROR(AVERAGEIFS(timeseries_access_key_fqeas14oitk235763mntlb1c0brnk9w3fenzqbk313q5kvxyf52kukw1pa[Column1],timeseries_access_key_fqeas14oitk235763mntlb1c0brnk9w3fenzqbk313q5kvxyf52kukw1pa[Month],MONTH(Data!$A425),timeseries_access_key_fqeas14oitk235763mntlb1c0brnk9w3fenzqbk313q5kvxyf52kukw1pa[Year],YEAR(Data!$A425)),"")</f>
        <v/>
      </c>
      <c r="O425" s="8" t="str">
        <f>IFERROR(VLOOKUP($A425,Text_1_2[[Text.1.1.3]:[Text.1.3]],2,FALSE),"")</f>
        <v/>
      </c>
      <c r="P425" s="2"/>
    </row>
    <row r="426" spans="1:16" x14ac:dyDescent="0.25">
      <c r="A426" s="1">
        <v>34090</v>
      </c>
      <c r="B426" t="str">
        <f>HLOOKUP(Dashboard!$I$27,results,ROW(A426),FALSE)</f>
        <v/>
      </c>
      <c r="C426">
        <f>IFERROR(VLOOKUP(A426,observations_series_id_PCU22112222112243_api_key_ecc133893ea92a842ee685c73424608[],2,FALSE),"")</f>
        <v>107.2</v>
      </c>
      <c r="D426" s="2">
        <f>IFERROR(VLOOKUP(A426,observations_series_id_PCU22112222112243_api_key_ecc133893ea92a842ee685c73424608[],3,FALSE),"")</f>
        <v>0.83768656716417911</v>
      </c>
      <c r="E426" t="str">
        <f>IFERROR(VLOOKUP($A426,observations_series_id_WPU0613020T_api_key_ecc133893ea92a842ee685c734246086_file[],2,FALSE),"")</f>
        <v/>
      </c>
      <c r="F426" s="2" t="str">
        <f>IFERROR(VLOOKUP($A426,observations_series_id_WPU0613020T_api_key_ecc133893ea92a842ee685c734246086_file[],3,FALSE),"")</f>
        <v/>
      </c>
      <c r="G426" t="str">
        <f>IFERROR(VLOOKUP($A426,observations_series_id_PCU22122212_api_key_ecc133893ea92a842ee685c734246086_file[],2,FALSE),"")</f>
        <v/>
      </c>
      <c r="H426" s="2" t="str">
        <f>IFERROR(VLOOKUP($A426,observations_series_id_PCU22122212_api_key_ecc133893ea92a842ee685c734246086_file[],3,FALSE),"")</f>
        <v/>
      </c>
      <c r="I426">
        <f>IFERROR(VLOOKUP($A426,observations_series_id_PCU3241913241910_api_key_ecc133893ea92a842ee685c734246086[],2,FALSE),"")</f>
        <v>151.4</v>
      </c>
      <c r="J426" s="2">
        <f>IFERROR(VLOOKUP($A426,observations_series_id_PCU3241913241910_api_key_ecc133893ea92a842ee685c734246086[],3,FALSE),"")</f>
        <v>0.66050198150594452</v>
      </c>
      <c r="K426">
        <f>IFERROR(VLOOKUP($A426,observations_series_id_EXJPUS_api_key_ecc133893ea92a842ee685c734246086_file_type[],2,FALSE),"")</f>
        <v>110.343</v>
      </c>
      <c r="L426" s="2">
        <f>IFERROR(VLOOKUP($A426,observations_series_id_EXJPUS_api_key_ecc133893ea92a842ee685c734246086_file_type[],3,FALSE),"")</f>
        <v>-2.2446099888529401</v>
      </c>
      <c r="M426" t="str">
        <f>IFERROR(AVERAGEIFS(timeseries_access_key_fqeas14oitk235763mntlb1c0brnk9w3fenzqbk313q5kvxyf52kukw1pa[Value.LME-ZNC],timeseries_access_key_fqeas14oitk235763mntlb1c0brnk9w3fenzqbk313q5kvxyf52kukw1pa[Month],MONTH(Data!$A426),timeseries_access_key_fqeas14oitk235763mntlb1c0brnk9w3fenzqbk313q5kvxyf52kukw1pa[Year],YEAR(Data!$A426)),"")</f>
        <v/>
      </c>
      <c r="N426" s="2" t="str">
        <f>IFERROR(AVERAGEIFS(timeseries_access_key_fqeas14oitk235763mntlb1c0brnk9w3fenzqbk313q5kvxyf52kukw1pa[Column1],timeseries_access_key_fqeas14oitk235763mntlb1c0brnk9w3fenzqbk313q5kvxyf52kukw1pa[Month],MONTH(Data!$A426),timeseries_access_key_fqeas14oitk235763mntlb1c0brnk9w3fenzqbk313q5kvxyf52kukw1pa[Year],YEAR(Data!$A426)),"")</f>
        <v/>
      </c>
      <c r="O426" s="8" t="str">
        <f>IFERROR(VLOOKUP($A426,Text_1_2[[Text.1.1.3]:[Text.1.3]],2,FALSE),"")</f>
        <v/>
      </c>
      <c r="P426" s="2"/>
    </row>
    <row r="427" spans="1:16" x14ac:dyDescent="0.25">
      <c r="A427" s="1">
        <v>34121</v>
      </c>
      <c r="B427" t="str">
        <f>HLOOKUP(Dashboard!$I$27,results,ROW(A427),FALSE)</f>
        <v/>
      </c>
      <c r="C427">
        <f>IFERROR(VLOOKUP(A427,observations_series_id_PCU22112222112243_api_key_ecc133893ea92a842ee685c73424608[],2,FALSE),"")</f>
        <v>115.1</v>
      </c>
      <c r="D427" s="2">
        <f>IFERROR(VLOOKUP(A427,observations_series_id_PCU22112222112243_api_key_ecc133893ea92a842ee685c73424608[],3,FALSE),"")</f>
        <v>0.84882710686359686</v>
      </c>
      <c r="E427" t="str">
        <f>IFERROR(VLOOKUP($A427,observations_series_id_WPU0613020T_api_key_ecc133893ea92a842ee685c734246086_file[],2,FALSE),"")</f>
        <v/>
      </c>
      <c r="F427" s="2" t="str">
        <f>IFERROR(VLOOKUP($A427,observations_series_id_WPU0613020T_api_key_ecc133893ea92a842ee685c734246086_file[],3,FALSE),"")</f>
        <v/>
      </c>
      <c r="G427" t="str">
        <f>IFERROR(VLOOKUP($A427,observations_series_id_PCU22122212_api_key_ecc133893ea92a842ee685c734246086_file[],2,FALSE),"")</f>
        <v/>
      </c>
      <c r="H427" s="2" t="str">
        <f>IFERROR(VLOOKUP($A427,observations_series_id_PCU22122212_api_key_ecc133893ea92a842ee685c734246086_file[],3,FALSE),"")</f>
        <v/>
      </c>
      <c r="I427">
        <f>IFERROR(VLOOKUP($A427,observations_series_id_PCU3241913241910_api_key_ecc133893ea92a842ee685c734246086[],2,FALSE),"")</f>
        <v>151</v>
      </c>
      <c r="J427" s="2">
        <f>IFERROR(VLOOKUP($A427,observations_series_id_PCU3241913241910_api_key_ecc133893ea92a842ee685c734246086[],3,FALSE),"")</f>
        <v>0.65960264900662247</v>
      </c>
      <c r="K427">
        <f>IFERROR(VLOOKUP($A427,observations_series_id_EXJPUS_api_key_ecc133893ea92a842ee685c734246086_file_type[],2,FALSE),"")</f>
        <v>107.4118</v>
      </c>
      <c r="L427" s="2">
        <f>IFERROR(VLOOKUP($A427,observations_series_id_EXJPUS_api_key_ecc133893ea92a842ee685c734246086_file_type[],3,FALSE),"")</f>
        <v>-2.3331533406944116</v>
      </c>
      <c r="M427" t="str">
        <f>IFERROR(AVERAGEIFS(timeseries_access_key_fqeas14oitk235763mntlb1c0brnk9w3fenzqbk313q5kvxyf52kukw1pa[Value.LME-ZNC],timeseries_access_key_fqeas14oitk235763mntlb1c0brnk9w3fenzqbk313q5kvxyf52kukw1pa[Month],MONTH(Data!$A427),timeseries_access_key_fqeas14oitk235763mntlb1c0brnk9w3fenzqbk313q5kvxyf52kukw1pa[Year],YEAR(Data!$A427)),"")</f>
        <v/>
      </c>
      <c r="N427" s="2" t="str">
        <f>IFERROR(AVERAGEIFS(timeseries_access_key_fqeas14oitk235763mntlb1c0brnk9w3fenzqbk313q5kvxyf52kukw1pa[Column1],timeseries_access_key_fqeas14oitk235763mntlb1c0brnk9w3fenzqbk313q5kvxyf52kukw1pa[Month],MONTH(Data!$A427),timeseries_access_key_fqeas14oitk235763mntlb1c0brnk9w3fenzqbk313q5kvxyf52kukw1pa[Year],YEAR(Data!$A427)),"")</f>
        <v/>
      </c>
      <c r="O427" s="8" t="str">
        <f>IFERROR(VLOOKUP($A427,Text_1_2[[Text.1.1.3]:[Text.1.3]],2,FALSE),"")</f>
        <v/>
      </c>
      <c r="P427" s="2"/>
    </row>
    <row r="428" spans="1:16" x14ac:dyDescent="0.25">
      <c r="A428" s="1">
        <v>34151</v>
      </c>
      <c r="B428" t="str">
        <f>HLOOKUP(Dashboard!$I$27,results,ROW(A428),FALSE)</f>
        <v/>
      </c>
      <c r="C428">
        <f>IFERROR(VLOOKUP(A428,observations_series_id_PCU22112222112243_api_key_ecc133893ea92a842ee685c73424608[],2,FALSE),"")</f>
        <v>115.3</v>
      </c>
      <c r="D428" s="2">
        <f>IFERROR(VLOOKUP(A428,observations_series_id_PCU22112222112243_api_key_ecc133893ea92a842ee685c73424608[],3,FALSE),"")</f>
        <v>0.84908933217692972</v>
      </c>
      <c r="E428" t="str">
        <f>IFERROR(VLOOKUP($A428,observations_series_id_WPU0613020T_api_key_ecc133893ea92a842ee685c734246086_file[],2,FALSE),"")</f>
        <v/>
      </c>
      <c r="F428" s="2" t="str">
        <f>IFERROR(VLOOKUP($A428,observations_series_id_WPU0613020T_api_key_ecc133893ea92a842ee685c734246086_file[],3,FALSE),"")</f>
        <v/>
      </c>
      <c r="G428" t="str">
        <f>IFERROR(VLOOKUP($A428,observations_series_id_PCU22122212_api_key_ecc133893ea92a842ee685c734246086_file[],2,FALSE),"")</f>
        <v/>
      </c>
      <c r="H428" s="2" t="str">
        <f>IFERROR(VLOOKUP($A428,observations_series_id_PCU22122212_api_key_ecc133893ea92a842ee685c734246086_file[],3,FALSE),"")</f>
        <v/>
      </c>
      <c r="I428">
        <f>IFERROR(VLOOKUP($A428,observations_series_id_PCU3241913241910_api_key_ecc133893ea92a842ee685c734246086[],2,FALSE),"")</f>
        <v>151</v>
      </c>
      <c r="J428" s="2">
        <f>IFERROR(VLOOKUP($A428,observations_series_id_PCU3241913241910_api_key_ecc133893ea92a842ee685c734246086[],3,FALSE),"")</f>
        <v>0.65960264900662247</v>
      </c>
      <c r="K428">
        <f>IFERROR(VLOOKUP($A428,observations_series_id_EXJPUS_api_key_ecc133893ea92a842ee685c734246086_file_type[],2,FALSE),"")</f>
        <v>107.6914</v>
      </c>
      <c r="L428" s="2">
        <f>IFERROR(VLOOKUP($A428,observations_series_id_EXJPUS_api_key_ecc133893ea92a842ee685c734246086_file_type[],3,FALSE),"")</f>
        <v>-2.3244994493525013</v>
      </c>
      <c r="M428" t="str">
        <f>IFERROR(AVERAGEIFS(timeseries_access_key_fqeas14oitk235763mntlb1c0brnk9w3fenzqbk313q5kvxyf52kukw1pa[Value.LME-ZNC],timeseries_access_key_fqeas14oitk235763mntlb1c0brnk9w3fenzqbk313q5kvxyf52kukw1pa[Month],MONTH(Data!$A428),timeseries_access_key_fqeas14oitk235763mntlb1c0brnk9w3fenzqbk313q5kvxyf52kukw1pa[Year],YEAR(Data!$A428)),"")</f>
        <v/>
      </c>
      <c r="N428" s="2" t="str">
        <f>IFERROR(AVERAGEIFS(timeseries_access_key_fqeas14oitk235763mntlb1c0brnk9w3fenzqbk313q5kvxyf52kukw1pa[Column1],timeseries_access_key_fqeas14oitk235763mntlb1c0brnk9w3fenzqbk313q5kvxyf52kukw1pa[Month],MONTH(Data!$A428),timeseries_access_key_fqeas14oitk235763mntlb1c0brnk9w3fenzqbk313q5kvxyf52kukw1pa[Year],YEAR(Data!$A428)),"")</f>
        <v/>
      </c>
      <c r="O428" s="8" t="str">
        <f>IFERROR(VLOOKUP($A428,Text_1_2[[Text.1.1.3]:[Text.1.3]],2,FALSE),"")</f>
        <v/>
      </c>
      <c r="P428" s="2"/>
    </row>
    <row r="429" spans="1:16" x14ac:dyDescent="0.25">
      <c r="A429" s="1">
        <v>34182</v>
      </c>
      <c r="B429" t="str">
        <f>HLOOKUP(Dashboard!$I$27,results,ROW(A429),FALSE)</f>
        <v/>
      </c>
      <c r="C429">
        <f>IFERROR(VLOOKUP(A429,observations_series_id_PCU22112222112243_api_key_ecc133893ea92a842ee685c73424608[],2,FALSE),"")</f>
        <v>115.4</v>
      </c>
      <c r="D429" s="2">
        <f>IFERROR(VLOOKUP(A429,observations_series_id_PCU22112222112243_api_key_ecc133893ea92a842ee685c73424608[],3,FALSE),"")</f>
        <v>0.84922010398613523</v>
      </c>
      <c r="E429" t="str">
        <f>IFERROR(VLOOKUP($A429,observations_series_id_WPU0613020T_api_key_ecc133893ea92a842ee685c734246086_file[],2,FALSE),"")</f>
        <v/>
      </c>
      <c r="F429" s="2" t="str">
        <f>IFERROR(VLOOKUP($A429,observations_series_id_WPU0613020T_api_key_ecc133893ea92a842ee685c734246086_file[],3,FALSE),"")</f>
        <v/>
      </c>
      <c r="G429" t="str">
        <f>IFERROR(VLOOKUP($A429,observations_series_id_PCU22122212_api_key_ecc133893ea92a842ee685c734246086_file[],2,FALSE),"")</f>
        <v/>
      </c>
      <c r="H429" s="2" t="str">
        <f>IFERROR(VLOOKUP($A429,observations_series_id_PCU22122212_api_key_ecc133893ea92a842ee685c734246086_file[],3,FALSE),"")</f>
        <v/>
      </c>
      <c r="I429">
        <f>IFERROR(VLOOKUP($A429,observations_series_id_PCU3241913241910_api_key_ecc133893ea92a842ee685c734246086[],2,FALSE),"")</f>
        <v>151.1</v>
      </c>
      <c r="J429" s="2">
        <f>IFERROR(VLOOKUP($A429,observations_series_id_PCU3241913241910_api_key_ecc133893ea92a842ee685c734246086[],3,FALSE),"")</f>
        <v>0.65982792852415617</v>
      </c>
      <c r="K429">
        <f>IFERROR(VLOOKUP($A429,observations_series_id_EXJPUS_api_key_ecc133893ea92a842ee685c734246086_file_type[],2,FALSE),"")</f>
        <v>103.765</v>
      </c>
      <c r="L429" s="2">
        <f>IFERROR(VLOOKUP($A429,observations_series_id_EXJPUS_api_key_ecc133893ea92a842ee685c734246086_file_type[],3,FALSE),"")</f>
        <v>-2.4502963426974413</v>
      </c>
      <c r="M429" t="str">
        <f>IFERROR(AVERAGEIFS(timeseries_access_key_fqeas14oitk235763mntlb1c0brnk9w3fenzqbk313q5kvxyf52kukw1pa[Value.LME-ZNC],timeseries_access_key_fqeas14oitk235763mntlb1c0brnk9w3fenzqbk313q5kvxyf52kukw1pa[Month],MONTH(Data!$A429),timeseries_access_key_fqeas14oitk235763mntlb1c0brnk9w3fenzqbk313q5kvxyf52kukw1pa[Year],YEAR(Data!$A429)),"")</f>
        <v/>
      </c>
      <c r="N429" s="2" t="str">
        <f>IFERROR(AVERAGEIFS(timeseries_access_key_fqeas14oitk235763mntlb1c0brnk9w3fenzqbk313q5kvxyf52kukw1pa[Column1],timeseries_access_key_fqeas14oitk235763mntlb1c0brnk9w3fenzqbk313q5kvxyf52kukw1pa[Month],MONTH(Data!$A429),timeseries_access_key_fqeas14oitk235763mntlb1c0brnk9w3fenzqbk313q5kvxyf52kukw1pa[Year],YEAR(Data!$A429)),"")</f>
        <v/>
      </c>
      <c r="O429" s="8" t="str">
        <f>IFERROR(VLOOKUP($A429,Text_1_2[[Text.1.1.3]:[Text.1.3]],2,FALSE),"")</f>
        <v/>
      </c>
      <c r="P429" s="2"/>
    </row>
    <row r="430" spans="1:16" x14ac:dyDescent="0.25">
      <c r="A430" s="1">
        <v>34213</v>
      </c>
      <c r="B430" t="str">
        <f>HLOOKUP(Dashboard!$I$27,results,ROW(A430),FALSE)</f>
        <v/>
      </c>
      <c r="C430">
        <f>IFERROR(VLOOKUP(A430,observations_series_id_PCU22112222112243_api_key_ecc133893ea92a842ee685c73424608[],2,FALSE),"")</f>
        <v>115.7</v>
      </c>
      <c r="D430" s="2">
        <f>IFERROR(VLOOKUP(A430,observations_series_id_PCU22112222112243_api_key_ecc133893ea92a842ee685c73424608[],3,FALSE),"")</f>
        <v>0.8496110630942092</v>
      </c>
      <c r="E430" t="str">
        <f>IFERROR(VLOOKUP($A430,observations_series_id_WPU0613020T_api_key_ecc133893ea92a842ee685c734246086_file[],2,FALSE),"")</f>
        <v/>
      </c>
      <c r="F430" s="2" t="str">
        <f>IFERROR(VLOOKUP($A430,observations_series_id_WPU0613020T_api_key_ecc133893ea92a842ee685c734246086_file[],3,FALSE),"")</f>
        <v/>
      </c>
      <c r="G430" t="str">
        <f>IFERROR(VLOOKUP($A430,observations_series_id_PCU22122212_api_key_ecc133893ea92a842ee685c734246086_file[],2,FALSE),"")</f>
        <v/>
      </c>
      <c r="H430" s="2" t="str">
        <f>IFERROR(VLOOKUP($A430,observations_series_id_PCU22122212_api_key_ecc133893ea92a842ee685c734246086_file[],3,FALSE),"")</f>
        <v/>
      </c>
      <c r="I430">
        <f>IFERROR(VLOOKUP($A430,observations_series_id_PCU3241913241910_api_key_ecc133893ea92a842ee685c734246086[],2,FALSE),"")</f>
        <v>151.1</v>
      </c>
      <c r="J430" s="2">
        <f>IFERROR(VLOOKUP($A430,observations_series_id_PCU3241913241910_api_key_ecc133893ea92a842ee685c734246086[],3,FALSE),"")</f>
        <v>0.65982792852415617</v>
      </c>
      <c r="K430">
        <f>IFERROR(VLOOKUP($A430,observations_series_id_EXJPUS_api_key_ecc133893ea92a842ee685c734246086_file_type[],2,FALSE),"")</f>
        <v>105.5748</v>
      </c>
      <c r="L430" s="2">
        <f>IFERROR(VLOOKUP($A430,observations_series_id_EXJPUS_api_key_ecc133893ea92a842ee685c734246086_file_type[],3,FALSE),"")</f>
        <v>-2.3911501608338352</v>
      </c>
      <c r="M430" t="str">
        <f>IFERROR(AVERAGEIFS(timeseries_access_key_fqeas14oitk235763mntlb1c0brnk9w3fenzqbk313q5kvxyf52kukw1pa[Value.LME-ZNC],timeseries_access_key_fqeas14oitk235763mntlb1c0brnk9w3fenzqbk313q5kvxyf52kukw1pa[Month],MONTH(Data!$A430),timeseries_access_key_fqeas14oitk235763mntlb1c0brnk9w3fenzqbk313q5kvxyf52kukw1pa[Year],YEAR(Data!$A430)),"")</f>
        <v/>
      </c>
      <c r="N430" s="2" t="str">
        <f>IFERROR(AVERAGEIFS(timeseries_access_key_fqeas14oitk235763mntlb1c0brnk9w3fenzqbk313q5kvxyf52kukw1pa[Column1],timeseries_access_key_fqeas14oitk235763mntlb1c0brnk9w3fenzqbk313q5kvxyf52kukw1pa[Month],MONTH(Data!$A430),timeseries_access_key_fqeas14oitk235763mntlb1c0brnk9w3fenzqbk313q5kvxyf52kukw1pa[Year],YEAR(Data!$A430)),"")</f>
        <v/>
      </c>
      <c r="O430" s="8" t="str">
        <f>IFERROR(VLOOKUP($A430,Text_1_2[[Text.1.1.3]:[Text.1.3]],2,FALSE),"")</f>
        <v/>
      </c>
      <c r="P430" s="2"/>
    </row>
    <row r="431" spans="1:16" x14ac:dyDescent="0.25">
      <c r="A431" s="1">
        <v>34243</v>
      </c>
      <c r="B431" t="str">
        <f>HLOOKUP(Dashboard!$I$27,results,ROW(A431),FALSE)</f>
        <v/>
      </c>
      <c r="C431">
        <f>IFERROR(VLOOKUP(A431,observations_series_id_PCU22112222112243_api_key_ecc133893ea92a842ee685c73424608[],2,FALSE),"")</f>
        <v>110.9</v>
      </c>
      <c r="D431" s="2">
        <f>IFERROR(VLOOKUP(A431,observations_series_id_PCU22112222112243_api_key_ecc133893ea92a842ee685c73424608[],3,FALSE),"")</f>
        <v>0.84310189359783594</v>
      </c>
      <c r="E431" t="str">
        <f>IFERROR(VLOOKUP($A431,observations_series_id_WPU0613020T_api_key_ecc133893ea92a842ee685c734246086_file[],2,FALSE),"")</f>
        <v/>
      </c>
      <c r="F431" s="2" t="str">
        <f>IFERROR(VLOOKUP($A431,observations_series_id_WPU0613020T_api_key_ecc133893ea92a842ee685c734246086_file[],3,FALSE),"")</f>
        <v/>
      </c>
      <c r="G431" t="str">
        <f>IFERROR(VLOOKUP($A431,observations_series_id_PCU22122212_api_key_ecc133893ea92a842ee685c734246086_file[],2,FALSE),"")</f>
        <v/>
      </c>
      <c r="H431" s="2" t="str">
        <f>IFERROR(VLOOKUP($A431,observations_series_id_PCU22122212_api_key_ecc133893ea92a842ee685c734246086_file[],3,FALSE),"")</f>
        <v/>
      </c>
      <c r="I431">
        <f>IFERROR(VLOOKUP($A431,observations_series_id_PCU3241913241910_api_key_ecc133893ea92a842ee685c734246086[],2,FALSE),"")</f>
        <v>151.1</v>
      </c>
      <c r="J431" s="2">
        <f>IFERROR(VLOOKUP($A431,observations_series_id_PCU3241913241910_api_key_ecc133893ea92a842ee685c734246086[],3,FALSE),"")</f>
        <v>0.65982792852415617</v>
      </c>
      <c r="K431">
        <f>IFERROR(VLOOKUP($A431,observations_series_id_EXJPUS_api_key_ecc133893ea92a842ee685c734246086_file_type[],2,FALSE),"")</f>
        <v>107.02</v>
      </c>
      <c r="L431" s="2">
        <f>IFERROR(VLOOKUP($A431,observations_series_id_EXJPUS_api_key_ecc133893ea92a842ee685c734246086_file_type[],3,FALSE),"")</f>
        <v>-2.3453560082227622</v>
      </c>
      <c r="M431" t="str">
        <f>IFERROR(AVERAGEIFS(timeseries_access_key_fqeas14oitk235763mntlb1c0brnk9w3fenzqbk313q5kvxyf52kukw1pa[Value.LME-ZNC],timeseries_access_key_fqeas14oitk235763mntlb1c0brnk9w3fenzqbk313q5kvxyf52kukw1pa[Month],MONTH(Data!$A431),timeseries_access_key_fqeas14oitk235763mntlb1c0brnk9w3fenzqbk313q5kvxyf52kukw1pa[Year],YEAR(Data!$A431)),"")</f>
        <v/>
      </c>
      <c r="N431" s="2" t="str">
        <f>IFERROR(AVERAGEIFS(timeseries_access_key_fqeas14oitk235763mntlb1c0brnk9w3fenzqbk313q5kvxyf52kukw1pa[Column1],timeseries_access_key_fqeas14oitk235763mntlb1c0brnk9w3fenzqbk313q5kvxyf52kukw1pa[Month],MONTH(Data!$A431),timeseries_access_key_fqeas14oitk235763mntlb1c0brnk9w3fenzqbk313q5kvxyf52kukw1pa[Year],YEAR(Data!$A431)),"")</f>
        <v/>
      </c>
      <c r="O431" s="8" t="str">
        <f>IFERROR(VLOOKUP($A431,Text_1_2[[Text.1.1.3]:[Text.1.3]],2,FALSE),"")</f>
        <v/>
      </c>
      <c r="P431" s="2"/>
    </row>
    <row r="432" spans="1:16" x14ac:dyDescent="0.25">
      <c r="A432" s="1">
        <v>34274</v>
      </c>
      <c r="B432" t="str">
        <f>HLOOKUP(Dashboard!$I$27,results,ROW(A432),FALSE)</f>
        <v/>
      </c>
      <c r="C432">
        <f>IFERROR(VLOOKUP(A432,observations_series_id_PCU22112222112243_api_key_ecc133893ea92a842ee685c73424608[],2,FALSE),"")</f>
        <v>106.2</v>
      </c>
      <c r="D432" s="2">
        <f>IFERROR(VLOOKUP(A432,observations_series_id_PCU22112222112243_api_key_ecc133893ea92a842ee685c73424608[],3,FALSE),"")</f>
        <v>0.83615819209039555</v>
      </c>
      <c r="E432" t="str">
        <f>IFERROR(VLOOKUP($A432,observations_series_id_WPU0613020T_api_key_ecc133893ea92a842ee685c734246086_file[],2,FALSE),"")</f>
        <v/>
      </c>
      <c r="F432" s="2" t="str">
        <f>IFERROR(VLOOKUP($A432,observations_series_id_WPU0613020T_api_key_ecc133893ea92a842ee685c734246086_file[],3,FALSE),"")</f>
        <v/>
      </c>
      <c r="G432" t="str">
        <f>IFERROR(VLOOKUP($A432,observations_series_id_PCU22122212_api_key_ecc133893ea92a842ee685c734246086_file[],2,FALSE),"")</f>
        <v/>
      </c>
      <c r="H432" s="2" t="str">
        <f>IFERROR(VLOOKUP($A432,observations_series_id_PCU22122212_api_key_ecc133893ea92a842ee685c734246086_file[],3,FALSE),"")</f>
        <v/>
      </c>
      <c r="I432">
        <f>IFERROR(VLOOKUP($A432,observations_series_id_PCU3241913241910_api_key_ecc133893ea92a842ee685c734246086[],2,FALSE),"")</f>
        <v>151.4</v>
      </c>
      <c r="J432" s="2">
        <f>IFERROR(VLOOKUP($A432,observations_series_id_PCU3241913241910_api_key_ecc133893ea92a842ee685c734246086[],3,FALSE),"")</f>
        <v>0.66050198150594452</v>
      </c>
      <c r="K432">
        <f>IFERROR(VLOOKUP($A432,observations_series_id_EXJPUS_api_key_ecc133893ea92a842ee685c734246086_file_type[],2,FALSE),"")</f>
        <v>107.87649999999999</v>
      </c>
      <c r="L432" s="2">
        <f>IFERROR(VLOOKUP($A432,observations_series_id_EXJPUS_api_key_ecc133893ea92a842ee685c734246086_file_type[],3,FALSE),"")</f>
        <v>-2.3187951036602041</v>
      </c>
      <c r="M432" t="str">
        <f>IFERROR(AVERAGEIFS(timeseries_access_key_fqeas14oitk235763mntlb1c0brnk9w3fenzqbk313q5kvxyf52kukw1pa[Value.LME-ZNC],timeseries_access_key_fqeas14oitk235763mntlb1c0brnk9w3fenzqbk313q5kvxyf52kukw1pa[Month],MONTH(Data!$A432),timeseries_access_key_fqeas14oitk235763mntlb1c0brnk9w3fenzqbk313q5kvxyf52kukw1pa[Year],YEAR(Data!$A432)),"")</f>
        <v/>
      </c>
      <c r="N432" s="2" t="str">
        <f>IFERROR(AVERAGEIFS(timeseries_access_key_fqeas14oitk235763mntlb1c0brnk9w3fenzqbk313q5kvxyf52kukw1pa[Column1],timeseries_access_key_fqeas14oitk235763mntlb1c0brnk9w3fenzqbk313q5kvxyf52kukw1pa[Month],MONTH(Data!$A432),timeseries_access_key_fqeas14oitk235763mntlb1c0brnk9w3fenzqbk313q5kvxyf52kukw1pa[Year],YEAR(Data!$A432)),"")</f>
        <v/>
      </c>
      <c r="O432" s="8" t="str">
        <f>IFERROR(VLOOKUP($A432,Text_1_2[[Text.1.1.3]:[Text.1.3]],2,FALSE),"")</f>
        <v/>
      </c>
      <c r="P432" s="2"/>
    </row>
    <row r="433" spans="1:16" x14ac:dyDescent="0.25">
      <c r="A433" s="1">
        <v>34304</v>
      </c>
      <c r="B433" t="str">
        <f>HLOOKUP(Dashboard!$I$27,results,ROW(A433),FALSE)</f>
        <v/>
      </c>
      <c r="C433">
        <f>IFERROR(VLOOKUP(A433,observations_series_id_PCU22112222112243_api_key_ecc133893ea92a842ee685c73424608[],2,FALSE),"")</f>
        <v>106</v>
      </c>
      <c r="D433" s="2">
        <f>IFERROR(VLOOKUP(A433,observations_series_id_PCU22112222112243_api_key_ecc133893ea92a842ee685c73424608[],3,FALSE),"")</f>
        <v>0.83584905660377362</v>
      </c>
      <c r="E433" t="str">
        <f>IFERROR(VLOOKUP($A433,observations_series_id_WPU0613020T_api_key_ecc133893ea92a842ee685c734246086_file[],2,FALSE),"")</f>
        <v/>
      </c>
      <c r="F433" s="2" t="str">
        <f>IFERROR(VLOOKUP($A433,observations_series_id_WPU0613020T_api_key_ecc133893ea92a842ee685c734246086_file[],3,FALSE),"")</f>
        <v/>
      </c>
      <c r="G433" t="str">
        <f>IFERROR(VLOOKUP($A433,observations_series_id_PCU22122212_api_key_ecc133893ea92a842ee685c734246086_file[],2,FALSE),"")</f>
        <v/>
      </c>
      <c r="H433" s="2" t="str">
        <f>IFERROR(VLOOKUP($A433,observations_series_id_PCU22122212_api_key_ecc133893ea92a842ee685c734246086_file[],3,FALSE),"")</f>
        <v/>
      </c>
      <c r="I433">
        <f>IFERROR(VLOOKUP($A433,observations_series_id_PCU3241913241910_api_key_ecc133893ea92a842ee685c734246086[],2,FALSE),"")</f>
        <v>151.4</v>
      </c>
      <c r="J433" s="2">
        <f>IFERROR(VLOOKUP($A433,observations_series_id_PCU3241913241910_api_key_ecc133893ea92a842ee685c734246086[],3,FALSE),"")</f>
        <v>0.66050198150594452</v>
      </c>
      <c r="K433">
        <f>IFERROR(VLOOKUP($A433,observations_series_id_EXJPUS_api_key_ecc133893ea92a842ee685c734246086_file_type[],2,FALSE),"")</f>
        <v>109.913</v>
      </c>
      <c r="L433" s="2">
        <f>IFERROR(VLOOKUP($A433,observations_series_id_EXJPUS_api_key_ecc133893ea92a842ee685c734246086_file_type[],3,FALSE),"")</f>
        <v>-2.2573035036801832</v>
      </c>
      <c r="M433" t="str">
        <f>IFERROR(AVERAGEIFS(timeseries_access_key_fqeas14oitk235763mntlb1c0brnk9w3fenzqbk313q5kvxyf52kukw1pa[Value.LME-ZNC],timeseries_access_key_fqeas14oitk235763mntlb1c0brnk9w3fenzqbk313q5kvxyf52kukw1pa[Month],MONTH(Data!$A433),timeseries_access_key_fqeas14oitk235763mntlb1c0brnk9w3fenzqbk313q5kvxyf52kukw1pa[Year],YEAR(Data!$A433)),"")</f>
        <v/>
      </c>
      <c r="N433" s="2" t="str">
        <f>IFERROR(AVERAGEIFS(timeseries_access_key_fqeas14oitk235763mntlb1c0brnk9w3fenzqbk313q5kvxyf52kukw1pa[Column1],timeseries_access_key_fqeas14oitk235763mntlb1c0brnk9w3fenzqbk313q5kvxyf52kukw1pa[Month],MONTH(Data!$A433),timeseries_access_key_fqeas14oitk235763mntlb1c0brnk9w3fenzqbk313q5kvxyf52kukw1pa[Year],YEAR(Data!$A433)),"")</f>
        <v/>
      </c>
      <c r="O433" s="8" t="str">
        <f>IFERROR(VLOOKUP($A433,Text_1_2[[Text.1.1.3]:[Text.1.3]],2,FALSE),"")</f>
        <v/>
      </c>
      <c r="P433" s="2"/>
    </row>
    <row r="434" spans="1:16" x14ac:dyDescent="0.25">
      <c r="A434" s="1">
        <v>34335</v>
      </c>
      <c r="B434" t="str">
        <f>HLOOKUP(Dashboard!$I$27,results,ROW(A434),FALSE)</f>
        <v/>
      </c>
      <c r="C434">
        <f>IFERROR(VLOOKUP(A434,observations_series_id_PCU22112222112243_api_key_ecc133893ea92a842ee685c73424608[],2,FALSE),"")</f>
        <v>106.1</v>
      </c>
      <c r="D434" s="2">
        <f>IFERROR(VLOOKUP(A434,observations_series_id_PCU22112222112243_api_key_ecc133893ea92a842ee685c73424608[],3,FALSE),"")</f>
        <v>0.83600377002827519</v>
      </c>
      <c r="E434" t="str">
        <f>IFERROR(VLOOKUP($A434,observations_series_id_WPU0613020T_api_key_ecc133893ea92a842ee685c734246086_file[],2,FALSE),"")</f>
        <v/>
      </c>
      <c r="F434" s="2" t="str">
        <f>IFERROR(VLOOKUP($A434,observations_series_id_WPU0613020T_api_key_ecc133893ea92a842ee685c734246086_file[],3,FALSE),"")</f>
        <v/>
      </c>
      <c r="G434" t="str">
        <f>IFERROR(VLOOKUP($A434,observations_series_id_PCU22122212_api_key_ecc133893ea92a842ee685c734246086_file[],2,FALSE),"")</f>
        <v/>
      </c>
      <c r="H434" s="2" t="str">
        <f>IFERROR(VLOOKUP($A434,observations_series_id_PCU22122212_api_key_ecc133893ea92a842ee685c734246086_file[],3,FALSE),"")</f>
        <v/>
      </c>
      <c r="I434">
        <f>IFERROR(VLOOKUP($A434,observations_series_id_PCU3241913241910_api_key_ecc133893ea92a842ee685c734246086[],2,FALSE),"")</f>
        <v>151.5</v>
      </c>
      <c r="J434" s="2">
        <f>IFERROR(VLOOKUP($A434,observations_series_id_PCU3241913241910_api_key_ecc133893ea92a842ee685c734246086[],3,FALSE),"")</f>
        <v>0.66072607260726079</v>
      </c>
      <c r="K434">
        <f>IFERROR(VLOOKUP($A434,observations_series_id_EXJPUS_api_key_ecc133893ea92a842ee685c734246086_file_type[],2,FALSE),"")</f>
        <v>111.4415</v>
      </c>
      <c r="L434" s="2">
        <f>IFERROR(VLOOKUP($A434,observations_series_id_EXJPUS_api_key_ecc133893ea92a842ee685c734246086_file_type[],3,FALSE),"")</f>
        <v>-2.21262725286361</v>
      </c>
      <c r="M434" t="str">
        <f>IFERROR(AVERAGEIFS(timeseries_access_key_fqeas14oitk235763mntlb1c0brnk9w3fenzqbk313q5kvxyf52kukw1pa[Value.LME-ZNC],timeseries_access_key_fqeas14oitk235763mntlb1c0brnk9w3fenzqbk313q5kvxyf52kukw1pa[Month],MONTH(Data!$A434),timeseries_access_key_fqeas14oitk235763mntlb1c0brnk9w3fenzqbk313q5kvxyf52kukw1pa[Year],YEAR(Data!$A434)),"")</f>
        <v/>
      </c>
      <c r="N434" s="2" t="str">
        <f>IFERROR(AVERAGEIFS(timeseries_access_key_fqeas14oitk235763mntlb1c0brnk9w3fenzqbk313q5kvxyf52kukw1pa[Column1],timeseries_access_key_fqeas14oitk235763mntlb1c0brnk9w3fenzqbk313q5kvxyf52kukw1pa[Month],MONTH(Data!$A434),timeseries_access_key_fqeas14oitk235763mntlb1c0brnk9w3fenzqbk313q5kvxyf52kukw1pa[Year],YEAR(Data!$A434)),"")</f>
        <v/>
      </c>
      <c r="O434" s="8">
        <f>IFERROR(VLOOKUP($A434,Text_1_2[[Text.1.1.3]:[Text.1.3]],2,FALSE),"")</f>
        <v>12500</v>
      </c>
      <c r="P434" s="2"/>
    </row>
    <row r="435" spans="1:16" x14ac:dyDescent="0.25">
      <c r="A435" s="1">
        <v>34366</v>
      </c>
      <c r="B435" t="str">
        <f>HLOOKUP(Dashboard!$I$27,results,ROW(A435),FALSE)</f>
        <v/>
      </c>
      <c r="C435">
        <f>IFERROR(VLOOKUP(A435,observations_series_id_PCU22112222112243_api_key_ecc133893ea92a842ee685c73424608[],2,FALSE),"")</f>
        <v>105.9</v>
      </c>
      <c r="D435" s="2">
        <f>IFERROR(VLOOKUP(A435,observations_series_id_PCU22112222112243_api_key_ecc133893ea92a842ee685c73424608[],3,FALSE),"")</f>
        <v>0.8356940509915014</v>
      </c>
      <c r="E435" t="str">
        <f>IFERROR(VLOOKUP($A435,observations_series_id_WPU0613020T_api_key_ecc133893ea92a842ee685c734246086_file[],2,FALSE),"")</f>
        <v/>
      </c>
      <c r="F435" s="2" t="str">
        <f>IFERROR(VLOOKUP($A435,observations_series_id_WPU0613020T_api_key_ecc133893ea92a842ee685c734246086_file[],3,FALSE),"")</f>
        <v/>
      </c>
      <c r="G435" t="str">
        <f>IFERROR(VLOOKUP($A435,observations_series_id_PCU22122212_api_key_ecc133893ea92a842ee685c734246086_file[],2,FALSE),"")</f>
        <v/>
      </c>
      <c r="H435" s="2" t="str">
        <f>IFERROR(VLOOKUP($A435,observations_series_id_PCU22122212_api_key_ecc133893ea92a842ee685c734246086_file[],3,FALSE),"")</f>
        <v/>
      </c>
      <c r="I435">
        <f>IFERROR(VLOOKUP($A435,observations_series_id_PCU3241913241910_api_key_ecc133893ea92a842ee685c734246086[],2,FALSE),"")</f>
        <v>151.5</v>
      </c>
      <c r="J435" s="2">
        <f>IFERROR(VLOOKUP($A435,observations_series_id_PCU3241913241910_api_key_ecc133893ea92a842ee685c734246086[],3,FALSE),"")</f>
        <v>0.66072607260726079</v>
      </c>
      <c r="K435">
        <f>IFERROR(VLOOKUP($A435,observations_series_id_EXJPUS_api_key_ecc133893ea92a842ee685c734246086_file_type[],2,FALSE),"")</f>
        <v>106.30110000000001</v>
      </c>
      <c r="L435" s="2">
        <f>IFERROR(VLOOKUP($A435,observations_series_id_EXJPUS_api_key_ecc133893ea92a842ee685c734246086_file_type[],3,FALSE),"")</f>
        <v>-2.367980199640455</v>
      </c>
      <c r="M435" t="str">
        <f>IFERROR(AVERAGEIFS(timeseries_access_key_fqeas14oitk235763mntlb1c0brnk9w3fenzqbk313q5kvxyf52kukw1pa[Value.LME-ZNC],timeseries_access_key_fqeas14oitk235763mntlb1c0brnk9w3fenzqbk313q5kvxyf52kukw1pa[Month],MONTH(Data!$A435),timeseries_access_key_fqeas14oitk235763mntlb1c0brnk9w3fenzqbk313q5kvxyf52kukw1pa[Year],YEAR(Data!$A435)),"")</f>
        <v/>
      </c>
      <c r="N435" s="2" t="str">
        <f>IFERROR(AVERAGEIFS(timeseries_access_key_fqeas14oitk235763mntlb1c0brnk9w3fenzqbk313q5kvxyf52kukw1pa[Column1],timeseries_access_key_fqeas14oitk235763mntlb1c0brnk9w3fenzqbk313q5kvxyf52kukw1pa[Month],MONTH(Data!$A435),timeseries_access_key_fqeas14oitk235763mntlb1c0brnk9w3fenzqbk313q5kvxyf52kukw1pa[Year],YEAR(Data!$A435)),"")</f>
        <v/>
      </c>
      <c r="O435" s="8" t="str">
        <f>IFERROR(VLOOKUP($A435,Text_1_2[[Text.1.1.3]:[Text.1.3]],2,FALSE),"")</f>
        <v/>
      </c>
      <c r="P435" s="2"/>
    </row>
    <row r="436" spans="1:16" x14ac:dyDescent="0.25">
      <c r="A436" s="1">
        <v>34394</v>
      </c>
      <c r="B436" t="str">
        <f>HLOOKUP(Dashboard!$I$27,results,ROW(A436),FALSE)</f>
        <v/>
      </c>
      <c r="C436">
        <f>IFERROR(VLOOKUP(A436,observations_series_id_PCU22112222112243_api_key_ecc133893ea92a842ee685c73424608[],2,FALSE),"")</f>
        <v>105.8</v>
      </c>
      <c r="D436" s="2">
        <f>IFERROR(VLOOKUP(A436,observations_series_id_PCU22112222112243_api_key_ecc133893ea92a842ee685c73424608[],3,FALSE),"")</f>
        <v>0.83553875236294894</v>
      </c>
      <c r="E436" t="str">
        <f>IFERROR(VLOOKUP($A436,observations_series_id_WPU0613020T_api_key_ecc133893ea92a842ee685c734246086_file[],2,FALSE),"")</f>
        <v/>
      </c>
      <c r="F436" s="2" t="str">
        <f>IFERROR(VLOOKUP($A436,observations_series_id_WPU0613020T_api_key_ecc133893ea92a842ee685c734246086_file[],3,FALSE),"")</f>
        <v/>
      </c>
      <c r="G436" t="str">
        <f>IFERROR(VLOOKUP($A436,observations_series_id_PCU22122212_api_key_ecc133893ea92a842ee685c734246086_file[],2,FALSE),"")</f>
        <v/>
      </c>
      <c r="H436" s="2" t="str">
        <f>IFERROR(VLOOKUP($A436,observations_series_id_PCU22122212_api_key_ecc133893ea92a842ee685c734246086_file[],3,FALSE),"")</f>
        <v/>
      </c>
      <c r="I436">
        <f>IFERROR(VLOOKUP($A436,observations_series_id_PCU3241913241910_api_key_ecc133893ea92a842ee685c734246086[],2,FALSE),"")</f>
        <v>152.30000000000001</v>
      </c>
      <c r="J436" s="2">
        <f>IFERROR(VLOOKUP($A436,observations_series_id_PCU3241913241910_api_key_ecc133893ea92a842ee685c734246086[],3,FALSE),"")</f>
        <v>0.66250820748522654</v>
      </c>
      <c r="K436">
        <f>IFERROR(VLOOKUP($A436,observations_series_id_EXJPUS_api_key_ecc133893ea92a842ee685c734246086_file_type[],2,FALSE),"")</f>
        <v>105.09739999999999</v>
      </c>
      <c r="L436" s="2">
        <f>IFERROR(VLOOKUP($A436,observations_series_id_EXJPUS_api_key_ecc133893ea92a842ee685c734246086_file_type[],3,FALSE),"")</f>
        <v>-2.4065543010578758</v>
      </c>
      <c r="M436" t="str">
        <f>IFERROR(AVERAGEIFS(timeseries_access_key_fqeas14oitk235763mntlb1c0brnk9w3fenzqbk313q5kvxyf52kukw1pa[Value.LME-ZNC],timeseries_access_key_fqeas14oitk235763mntlb1c0brnk9w3fenzqbk313q5kvxyf52kukw1pa[Month],MONTH(Data!$A436),timeseries_access_key_fqeas14oitk235763mntlb1c0brnk9w3fenzqbk313q5kvxyf52kukw1pa[Year],YEAR(Data!$A436)),"")</f>
        <v/>
      </c>
      <c r="N436" s="2" t="str">
        <f>IFERROR(AVERAGEIFS(timeseries_access_key_fqeas14oitk235763mntlb1c0brnk9w3fenzqbk313q5kvxyf52kukw1pa[Column1],timeseries_access_key_fqeas14oitk235763mntlb1c0brnk9w3fenzqbk313q5kvxyf52kukw1pa[Month],MONTH(Data!$A436),timeseries_access_key_fqeas14oitk235763mntlb1c0brnk9w3fenzqbk313q5kvxyf52kukw1pa[Year],YEAR(Data!$A436)),"")</f>
        <v/>
      </c>
      <c r="O436" s="8" t="str">
        <f>IFERROR(VLOOKUP($A436,Text_1_2[[Text.1.1.3]:[Text.1.3]],2,FALSE),"")</f>
        <v/>
      </c>
      <c r="P436" s="2"/>
    </row>
    <row r="437" spans="1:16" x14ac:dyDescent="0.25">
      <c r="A437" s="1">
        <v>34425</v>
      </c>
      <c r="B437" t="str">
        <f>HLOOKUP(Dashboard!$I$27,results,ROW(A437),FALSE)</f>
        <v/>
      </c>
      <c r="C437">
        <f>IFERROR(VLOOKUP(A437,observations_series_id_PCU22112222112243_api_key_ecc133893ea92a842ee685c73424608[],2,FALSE),"")</f>
        <v>105.4</v>
      </c>
      <c r="D437" s="2">
        <f>IFERROR(VLOOKUP(A437,observations_series_id_PCU22112222112243_api_key_ecc133893ea92a842ee685c73424608[],3,FALSE),"")</f>
        <v>0.83491461100569264</v>
      </c>
      <c r="E437" t="str">
        <f>IFERROR(VLOOKUP($A437,observations_series_id_WPU0613020T_api_key_ecc133893ea92a842ee685c734246086_file[],2,FALSE),"")</f>
        <v/>
      </c>
      <c r="F437" s="2" t="str">
        <f>IFERROR(VLOOKUP($A437,observations_series_id_WPU0613020T_api_key_ecc133893ea92a842ee685c734246086_file[],3,FALSE),"")</f>
        <v/>
      </c>
      <c r="G437" t="str">
        <f>IFERROR(VLOOKUP($A437,observations_series_id_PCU22122212_api_key_ecc133893ea92a842ee685c734246086_file[],2,FALSE),"")</f>
        <v/>
      </c>
      <c r="H437" s="2" t="str">
        <f>IFERROR(VLOOKUP($A437,observations_series_id_PCU22122212_api_key_ecc133893ea92a842ee685c734246086_file[],3,FALSE),"")</f>
        <v/>
      </c>
      <c r="I437">
        <f>IFERROR(VLOOKUP($A437,observations_series_id_PCU3241913241910_api_key_ecc133893ea92a842ee685c734246086[],2,FALSE),"")</f>
        <v>152.30000000000001</v>
      </c>
      <c r="J437" s="2">
        <f>IFERROR(VLOOKUP($A437,observations_series_id_PCU3241913241910_api_key_ecc133893ea92a842ee685c734246086[],3,FALSE),"")</f>
        <v>0.66250820748522654</v>
      </c>
      <c r="K437">
        <f>IFERROR(VLOOKUP($A437,observations_series_id_EXJPUS_api_key_ecc133893ea92a842ee685c734246086_file_type[],2,FALSE),"")</f>
        <v>103.4843</v>
      </c>
      <c r="L437" s="2">
        <f>IFERROR(VLOOKUP($A437,observations_series_id_EXJPUS_api_key_ecc133893ea92a842ee685c734246086_file_type[],3,FALSE),"")</f>
        <v>-2.4596552327261234</v>
      </c>
      <c r="M437" t="str">
        <f>IFERROR(AVERAGEIFS(timeseries_access_key_fqeas14oitk235763mntlb1c0brnk9w3fenzqbk313q5kvxyf52kukw1pa[Value.LME-ZNC],timeseries_access_key_fqeas14oitk235763mntlb1c0brnk9w3fenzqbk313q5kvxyf52kukw1pa[Month],MONTH(Data!$A437),timeseries_access_key_fqeas14oitk235763mntlb1c0brnk9w3fenzqbk313q5kvxyf52kukw1pa[Year],YEAR(Data!$A437)),"")</f>
        <v/>
      </c>
      <c r="N437" s="2" t="str">
        <f>IFERROR(AVERAGEIFS(timeseries_access_key_fqeas14oitk235763mntlb1c0brnk9w3fenzqbk313q5kvxyf52kukw1pa[Column1],timeseries_access_key_fqeas14oitk235763mntlb1c0brnk9w3fenzqbk313q5kvxyf52kukw1pa[Month],MONTH(Data!$A437),timeseries_access_key_fqeas14oitk235763mntlb1c0brnk9w3fenzqbk313q5kvxyf52kukw1pa[Year],YEAR(Data!$A437)),"")</f>
        <v/>
      </c>
      <c r="O437" s="8">
        <f>IFERROR(VLOOKUP($A437,Text_1_2[[Text.1.1.3]:[Text.1.3]],2,FALSE),"")</f>
        <v>12600</v>
      </c>
      <c r="P437" s="2"/>
    </row>
    <row r="438" spans="1:16" x14ac:dyDescent="0.25">
      <c r="A438" s="1">
        <v>34455</v>
      </c>
      <c r="B438" t="str">
        <f>HLOOKUP(Dashboard!$I$27,results,ROW(A438),FALSE)</f>
        <v/>
      </c>
      <c r="C438">
        <f>IFERROR(VLOOKUP(A438,observations_series_id_PCU22112222112243_api_key_ecc133893ea92a842ee685c73424608[],2,FALSE),"")</f>
        <v>105.9</v>
      </c>
      <c r="D438" s="2">
        <f>IFERROR(VLOOKUP(A438,observations_series_id_PCU22112222112243_api_key_ecc133893ea92a842ee685c73424608[],3,FALSE),"")</f>
        <v>0.8356940509915014</v>
      </c>
      <c r="E438" t="str">
        <f>IFERROR(VLOOKUP($A438,observations_series_id_WPU0613020T_api_key_ecc133893ea92a842ee685c734246086_file[],2,FALSE),"")</f>
        <v/>
      </c>
      <c r="F438" s="2" t="str">
        <f>IFERROR(VLOOKUP($A438,observations_series_id_WPU0613020T_api_key_ecc133893ea92a842ee685c734246086_file[],3,FALSE),"")</f>
        <v/>
      </c>
      <c r="G438" t="str">
        <f>IFERROR(VLOOKUP($A438,observations_series_id_PCU22122212_api_key_ecc133893ea92a842ee685c734246086_file[],2,FALSE),"")</f>
        <v/>
      </c>
      <c r="H438" s="2" t="str">
        <f>IFERROR(VLOOKUP($A438,observations_series_id_PCU22122212_api_key_ecc133893ea92a842ee685c734246086_file[],3,FALSE),"")</f>
        <v/>
      </c>
      <c r="I438">
        <f>IFERROR(VLOOKUP($A438,observations_series_id_PCU3241913241910_api_key_ecc133893ea92a842ee685c734246086[],2,FALSE),"")</f>
        <v>152.19999999999999</v>
      </c>
      <c r="J438" s="2">
        <f>IFERROR(VLOOKUP($A438,observations_series_id_PCU3241913241910_api_key_ecc133893ea92a842ee685c734246086[],3,FALSE),"")</f>
        <v>0.66228646517739809</v>
      </c>
      <c r="K438">
        <f>IFERROR(VLOOKUP($A438,observations_series_id_EXJPUS_api_key_ecc133893ea92a842ee685c734246086_file_type[],2,FALSE),"")</f>
        <v>103.7533</v>
      </c>
      <c r="L438" s="2">
        <f>IFERROR(VLOOKUP($A438,observations_series_id_EXJPUS_api_key_ecc133893ea92a842ee685c734246086_file_type[],3,FALSE),"")</f>
        <v>-2.4506854239816951</v>
      </c>
      <c r="M438" t="str">
        <f>IFERROR(AVERAGEIFS(timeseries_access_key_fqeas14oitk235763mntlb1c0brnk9w3fenzqbk313q5kvxyf52kukw1pa[Value.LME-ZNC],timeseries_access_key_fqeas14oitk235763mntlb1c0brnk9w3fenzqbk313q5kvxyf52kukw1pa[Month],MONTH(Data!$A438),timeseries_access_key_fqeas14oitk235763mntlb1c0brnk9w3fenzqbk313q5kvxyf52kukw1pa[Year],YEAR(Data!$A438)),"")</f>
        <v/>
      </c>
      <c r="N438" s="2" t="str">
        <f>IFERROR(AVERAGEIFS(timeseries_access_key_fqeas14oitk235763mntlb1c0brnk9w3fenzqbk313q5kvxyf52kukw1pa[Column1],timeseries_access_key_fqeas14oitk235763mntlb1c0brnk9w3fenzqbk313q5kvxyf52kukw1pa[Month],MONTH(Data!$A438),timeseries_access_key_fqeas14oitk235763mntlb1c0brnk9w3fenzqbk313q5kvxyf52kukw1pa[Year],YEAR(Data!$A438)),"")</f>
        <v/>
      </c>
      <c r="O438" s="8" t="str">
        <f>IFERROR(VLOOKUP($A438,Text_1_2[[Text.1.1.3]:[Text.1.3]],2,FALSE),"")</f>
        <v/>
      </c>
      <c r="P438" s="2"/>
    </row>
    <row r="439" spans="1:16" x14ac:dyDescent="0.25">
      <c r="A439" s="1">
        <v>34486</v>
      </c>
      <c r="B439" t="str">
        <f>HLOOKUP(Dashboard!$I$27,results,ROW(A439),FALSE)</f>
        <v/>
      </c>
      <c r="C439">
        <f>IFERROR(VLOOKUP(A439,observations_series_id_PCU22112222112243_api_key_ecc133893ea92a842ee685c73424608[],2,FALSE),"")</f>
        <v>112.2</v>
      </c>
      <c r="D439" s="2">
        <f>IFERROR(VLOOKUP(A439,observations_series_id_PCU22112222112243_api_key_ecc133893ea92a842ee685c73424608[],3,FALSE),"")</f>
        <v>0.84491978609625673</v>
      </c>
      <c r="E439" t="str">
        <f>IFERROR(VLOOKUP($A439,observations_series_id_WPU0613020T_api_key_ecc133893ea92a842ee685c734246086_file[],2,FALSE),"")</f>
        <v/>
      </c>
      <c r="F439" s="2" t="str">
        <f>IFERROR(VLOOKUP($A439,observations_series_id_WPU0613020T_api_key_ecc133893ea92a842ee685c734246086_file[],3,FALSE),"")</f>
        <v/>
      </c>
      <c r="G439" t="str">
        <f>IFERROR(VLOOKUP($A439,observations_series_id_PCU22122212_api_key_ecc133893ea92a842ee685c734246086_file[],2,FALSE),"")</f>
        <v/>
      </c>
      <c r="H439" s="2" t="str">
        <f>IFERROR(VLOOKUP($A439,observations_series_id_PCU22122212_api_key_ecc133893ea92a842ee685c734246086_file[],3,FALSE),"")</f>
        <v/>
      </c>
      <c r="I439">
        <f>IFERROR(VLOOKUP($A439,observations_series_id_PCU3241913241910_api_key_ecc133893ea92a842ee685c734246086[],2,FALSE),"")</f>
        <v>152.30000000000001</v>
      </c>
      <c r="J439" s="2">
        <f>IFERROR(VLOOKUP($A439,observations_series_id_PCU3241913241910_api_key_ecc133893ea92a842ee685c734246086[],3,FALSE),"")</f>
        <v>0.66250820748522654</v>
      </c>
      <c r="K439">
        <f>IFERROR(VLOOKUP($A439,observations_series_id_EXJPUS_api_key_ecc133893ea92a842ee685c734246086_file_type[],2,FALSE),"")</f>
        <v>102.5264</v>
      </c>
      <c r="L439" s="2">
        <f>IFERROR(VLOOKUP($A439,observations_series_id_EXJPUS_api_key_ecc133893ea92a842ee685c734246086_file_type[],3,FALSE),"")</f>
        <v>-2.4919786513522371</v>
      </c>
      <c r="M439" t="str">
        <f>IFERROR(AVERAGEIFS(timeseries_access_key_fqeas14oitk235763mntlb1c0brnk9w3fenzqbk313q5kvxyf52kukw1pa[Value.LME-ZNC],timeseries_access_key_fqeas14oitk235763mntlb1c0brnk9w3fenzqbk313q5kvxyf52kukw1pa[Month],MONTH(Data!$A439),timeseries_access_key_fqeas14oitk235763mntlb1c0brnk9w3fenzqbk313q5kvxyf52kukw1pa[Year],YEAR(Data!$A439)),"")</f>
        <v/>
      </c>
      <c r="N439" s="2" t="str">
        <f>IFERROR(AVERAGEIFS(timeseries_access_key_fqeas14oitk235763mntlb1c0brnk9w3fenzqbk313q5kvxyf52kukw1pa[Column1],timeseries_access_key_fqeas14oitk235763mntlb1c0brnk9w3fenzqbk313q5kvxyf52kukw1pa[Month],MONTH(Data!$A439),timeseries_access_key_fqeas14oitk235763mntlb1c0brnk9w3fenzqbk313q5kvxyf52kukw1pa[Year],YEAR(Data!$A439)),"")</f>
        <v/>
      </c>
      <c r="O439" s="8" t="str">
        <f>IFERROR(VLOOKUP($A439,Text_1_2[[Text.1.1.3]:[Text.1.3]],2,FALSE),"")</f>
        <v/>
      </c>
      <c r="P439" s="2"/>
    </row>
    <row r="440" spans="1:16" x14ac:dyDescent="0.25">
      <c r="A440" s="1">
        <v>34516</v>
      </c>
      <c r="B440" t="str">
        <f>HLOOKUP(Dashboard!$I$27,results,ROW(A440),FALSE)</f>
        <v/>
      </c>
      <c r="C440">
        <f>IFERROR(VLOOKUP(A440,observations_series_id_PCU22112222112243_api_key_ecc133893ea92a842ee685c73424608[],2,FALSE),"")</f>
        <v>113.1</v>
      </c>
      <c r="D440" s="2">
        <f>IFERROR(VLOOKUP(A440,observations_series_id_PCU22112222112243_api_key_ecc133893ea92a842ee685c73424608[],3,FALSE),"")</f>
        <v>0.84615384615384615</v>
      </c>
      <c r="E440" t="str">
        <f>IFERROR(VLOOKUP($A440,observations_series_id_WPU0613020T_api_key_ecc133893ea92a842ee685c734246086_file[],2,FALSE),"")</f>
        <v/>
      </c>
      <c r="F440" s="2" t="str">
        <f>IFERROR(VLOOKUP($A440,observations_series_id_WPU0613020T_api_key_ecc133893ea92a842ee685c734246086_file[],3,FALSE),"")</f>
        <v/>
      </c>
      <c r="G440" t="str">
        <f>IFERROR(VLOOKUP($A440,observations_series_id_PCU22122212_api_key_ecc133893ea92a842ee685c734246086_file[],2,FALSE),"")</f>
        <v/>
      </c>
      <c r="H440" s="2" t="str">
        <f>IFERROR(VLOOKUP($A440,observations_series_id_PCU22122212_api_key_ecc133893ea92a842ee685c734246086_file[],3,FALSE),"")</f>
        <v/>
      </c>
      <c r="I440">
        <f>IFERROR(VLOOKUP($A440,observations_series_id_PCU3241913241910_api_key_ecc133893ea92a842ee685c734246086[],2,FALSE),"")</f>
        <v>153.6</v>
      </c>
      <c r="J440" s="2">
        <f>IFERROR(VLOOKUP($A440,observations_series_id_PCU3241913241910_api_key_ecc133893ea92a842ee685c734246086[],3,FALSE),"")</f>
        <v>0.66536458333333326</v>
      </c>
      <c r="K440">
        <f>IFERROR(VLOOKUP($A440,observations_series_id_EXJPUS_api_key_ecc133893ea92a842ee685c734246086_file_type[],2,FALSE),"")</f>
        <v>98.444999999999993</v>
      </c>
      <c r="L440" s="2">
        <f>IFERROR(VLOOKUP($A440,observations_series_id_EXJPUS_api_key_ecc133893ea92a842ee685c734246086_file_type[],3,FALSE),"")</f>
        <v>-2.636751485601097</v>
      </c>
      <c r="M440" t="str">
        <f>IFERROR(AVERAGEIFS(timeseries_access_key_fqeas14oitk235763mntlb1c0brnk9w3fenzqbk313q5kvxyf52kukw1pa[Value.LME-ZNC],timeseries_access_key_fqeas14oitk235763mntlb1c0brnk9w3fenzqbk313q5kvxyf52kukw1pa[Month],MONTH(Data!$A440),timeseries_access_key_fqeas14oitk235763mntlb1c0brnk9w3fenzqbk313q5kvxyf52kukw1pa[Year],YEAR(Data!$A440)),"")</f>
        <v/>
      </c>
      <c r="N440" s="2" t="str">
        <f>IFERROR(AVERAGEIFS(timeseries_access_key_fqeas14oitk235763mntlb1c0brnk9w3fenzqbk313q5kvxyf52kukw1pa[Column1],timeseries_access_key_fqeas14oitk235763mntlb1c0brnk9w3fenzqbk313q5kvxyf52kukw1pa[Month],MONTH(Data!$A440),timeseries_access_key_fqeas14oitk235763mntlb1c0brnk9w3fenzqbk313q5kvxyf52kukw1pa[Year],YEAR(Data!$A440)),"")</f>
        <v/>
      </c>
      <c r="O440" s="8">
        <f>IFERROR(VLOOKUP($A440,Text_1_2[[Text.1.1.3]:[Text.1.3]],2,FALSE),"")</f>
        <v>13600</v>
      </c>
      <c r="P440" s="2"/>
    </row>
    <row r="441" spans="1:16" x14ac:dyDescent="0.25">
      <c r="A441" s="1">
        <v>34547</v>
      </c>
      <c r="B441" t="str">
        <f>HLOOKUP(Dashboard!$I$27,results,ROW(A441),FALSE)</f>
        <v/>
      </c>
      <c r="C441">
        <f>IFERROR(VLOOKUP(A441,observations_series_id_PCU22112222112243_api_key_ecc133893ea92a842ee685c73424608[],2,FALSE),"")</f>
        <v>113.1</v>
      </c>
      <c r="D441" s="2">
        <f>IFERROR(VLOOKUP(A441,observations_series_id_PCU22112222112243_api_key_ecc133893ea92a842ee685c73424608[],3,FALSE),"")</f>
        <v>0.84615384615384615</v>
      </c>
      <c r="E441" t="str">
        <f>IFERROR(VLOOKUP($A441,observations_series_id_WPU0613020T_api_key_ecc133893ea92a842ee685c734246086_file[],2,FALSE),"")</f>
        <v/>
      </c>
      <c r="F441" s="2" t="str">
        <f>IFERROR(VLOOKUP($A441,observations_series_id_WPU0613020T_api_key_ecc133893ea92a842ee685c734246086_file[],3,FALSE),"")</f>
        <v/>
      </c>
      <c r="G441" t="str">
        <f>IFERROR(VLOOKUP($A441,observations_series_id_PCU22122212_api_key_ecc133893ea92a842ee685c734246086_file[],2,FALSE),"")</f>
        <v/>
      </c>
      <c r="H441" s="2" t="str">
        <f>IFERROR(VLOOKUP($A441,observations_series_id_PCU22122212_api_key_ecc133893ea92a842ee685c734246086_file[],3,FALSE),"")</f>
        <v/>
      </c>
      <c r="I441">
        <f>IFERROR(VLOOKUP($A441,observations_series_id_PCU3241913241910_api_key_ecc133893ea92a842ee685c734246086[],2,FALSE),"")</f>
        <v>154.5</v>
      </c>
      <c r="J441" s="2">
        <f>IFERROR(VLOOKUP($A441,observations_series_id_PCU3241913241910_api_key_ecc133893ea92a842ee685c734246086[],3,FALSE),"")</f>
        <v>0.66731391585760513</v>
      </c>
      <c r="K441">
        <f>IFERROR(VLOOKUP($A441,observations_series_id_EXJPUS_api_key_ecc133893ea92a842ee685c734246086_file_type[],2,FALSE),"")</f>
        <v>99.940399999999997</v>
      </c>
      <c r="L441" s="2">
        <f>IFERROR(VLOOKUP($A441,observations_series_id_EXJPUS_api_key_ecc133893ea92a842ee685c734246086_file_type[],3,FALSE),"")</f>
        <v>-2.5823350717027349</v>
      </c>
      <c r="M441" t="str">
        <f>IFERROR(AVERAGEIFS(timeseries_access_key_fqeas14oitk235763mntlb1c0brnk9w3fenzqbk313q5kvxyf52kukw1pa[Value.LME-ZNC],timeseries_access_key_fqeas14oitk235763mntlb1c0brnk9w3fenzqbk313q5kvxyf52kukw1pa[Month],MONTH(Data!$A441),timeseries_access_key_fqeas14oitk235763mntlb1c0brnk9w3fenzqbk313q5kvxyf52kukw1pa[Year],YEAR(Data!$A441)),"")</f>
        <v/>
      </c>
      <c r="N441" s="2" t="str">
        <f>IFERROR(AVERAGEIFS(timeseries_access_key_fqeas14oitk235763mntlb1c0brnk9w3fenzqbk313q5kvxyf52kukw1pa[Column1],timeseries_access_key_fqeas14oitk235763mntlb1c0brnk9w3fenzqbk313q5kvxyf52kukw1pa[Month],MONTH(Data!$A441),timeseries_access_key_fqeas14oitk235763mntlb1c0brnk9w3fenzqbk313q5kvxyf52kukw1pa[Year],YEAR(Data!$A441)),"")</f>
        <v/>
      </c>
      <c r="O441" s="8" t="str">
        <f>IFERROR(VLOOKUP($A441,Text_1_2[[Text.1.1.3]:[Text.1.3]],2,FALSE),"")</f>
        <v/>
      </c>
      <c r="P441" s="2"/>
    </row>
    <row r="442" spans="1:16" x14ac:dyDescent="0.25">
      <c r="A442" s="1">
        <v>34578</v>
      </c>
      <c r="B442" t="str">
        <f>HLOOKUP(Dashboard!$I$27,results,ROW(A442),FALSE)</f>
        <v/>
      </c>
      <c r="C442">
        <f>IFERROR(VLOOKUP(A442,observations_series_id_PCU22112222112243_api_key_ecc133893ea92a842ee685c73424608[],2,FALSE),"")</f>
        <v>113.4</v>
      </c>
      <c r="D442" s="2">
        <f>IFERROR(VLOOKUP(A442,observations_series_id_PCU22112222112243_api_key_ecc133893ea92a842ee685c73424608[],3,FALSE),"")</f>
        <v>0.84656084656084651</v>
      </c>
      <c r="E442" t="str">
        <f>IFERROR(VLOOKUP($A442,observations_series_id_WPU0613020T_api_key_ecc133893ea92a842ee685c734246086_file[],2,FALSE),"")</f>
        <v/>
      </c>
      <c r="F442" s="2" t="str">
        <f>IFERROR(VLOOKUP($A442,observations_series_id_WPU0613020T_api_key_ecc133893ea92a842ee685c734246086_file[],3,FALSE),"")</f>
        <v/>
      </c>
      <c r="G442" t="str">
        <f>IFERROR(VLOOKUP($A442,observations_series_id_PCU22122212_api_key_ecc133893ea92a842ee685c734246086_file[],2,FALSE),"")</f>
        <v/>
      </c>
      <c r="H442" s="2" t="str">
        <f>IFERROR(VLOOKUP($A442,observations_series_id_PCU22122212_api_key_ecc133893ea92a842ee685c734246086_file[],3,FALSE),"")</f>
        <v/>
      </c>
      <c r="I442">
        <f>IFERROR(VLOOKUP($A442,observations_series_id_PCU3241913241910_api_key_ecc133893ea92a842ee685c734246086[],2,FALSE),"")</f>
        <v>155.6</v>
      </c>
      <c r="J442" s="2">
        <f>IFERROR(VLOOKUP($A442,observations_series_id_PCU3241913241910_api_key_ecc133893ea92a842ee685c734246086[],3,FALSE),"")</f>
        <v>0.66966580976863754</v>
      </c>
      <c r="K442">
        <f>IFERROR(VLOOKUP($A442,observations_series_id_EXJPUS_api_key_ecc133893ea92a842ee685c734246086_file_type[],2,FALSE),"")</f>
        <v>98.774299999999997</v>
      </c>
      <c r="L442" s="2">
        <f>IFERROR(VLOOKUP($A442,observations_series_id_EXJPUS_api_key_ecc133893ea92a842ee685c734246086_file_type[],3,FALSE),"")</f>
        <v>-2.6246270537984069</v>
      </c>
      <c r="M442" t="str">
        <f>IFERROR(AVERAGEIFS(timeseries_access_key_fqeas14oitk235763mntlb1c0brnk9w3fenzqbk313q5kvxyf52kukw1pa[Value.LME-ZNC],timeseries_access_key_fqeas14oitk235763mntlb1c0brnk9w3fenzqbk313q5kvxyf52kukw1pa[Month],MONTH(Data!$A442),timeseries_access_key_fqeas14oitk235763mntlb1c0brnk9w3fenzqbk313q5kvxyf52kukw1pa[Year],YEAR(Data!$A442)),"")</f>
        <v/>
      </c>
      <c r="N442" s="2" t="str">
        <f>IFERROR(AVERAGEIFS(timeseries_access_key_fqeas14oitk235763mntlb1c0brnk9w3fenzqbk313q5kvxyf52kukw1pa[Column1],timeseries_access_key_fqeas14oitk235763mntlb1c0brnk9w3fenzqbk313q5kvxyf52kukw1pa[Month],MONTH(Data!$A442),timeseries_access_key_fqeas14oitk235763mntlb1c0brnk9w3fenzqbk313q5kvxyf52kukw1pa[Year],YEAR(Data!$A442)),"")</f>
        <v/>
      </c>
      <c r="O442" s="8" t="str">
        <f>IFERROR(VLOOKUP($A442,Text_1_2[[Text.1.1.3]:[Text.1.3]],2,FALSE),"")</f>
        <v/>
      </c>
      <c r="P442" s="2"/>
    </row>
    <row r="443" spans="1:16" x14ac:dyDescent="0.25">
      <c r="A443" s="1">
        <v>34608</v>
      </c>
      <c r="B443" t="str">
        <f>HLOOKUP(Dashboard!$I$27,results,ROW(A443),FALSE)</f>
        <v/>
      </c>
      <c r="C443">
        <f>IFERROR(VLOOKUP(A443,observations_series_id_PCU22112222112243_api_key_ecc133893ea92a842ee685c73424608[],2,FALSE),"")</f>
        <v>108.5</v>
      </c>
      <c r="D443" s="2">
        <f>IFERROR(VLOOKUP(A443,observations_series_id_PCU22112222112243_api_key_ecc133893ea92a842ee685c73424608[],3,FALSE),"")</f>
        <v>0.83963133640553</v>
      </c>
      <c r="E443" t="str">
        <f>IFERROR(VLOOKUP($A443,observations_series_id_WPU0613020T_api_key_ecc133893ea92a842ee685c734246086_file[],2,FALSE),"")</f>
        <v/>
      </c>
      <c r="F443" s="2" t="str">
        <f>IFERROR(VLOOKUP($A443,observations_series_id_WPU0613020T_api_key_ecc133893ea92a842ee685c734246086_file[],3,FALSE),"")</f>
        <v/>
      </c>
      <c r="G443" t="str">
        <f>IFERROR(VLOOKUP($A443,observations_series_id_PCU22122212_api_key_ecc133893ea92a842ee685c734246086_file[],2,FALSE),"")</f>
        <v/>
      </c>
      <c r="H443" s="2" t="str">
        <f>IFERROR(VLOOKUP($A443,observations_series_id_PCU22122212_api_key_ecc133893ea92a842ee685c734246086_file[],3,FALSE),"")</f>
        <v/>
      </c>
      <c r="I443">
        <f>IFERROR(VLOOKUP($A443,observations_series_id_PCU3241913241910_api_key_ecc133893ea92a842ee685c734246086[],2,FALSE),"")</f>
        <v>155.6</v>
      </c>
      <c r="J443" s="2">
        <f>IFERROR(VLOOKUP($A443,observations_series_id_PCU3241913241910_api_key_ecc133893ea92a842ee685c734246086[],3,FALSE),"")</f>
        <v>0.66966580976863754</v>
      </c>
      <c r="K443">
        <f>IFERROR(VLOOKUP($A443,observations_series_id_EXJPUS_api_key_ecc133893ea92a842ee685c734246086_file_type[],2,FALSE),"")</f>
        <v>98.352999999999994</v>
      </c>
      <c r="L443" s="2">
        <f>IFERROR(VLOOKUP($A443,observations_series_id_EXJPUS_api_key_ecc133893ea92a842ee685c734246086_file_type[],3,FALSE),"")</f>
        <v>-2.6401533252671499</v>
      </c>
      <c r="M443" t="str">
        <f>IFERROR(AVERAGEIFS(timeseries_access_key_fqeas14oitk235763mntlb1c0brnk9w3fenzqbk313q5kvxyf52kukw1pa[Value.LME-ZNC],timeseries_access_key_fqeas14oitk235763mntlb1c0brnk9w3fenzqbk313q5kvxyf52kukw1pa[Month],MONTH(Data!$A443),timeseries_access_key_fqeas14oitk235763mntlb1c0brnk9w3fenzqbk313q5kvxyf52kukw1pa[Year],YEAR(Data!$A443)),"")</f>
        <v/>
      </c>
      <c r="N443" s="2" t="str">
        <f>IFERROR(AVERAGEIFS(timeseries_access_key_fqeas14oitk235763mntlb1c0brnk9w3fenzqbk313q5kvxyf52kukw1pa[Column1],timeseries_access_key_fqeas14oitk235763mntlb1c0brnk9w3fenzqbk313q5kvxyf52kukw1pa[Month],MONTH(Data!$A443),timeseries_access_key_fqeas14oitk235763mntlb1c0brnk9w3fenzqbk313q5kvxyf52kukw1pa[Year],YEAR(Data!$A443)),"")</f>
        <v/>
      </c>
      <c r="O443" s="8">
        <f>IFERROR(VLOOKUP($A443,Text_1_2[[Text.1.1.3]:[Text.1.3]],2,FALSE),"")</f>
        <v>14100</v>
      </c>
      <c r="P443" s="2"/>
    </row>
    <row r="444" spans="1:16" x14ac:dyDescent="0.25">
      <c r="A444" s="1">
        <v>34639</v>
      </c>
      <c r="B444" t="str">
        <f>HLOOKUP(Dashboard!$I$27,results,ROW(A444),FALSE)</f>
        <v/>
      </c>
      <c r="C444">
        <f>IFERROR(VLOOKUP(A444,observations_series_id_PCU22112222112243_api_key_ecc133893ea92a842ee685c73424608[],2,FALSE),"")</f>
        <v>106.8</v>
      </c>
      <c r="D444" s="2">
        <f>IFERROR(VLOOKUP(A444,observations_series_id_PCU22112222112243_api_key_ecc133893ea92a842ee685c73424608[],3,FALSE),"")</f>
        <v>0.8370786516853933</v>
      </c>
      <c r="E444" t="str">
        <f>IFERROR(VLOOKUP($A444,observations_series_id_WPU0613020T_api_key_ecc133893ea92a842ee685c734246086_file[],2,FALSE),"")</f>
        <v/>
      </c>
      <c r="F444" s="2" t="str">
        <f>IFERROR(VLOOKUP($A444,observations_series_id_WPU0613020T_api_key_ecc133893ea92a842ee685c734246086_file[],3,FALSE),"")</f>
        <v/>
      </c>
      <c r="G444" t="str">
        <f>IFERROR(VLOOKUP($A444,observations_series_id_PCU22122212_api_key_ecc133893ea92a842ee685c734246086_file[],2,FALSE),"")</f>
        <v/>
      </c>
      <c r="H444" s="2" t="str">
        <f>IFERROR(VLOOKUP($A444,observations_series_id_PCU22122212_api_key_ecc133893ea92a842ee685c734246086_file[],3,FALSE),"")</f>
        <v/>
      </c>
      <c r="I444">
        <f>IFERROR(VLOOKUP($A444,observations_series_id_PCU3241913241910_api_key_ecc133893ea92a842ee685c734246086[],2,FALSE),"")</f>
        <v>155.9</v>
      </c>
      <c r="J444" s="2">
        <f>IFERROR(VLOOKUP($A444,observations_series_id_PCU3241913241910_api_key_ecc133893ea92a842ee685c734246086[],3,FALSE),"")</f>
        <v>0.67030147530468254</v>
      </c>
      <c r="K444">
        <f>IFERROR(VLOOKUP($A444,observations_series_id_EXJPUS_api_key_ecc133893ea92a842ee685c734246086_file_type[],2,FALSE),"")</f>
        <v>98.043999999999997</v>
      </c>
      <c r="L444" s="2">
        <f>IFERROR(VLOOKUP($A444,observations_series_id_EXJPUS_api_key_ecc133893ea92a842ee685c734246086_file_type[],3,FALSE),"")</f>
        <v>-2.6516258006609275</v>
      </c>
      <c r="M444" t="str">
        <f>IFERROR(AVERAGEIFS(timeseries_access_key_fqeas14oitk235763mntlb1c0brnk9w3fenzqbk313q5kvxyf52kukw1pa[Value.LME-ZNC],timeseries_access_key_fqeas14oitk235763mntlb1c0brnk9w3fenzqbk313q5kvxyf52kukw1pa[Month],MONTH(Data!$A444),timeseries_access_key_fqeas14oitk235763mntlb1c0brnk9w3fenzqbk313q5kvxyf52kukw1pa[Year],YEAR(Data!$A444)),"")</f>
        <v/>
      </c>
      <c r="N444" s="2" t="str">
        <f>IFERROR(AVERAGEIFS(timeseries_access_key_fqeas14oitk235763mntlb1c0brnk9w3fenzqbk313q5kvxyf52kukw1pa[Column1],timeseries_access_key_fqeas14oitk235763mntlb1c0brnk9w3fenzqbk313q5kvxyf52kukw1pa[Month],MONTH(Data!$A444),timeseries_access_key_fqeas14oitk235763mntlb1c0brnk9w3fenzqbk313q5kvxyf52kukw1pa[Year],YEAR(Data!$A444)),"")</f>
        <v/>
      </c>
      <c r="O444" s="8" t="str">
        <f>IFERROR(VLOOKUP($A444,Text_1_2[[Text.1.1.3]:[Text.1.3]],2,FALSE),"")</f>
        <v/>
      </c>
      <c r="P444" s="2"/>
    </row>
    <row r="445" spans="1:16" x14ac:dyDescent="0.25">
      <c r="A445" s="1">
        <v>34669</v>
      </c>
      <c r="B445" t="str">
        <f>HLOOKUP(Dashboard!$I$27,results,ROW(A445),FALSE)</f>
        <v/>
      </c>
      <c r="C445">
        <f>IFERROR(VLOOKUP(A445,observations_series_id_PCU22112222112243_api_key_ecc133893ea92a842ee685c73424608[],2,FALSE),"")</f>
        <v>107.2</v>
      </c>
      <c r="D445" s="2">
        <f>IFERROR(VLOOKUP(A445,observations_series_id_PCU22112222112243_api_key_ecc133893ea92a842ee685c73424608[],3,FALSE),"")</f>
        <v>0.83768656716417911</v>
      </c>
      <c r="E445" t="str">
        <f>IFERROR(VLOOKUP($A445,observations_series_id_WPU0613020T_api_key_ecc133893ea92a842ee685c734246086_file[],2,FALSE),"")</f>
        <v/>
      </c>
      <c r="F445" s="2" t="str">
        <f>IFERROR(VLOOKUP($A445,observations_series_id_WPU0613020T_api_key_ecc133893ea92a842ee685c734246086_file[],3,FALSE),"")</f>
        <v/>
      </c>
      <c r="G445" t="str">
        <f>IFERROR(VLOOKUP($A445,observations_series_id_PCU22122212_api_key_ecc133893ea92a842ee685c734246086_file[],2,FALSE),"")</f>
        <v/>
      </c>
      <c r="H445" s="2" t="str">
        <f>IFERROR(VLOOKUP($A445,observations_series_id_PCU22122212_api_key_ecc133893ea92a842ee685c734246086_file[],3,FALSE),"")</f>
        <v/>
      </c>
      <c r="I445">
        <f>IFERROR(VLOOKUP($A445,observations_series_id_PCU3241913241910_api_key_ecc133893ea92a842ee685c734246086[],2,FALSE),"")</f>
        <v>156</v>
      </c>
      <c r="J445" s="2">
        <f>IFERROR(VLOOKUP($A445,observations_series_id_PCU3241913241910_api_key_ecc133893ea92a842ee685c734246086[],3,FALSE),"")</f>
        <v>0.67051282051282057</v>
      </c>
      <c r="K445">
        <f>IFERROR(VLOOKUP($A445,observations_series_id_EXJPUS_api_key_ecc133893ea92a842ee685c734246086_file_type[],2,FALSE),"")</f>
        <v>100.1824</v>
      </c>
      <c r="L445" s="2">
        <f>IFERROR(VLOOKUP($A445,observations_series_id_EXJPUS_api_key_ecc133893ea92a842ee685c734246086_file_type[],3,FALSE),"")</f>
        <v>-2.5736816047529305</v>
      </c>
      <c r="M445" t="str">
        <f>IFERROR(AVERAGEIFS(timeseries_access_key_fqeas14oitk235763mntlb1c0brnk9w3fenzqbk313q5kvxyf52kukw1pa[Value.LME-ZNC],timeseries_access_key_fqeas14oitk235763mntlb1c0brnk9w3fenzqbk313q5kvxyf52kukw1pa[Month],MONTH(Data!$A445),timeseries_access_key_fqeas14oitk235763mntlb1c0brnk9w3fenzqbk313q5kvxyf52kukw1pa[Year],YEAR(Data!$A445)),"")</f>
        <v/>
      </c>
      <c r="N445" s="2" t="str">
        <f>IFERROR(AVERAGEIFS(timeseries_access_key_fqeas14oitk235763mntlb1c0brnk9w3fenzqbk313q5kvxyf52kukw1pa[Column1],timeseries_access_key_fqeas14oitk235763mntlb1c0brnk9w3fenzqbk313q5kvxyf52kukw1pa[Month],MONTH(Data!$A445),timeseries_access_key_fqeas14oitk235763mntlb1c0brnk9w3fenzqbk313q5kvxyf52kukw1pa[Year],YEAR(Data!$A445)),"")</f>
        <v/>
      </c>
      <c r="O445" s="8" t="str">
        <f>IFERROR(VLOOKUP($A445,Text_1_2[[Text.1.1.3]:[Text.1.3]],2,FALSE),"")</f>
        <v/>
      </c>
      <c r="P445" s="2"/>
    </row>
    <row r="446" spans="1:16" x14ac:dyDescent="0.25">
      <c r="A446" s="1">
        <v>34700</v>
      </c>
      <c r="B446" t="str">
        <f>HLOOKUP(Dashboard!$I$27,results,ROW(A446),FALSE)</f>
        <v/>
      </c>
      <c r="C446">
        <f>IFERROR(VLOOKUP(A446,observations_series_id_PCU22112222112243_api_key_ecc133893ea92a842ee685c73424608[],2,FALSE),"")</f>
        <v>107.3</v>
      </c>
      <c r="D446" s="2">
        <f>IFERROR(VLOOKUP(A446,observations_series_id_PCU22112222112243_api_key_ecc133893ea92a842ee685c73424608[],3,FALSE),"")</f>
        <v>0.83783783783783783</v>
      </c>
      <c r="E446" t="str">
        <f>IFERROR(VLOOKUP($A446,observations_series_id_WPU0613020T_api_key_ecc133893ea92a842ee685c734246086_file[],2,FALSE),"")</f>
        <v/>
      </c>
      <c r="F446" s="2" t="str">
        <f>IFERROR(VLOOKUP($A446,observations_series_id_WPU0613020T_api_key_ecc133893ea92a842ee685c734246086_file[],3,FALSE),"")</f>
        <v/>
      </c>
      <c r="G446" t="str">
        <f>IFERROR(VLOOKUP($A446,observations_series_id_PCU22122212_api_key_ecc133893ea92a842ee685c734246086_file[],2,FALSE),"")</f>
        <v/>
      </c>
      <c r="H446" s="2" t="str">
        <f>IFERROR(VLOOKUP($A446,observations_series_id_PCU22122212_api_key_ecc133893ea92a842ee685c734246086_file[],3,FALSE),"")</f>
        <v/>
      </c>
      <c r="I446">
        <f>IFERROR(VLOOKUP($A446,observations_series_id_PCU3241913241910_api_key_ecc133893ea92a842ee685c734246086[],2,FALSE),"")</f>
        <v>157.5</v>
      </c>
      <c r="J446" s="2">
        <f>IFERROR(VLOOKUP($A446,observations_series_id_PCU3241913241910_api_key_ecc133893ea92a842ee685c734246086[],3,FALSE),"")</f>
        <v>0.67365079365079361</v>
      </c>
      <c r="K446">
        <f>IFERROR(VLOOKUP($A446,observations_series_id_EXJPUS_api_key_ecc133893ea92a842ee685c734246086_file_type[],2,FALSE),"")</f>
        <v>99.766000000000005</v>
      </c>
      <c r="L446" s="2">
        <f>IFERROR(VLOOKUP($A446,observations_series_id_EXJPUS_api_key_ecc133893ea92a842ee685c734246086_file_type[],3,FALSE),"")</f>
        <v>-2.5885973177234725</v>
      </c>
      <c r="M446" t="str">
        <f>IFERROR(AVERAGEIFS(timeseries_access_key_fqeas14oitk235763mntlb1c0brnk9w3fenzqbk313q5kvxyf52kukw1pa[Value.LME-ZNC],timeseries_access_key_fqeas14oitk235763mntlb1c0brnk9w3fenzqbk313q5kvxyf52kukw1pa[Month],MONTH(Data!$A446),timeseries_access_key_fqeas14oitk235763mntlb1c0brnk9w3fenzqbk313q5kvxyf52kukw1pa[Year],YEAR(Data!$A446)),"")</f>
        <v/>
      </c>
      <c r="N446" s="2" t="str">
        <f>IFERROR(AVERAGEIFS(timeseries_access_key_fqeas14oitk235763mntlb1c0brnk9w3fenzqbk313q5kvxyf52kukw1pa[Column1],timeseries_access_key_fqeas14oitk235763mntlb1c0brnk9w3fenzqbk313q5kvxyf52kukw1pa[Month],MONTH(Data!$A446),timeseries_access_key_fqeas14oitk235763mntlb1c0brnk9w3fenzqbk313q5kvxyf52kukw1pa[Year],YEAR(Data!$A446)),"")</f>
        <v/>
      </c>
      <c r="O446" s="8">
        <f>IFERROR(VLOOKUP($A446,Text_1_2[[Text.1.1.3]:[Text.1.3]],2,FALSE),"")</f>
        <v>14100</v>
      </c>
      <c r="P446" s="2"/>
    </row>
    <row r="447" spans="1:16" x14ac:dyDescent="0.25">
      <c r="A447" s="1">
        <v>34731</v>
      </c>
      <c r="B447" t="str">
        <f>HLOOKUP(Dashboard!$I$27,results,ROW(A447),FALSE)</f>
        <v/>
      </c>
      <c r="C447">
        <f>IFERROR(VLOOKUP(A447,observations_series_id_PCU22112222112243_api_key_ecc133893ea92a842ee685c73424608[],2,FALSE),"")</f>
        <v>107.6</v>
      </c>
      <c r="D447" s="2">
        <f>IFERROR(VLOOKUP(A447,observations_series_id_PCU22112222112243_api_key_ecc133893ea92a842ee685c73424608[],3,FALSE),"")</f>
        <v>0.83828996282527879</v>
      </c>
      <c r="E447" t="str">
        <f>IFERROR(VLOOKUP($A447,observations_series_id_WPU0613020T_api_key_ecc133893ea92a842ee685c734246086_file[],2,FALSE),"")</f>
        <v/>
      </c>
      <c r="F447" s="2" t="str">
        <f>IFERROR(VLOOKUP($A447,observations_series_id_WPU0613020T_api_key_ecc133893ea92a842ee685c734246086_file[],3,FALSE),"")</f>
        <v/>
      </c>
      <c r="G447" t="str">
        <f>IFERROR(VLOOKUP($A447,observations_series_id_PCU22122212_api_key_ecc133893ea92a842ee685c734246086_file[],2,FALSE),"")</f>
        <v/>
      </c>
      <c r="H447" s="2" t="str">
        <f>IFERROR(VLOOKUP($A447,observations_series_id_PCU22122212_api_key_ecc133893ea92a842ee685c734246086_file[],3,FALSE),"")</f>
        <v/>
      </c>
      <c r="I447">
        <f>IFERROR(VLOOKUP($A447,observations_series_id_PCU3241913241910_api_key_ecc133893ea92a842ee685c734246086[],2,FALSE),"")</f>
        <v>158.69999999999999</v>
      </c>
      <c r="J447" s="2">
        <f>IFERROR(VLOOKUP($A447,observations_series_id_PCU3241913241910_api_key_ecc133893ea92a842ee685c734246086[],3,FALSE),"")</f>
        <v>0.67611846250787644</v>
      </c>
      <c r="K447">
        <f>IFERROR(VLOOKUP($A447,observations_series_id_EXJPUS_api_key_ecc133893ea92a842ee685c734246086_file_type[],2,FALSE),"")</f>
        <v>98.236800000000002</v>
      </c>
      <c r="L447" s="2">
        <f>IFERROR(VLOOKUP($A447,observations_series_id_EXJPUS_api_key_ecc133893ea92a842ee685c734246086_file_type[],3,FALSE),"")</f>
        <v>-2.6444591029023745</v>
      </c>
      <c r="M447" t="str">
        <f>IFERROR(AVERAGEIFS(timeseries_access_key_fqeas14oitk235763mntlb1c0brnk9w3fenzqbk313q5kvxyf52kukw1pa[Value.LME-ZNC],timeseries_access_key_fqeas14oitk235763mntlb1c0brnk9w3fenzqbk313q5kvxyf52kukw1pa[Month],MONTH(Data!$A447),timeseries_access_key_fqeas14oitk235763mntlb1c0brnk9w3fenzqbk313q5kvxyf52kukw1pa[Year],YEAR(Data!$A447)),"")</f>
        <v/>
      </c>
      <c r="N447" s="2" t="str">
        <f>IFERROR(AVERAGEIFS(timeseries_access_key_fqeas14oitk235763mntlb1c0brnk9w3fenzqbk313q5kvxyf52kukw1pa[Column1],timeseries_access_key_fqeas14oitk235763mntlb1c0brnk9w3fenzqbk313q5kvxyf52kukw1pa[Month],MONTH(Data!$A447),timeseries_access_key_fqeas14oitk235763mntlb1c0brnk9w3fenzqbk313q5kvxyf52kukw1pa[Year],YEAR(Data!$A447)),"")</f>
        <v/>
      </c>
      <c r="O447" s="8" t="str">
        <f>IFERROR(VLOOKUP($A447,Text_1_2[[Text.1.1.3]:[Text.1.3]],2,FALSE),"")</f>
        <v/>
      </c>
      <c r="P447" s="2"/>
    </row>
    <row r="448" spans="1:16" x14ac:dyDescent="0.25">
      <c r="A448" s="1">
        <v>34759</v>
      </c>
      <c r="B448" t="str">
        <f>HLOOKUP(Dashboard!$I$27,results,ROW(A448),FALSE)</f>
        <v/>
      </c>
      <c r="C448">
        <f>IFERROR(VLOOKUP(A448,observations_series_id_PCU22112222112243_api_key_ecc133893ea92a842ee685c73424608[],2,FALSE),"")</f>
        <v>107.9</v>
      </c>
      <c r="D448" s="2">
        <f>IFERROR(VLOOKUP(A448,observations_series_id_PCU22112222112243_api_key_ecc133893ea92a842ee685c73424608[],3,FALSE),"")</f>
        <v>0.83873957367933272</v>
      </c>
      <c r="E448" t="str">
        <f>IFERROR(VLOOKUP($A448,observations_series_id_WPU0613020T_api_key_ecc133893ea92a842ee685c734246086_file[],2,FALSE),"")</f>
        <v/>
      </c>
      <c r="F448" s="2" t="str">
        <f>IFERROR(VLOOKUP($A448,observations_series_id_WPU0613020T_api_key_ecc133893ea92a842ee685c734246086_file[],3,FALSE),"")</f>
        <v/>
      </c>
      <c r="G448" t="str">
        <f>IFERROR(VLOOKUP($A448,observations_series_id_PCU22122212_api_key_ecc133893ea92a842ee685c734246086_file[],2,FALSE),"")</f>
        <v/>
      </c>
      <c r="H448" s="2" t="str">
        <f>IFERROR(VLOOKUP($A448,observations_series_id_PCU22122212_api_key_ecc133893ea92a842ee685c734246086_file[],3,FALSE),"")</f>
        <v/>
      </c>
      <c r="I448">
        <f>IFERROR(VLOOKUP($A448,observations_series_id_PCU3241913241910_api_key_ecc133893ea92a842ee685c734246086[],2,FALSE),"")</f>
        <v>159.19999999999999</v>
      </c>
      <c r="J448" s="2">
        <f>IFERROR(VLOOKUP($A448,observations_series_id_PCU3241913241910_api_key_ecc133893ea92a842ee685c734246086[],3,FALSE),"")</f>
        <v>0.67713567839195976</v>
      </c>
      <c r="K448">
        <f>IFERROR(VLOOKUP($A448,observations_series_id_EXJPUS_api_key_ecc133893ea92a842ee685c734246086_file_type[],2,FALSE),"")</f>
        <v>90.519599999999997</v>
      </c>
      <c r="L448" s="2">
        <f>IFERROR(VLOOKUP($A448,observations_series_id_EXJPUS_api_key_ecc133893ea92a842ee685c734246086_file_type[],3,FALSE),"")</f>
        <v>-2.9551655111158244</v>
      </c>
      <c r="M448" t="str">
        <f>IFERROR(AVERAGEIFS(timeseries_access_key_fqeas14oitk235763mntlb1c0brnk9w3fenzqbk313q5kvxyf52kukw1pa[Value.LME-ZNC],timeseries_access_key_fqeas14oitk235763mntlb1c0brnk9w3fenzqbk313q5kvxyf52kukw1pa[Month],MONTH(Data!$A448),timeseries_access_key_fqeas14oitk235763mntlb1c0brnk9w3fenzqbk313q5kvxyf52kukw1pa[Year],YEAR(Data!$A448)),"")</f>
        <v/>
      </c>
      <c r="N448" s="2" t="str">
        <f>IFERROR(AVERAGEIFS(timeseries_access_key_fqeas14oitk235763mntlb1c0brnk9w3fenzqbk313q5kvxyf52kukw1pa[Column1],timeseries_access_key_fqeas14oitk235763mntlb1c0brnk9w3fenzqbk313q5kvxyf52kukw1pa[Month],MONTH(Data!$A448),timeseries_access_key_fqeas14oitk235763mntlb1c0brnk9w3fenzqbk313q5kvxyf52kukw1pa[Year],YEAR(Data!$A448)),"")</f>
        <v/>
      </c>
      <c r="O448" s="8" t="str">
        <f>IFERROR(VLOOKUP($A448,Text_1_2[[Text.1.1.3]:[Text.1.3]],2,FALSE),"")</f>
        <v/>
      </c>
      <c r="P448" s="2"/>
    </row>
    <row r="449" spans="1:16" x14ac:dyDescent="0.25">
      <c r="A449" s="1">
        <v>34790</v>
      </c>
      <c r="B449" t="str">
        <f>HLOOKUP(Dashboard!$I$27,results,ROW(A449),FALSE)</f>
        <v/>
      </c>
      <c r="C449">
        <f>IFERROR(VLOOKUP(A449,observations_series_id_PCU22112222112243_api_key_ecc133893ea92a842ee685c73424608[],2,FALSE),"")</f>
        <v>106.3</v>
      </c>
      <c r="D449" s="2">
        <f>IFERROR(VLOOKUP(A449,observations_series_id_PCU22112222112243_api_key_ecc133893ea92a842ee685c73424608[],3,FALSE),"")</f>
        <v>0.8363123236124177</v>
      </c>
      <c r="E449" t="str">
        <f>IFERROR(VLOOKUP($A449,observations_series_id_WPU0613020T_api_key_ecc133893ea92a842ee685c734246086_file[],2,FALSE),"")</f>
        <v/>
      </c>
      <c r="F449" s="2" t="str">
        <f>IFERROR(VLOOKUP($A449,observations_series_id_WPU0613020T_api_key_ecc133893ea92a842ee685c734246086_file[],3,FALSE),"")</f>
        <v/>
      </c>
      <c r="G449" t="str">
        <f>IFERROR(VLOOKUP($A449,observations_series_id_PCU22122212_api_key_ecc133893ea92a842ee685c734246086_file[],2,FALSE),"")</f>
        <v/>
      </c>
      <c r="H449" s="2" t="str">
        <f>IFERROR(VLOOKUP($A449,observations_series_id_PCU22122212_api_key_ecc133893ea92a842ee685c734246086_file[],3,FALSE),"")</f>
        <v/>
      </c>
      <c r="I449">
        <f>IFERROR(VLOOKUP($A449,observations_series_id_PCU3241913241910_api_key_ecc133893ea92a842ee685c734246086[],2,FALSE),"")</f>
        <v>159.30000000000001</v>
      </c>
      <c r="J449" s="2">
        <f>IFERROR(VLOOKUP($A449,observations_series_id_PCU3241913241910_api_key_ecc133893ea92a842ee685c734246086[],3,FALSE),"")</f>
        <v>0.67733835530445696</v>
      </c>
      <c r="K449">
        <f>IFERROR(VLOOKUP($A449,observations_series_id_EXJPUS_api_key_ecc133893ea92a842ee685c734246086_file_type[],2,FALSE),"")</f>
        <v>83.689499999999995</v>
      </c>
      <c r="L449" s="2">
        <f>IFERROR(VLOOKUP($A449,observations_series_id_EXJPUS_api_key_ecc133893ea92a842ee685c734246086_file_type[],3,FALSE),"")</f>
        <v>-3.2779560159876686</v>
      </c>
      <c r="M449" t="str">
        <f>IFERROR(AVERAGEIFS(timeseries_access_key_fqeas14oitk235763mntlb1c0brnk9w3fenzqbk313q5kvxyf52kukw1pa[Value.LME-ZNC],timeseries_access_key_fqeas14oitk235763mntlb1c0brnk9w3fenzqbk313q5kvxyf52kukw1pa[Month],MONTH(Data!$A449),timeseries_access_key_fqeas14oitk235763mntlb1c0brnk9w3fenzqbk313q5kvxyf52kukw1pa[Year],YEAR(Data!$A449)),"")</f>
        <v/>
      </c>
      <c r="N449" s="2" t="str">
        <f>IFERROR(AVERAGEIFS(timeseries_access_key_fqeas14oitk235763mntlb1c0brnk9w3fenzqbk313q5kvxyf52kukw1pa[Column1],timeseries_access_key_fqeas14oitk235763mntlb1c0brnk9w3fenzqbk313q5kvxyf52kukw1pa[Month],MONTH(Data!$A449),timeseries_access_key_fqeas14oitk235763mntlb1c0brnk9w3fenzqbk313q5kvxyf52kukw1pa[Year],YEAR(Data!$A449)),"")</f>
        <v/>
      </c>
      <c r="O449" s="8">
        <f>IFERROR(VLOOKUP($A449,Text_1_2[[Text.1.1.3]:[Text.1.3]],2,FALSE),"")</f>
        <v>12800</v>
      </c>
      <c r="P449" s="2"/>
    </row>
    <row r="450" spans="1:16" x14ac:dyDescent="0.25">
      <c r="A450" s="1">
        <v>34820</v>
      </c>
      <c r="B450" t="str">
        <f>HLOOKUP(Dashboard!$I$27,results,ROW(A450),FALSE)</f>
        <v/>
      </c>
      <c r="C450">
        <f>IFERROR(VLOOKUP(A450,observations_series_id_PCU22112222112243_api_key_ecc133893ea92a842ee685c73424608[],2,FALSE),"")</f>
        <v>109.5</v>
      </c>
      <c r="D450" s="2">
        <f>IFERROR(VLOOKUP(A450,observations_series_id_PCU22112222112243_api_key_ecc133893ea92a842ee685c73424608[],3,FALSE),"")</f>
        <v>0.84109589041095889</v>
      </c>
      <c r="E450" t="str">
        <f>IFERROR(VLOOKUP($A450,observations_series_id_WPU0613020T_api_key_ecc133893ea92a842ee685c734246086_file[],2,FALSE),"")</f>
        <v/>
      </c>
      <c r="F450" s="2" t="str">
        <f>IFERROR(VLOOKUP($A450,observations_series_id_WPU0613020T_api_key_ecc133893ea92a842ee685c734246086_file[],3,FALSE),"")</f>
        <v/>
      </c>
      <c r="G450" t="str">
        <f>IFERROR(VLOOKUP($A450,observations_series_id_PCU22122212_api_key_ecc133893ea92a842ee685c734246086_file[],2,FALSE),"")</f>
        <v/>
      </c>
      <c r="H450" s="2" t="str">
        <f>IFERROR(VLOOKUP($A450,observations_series_id_PCU22122212_api_key_ecc133893ea92a842ee685c734246086_file[],3,FALSE),"")</f>
        <v/>
      </c>
      <c r="I450">
        <f>IFERROR(VLOOKUP($A450,observations_series_id_PCU3241913241910_api_key_ecc133893ea92a842ee685c734246086[],2,FALSE),"")</f>
        <v>159.4</v>
      </c>
      <c r="J450" s="2">
        <f>IFERROR(VLOOKUP($A450,observations_series_id_PCU3241913241910_api_key_ecc133893ea92a842ee685c734246086[],3,FALSE),"")</f>
        <v>0.67754077791718947</v>
      </c>
      <c r="K450">
        <f>IFERROR(VLOOKUP($A450,observations_series_id_EXJPUS_api_key_ecc133893ea92a842ee685c734246086_file_type[],2,FALSE),"")</f>
        <v>85.112700000000004</v>
      </c>
      <c r="L450" s="2">
        <f>IFERROR(VLOOKUP($A450,observations_series_id_EXJPUS_api_key_ecc133893ea92a842ee685c734246086_file_type[],3,FALSE),"")</f>
        <v>-3.2064227782692827</v>
      </c>
      <c r="M450" t="str">
        <f>IFERROR(AVERAGEIFS(timeseries_access_key_fqeas14oitk235763mntlb1c0brnk9w3fenzqbk313q5kvxyf52kukw1pa[Value.LME-ZNC],timeseries_access_key_fqeas14oitk235763mntlb1c0brnk9w3fenzqbk313q5kvxyf52kukw1pa[Month],MONTH(Data!$A450),timeseries_access_key_fqeas14oitk235763mntlb1c0brnk9w3fenzqbk313q5kvxyf52kukw1pa[Year],YEAR(Data!$A450)),"")</f>
        <v/>
      </c>
      <c r="N450" s="2" t="str">
        <f>IFERROR(AVERAGEIFS(timeseries_access_key_fqeas14oitk235763mntlb1c0brnk9w3fenzqbk313q5kvxyf52kukw1pa[Column1],timeseries_access_key_fqeas14oitk235763mntlb1c0brnk9w3fenzqbk313q5kvxyf52kukw1pa[Month],MONTH(Data!$A450),timeseries_access_key_fqeas14oitk235763mntlb1c0brnk9w3fenzqbk313q5kvxyf52kukw1pa[Year],YEAR(Data!$A450)),"")</f>
        <v/>
      </c>
      <c r="O450" s="8" t="str">
        <f>IFERROR(VLOOKUP($A450,Text_1_2[[Text.1.1.3]:[Text.1.3]],2,FALSE),"")</f>
        <v/>
      </c>
      <c r="P450" s="2"/>
    </row>
    <row r="451" spans="1:16" x14ac:dyDescent="0.25">
      <c r="A451" s="1">
        <v>34851</v>
      </c>
      <c r="B451" t="str">
        <f>HLOOKUP(Dashboard!$I$27,results,ROW(A451),FALSE)</f>
        <v/>
      </c>
      <c r="C451">
        <f>IFERROR(VLOOKUP(A451,observations_series_id_PCU22112222112243_api_key_ecc133893ea92a842ee685c73424608[],2,FALSE),"")</f>
        <v>113.8</v>
      </c>
      <c r="D451" s="2">
        <f>IFERROR(VLOOKUP(A451,observations_series_id_PCU22112222112243_api_key_ecc133893ea92a842ee685c73424608[],3,FALSE),"")</f>
        <v>0.84710017574692442</v>
      </c>
      <c r="E451" t="str">
        <f>IFERROR(VLOOKUP($A451,observations_series_id_WPU0613020T_api_key_ecc133893ea92a842ee685c734246086_file[],2,FALSE),"")</f>
        <v/>
      </c>
      <c r="F451" s="2" t="str">
        <f>IFERROR(VLOOKUP($A451,observations_series_id_WPU0613020T_api_key_ecc133893ea92a842ee685c734246086_file[],3,FALSE),"")</f>
        <v/>
      </c>
      <c r="G451" t="str">
        <f>IFERROR(VLOOKUP($A451,observations_series_id_PCU22122212_api_key_ecc133893ea92a842ee685c734246086_file[],2,FALSE),"")</f>
        <v/>
      </c>
      <c r="H451" s="2" t="str">
        <f>IFERROR(VLOOKUP($A451,observations_series_id_PCU22122212_api_key_ecc133893ea92a842ee685c734246086_file[],3,FALSE),"")</f>
        <v/>
      </c>
      <c r="I451">
        <f>IFERROR(VLOOKUP($A451,observations_series_id_PCU3241913241910_api_key_ecc133893ea92a842ee685c734246086[],2,FALSE),"")</f>
        <v>160.5</v>
      </c>
      <c r="J451" s="2">
        <f>IFERROR(VLOOKUP($A451,observations_series_id_PCU3241913241910_api_key_ecc133893ea92a842ee685c734246086[],3,FALSE),"")</f>
        <v>0.67975077881619939</v>
      </c>
      <c r="K451">
        <f>IFERROR(VLOOKUP($A451,observations_series_id_EXJPUS_api_key_ecc133893ea92a842ee685c734246086_file_type[],2,FALSE),"")</f>
        <v>84.635499999999993</v>
      </c>
      <c r="L451" s="2">
        <f>IFERROR(VLOOKUP($A451,observations_series_id_EXJPUS_api_key_ecc133893ea92a842ee685c734246086_file_type[],3,FALSE),"")</f>
        <v>-3.2301398349392398</v>
      </c>
      <c r="M451" t="str">
        <f>IFERROR(AVERAGEIFS(timeseries_access_key_fqeas14oitk235763mntlb1c0brnk9w3fenzqbk313q5kvxyf52kukw1pa[Value.LME-ZNC],timeseries_access_key_fqeas14oitk235763mntlb1c0brnk9w3fenzqbk313q5kvxyf52kukw1pa[Month],MONTH(Data!$A451),timeseries_access_key_fqeas14oitk235763mntlb1c0brnk9w3fenzqbk313q5kvxyf52kukw1pa[Year],YEAR(Data!$A451)),"")</f>
        <v/>
      </c>
      <c r="N451" s="2" t="str">
        <f>IFERROR(AVERAGEIFS(timeseries_access_key_fqeas14oitk235763mntlb1c0brnk9w3fenzqbk313q5kvxyf52kukw1pa[Column1],timeseries_access_key_fqeas14oitk235763mntlb1c0brnk9w3fenzqbk313q5kvxyf52kukw1pa[Month],MONTH(Data!$A451),timeseries_access_key_fqeas14oitk235763mntlb1c0brnk9w3fenzqbk313q5kvxyf52kukw1pa[Year],YEAR(Data!$A451)),"")</f>
        <v/>
      </c>
      <c r="O451" s="8" t="str">
        <f>IFERROR(VLOOKUP($A451,Text_1_2[[Text.1.1.3]:[Text.1.3]],2,FALSE),"")</f>
        <v/>
      </c>
      <c r="P451" s="2"/>
    </row>
    <row r="452" spans="1:16" x14ac:dyDescent="0.25">
      <c r="A452" s="1">
        <v>34881</v>
      </c>
      <c r="B452" t="str">
        <f>HLOOKUP(Dashboard!$I$27,results,ROW(A452),FALSE)</f>
        <v/>
      </c>
      <c r="C452">
        <f>IFERROR(VLOOKUP(A452,observations_series_id_PCU22112222112243_api_key_ecc133893ea92a842ee685c73424608[],2,FALSE),"")</f>
        <v>114.9</v>
      </c>
      <c r="D452" s="2">
        <f>IFERROR(VLOOKUP(A452,observations_series_id_PCU22112222112243_api_key_ecc133893ea92a842ee685c73424608[],3,FALSE),"")</f>
        <v>0.84856396866840733</v>
      </c>
      <c r="E452" t="str">
        <f>IFERROR(VLOOKUP($A452,observations_series_id_WPU0613020T_api_key_ecc133893ea92a842ee685c734246086_file[],2,FALSE),"")</f>
        <v/>
      </c>
      <c r="F452" s="2" t="str">
        <f>IFERROR(VLOOKUP($A452,observations_series_id_WPU0613020T_api_key_ecc133893ea92a842ee685c734246086_file[],3,FALSE),"")</f>
        <v/>
      </c>
      <c r="G452" t="str">
        <f>IFERROR(VLOOKUP($A452,observations_series_id_PCU22122212_api_key_ecc133893ea92a842ee685c734246086_file[],2,FALSE),"")</f>
        <v/>
      </c>
      <c r="H452" s="2" t="str">
        <f>IFERROR(VLOOKUP($A452,observations_series_id_PCU22122212_api_key_ecc133893ea92a842ee685c734246086_file[],3,FALSE),"")</f>
        <v/>
      </c>
      <c r="I452">
        <f>IFERROR(VLOOKUP($A452,observations_series_id_PCU3241913241910_api_key_ecc133893ea92a842ee685c734246086[],2,FALSE),"")</f>
        <v>160.4</v>
      </c>
      <c r="J452" s="2">
        <f>IFERROR(VLOOKUP($A452,observations_series_id_PCU3241913241910_api_key_ecc133893ea92a842ee685c734246086[],3,FALSE),"")</f>
        <v>0.67955112219451375</v>
      </c>
      <c r="K452">
        <f>IFERROR(VLOOKUP($A452,observations_series_id_EXJPUS_api_key_ecc133893ea92a842ee685c734246086_file_type[],2,FALSE),"")</f>
        <v>87.397000000000006</v>
      </c>
      <c r="L452" s="2">
        <f>IFERROR(VLOOKUP($A452,observations_series_id_EXJPUS_api_key_ecc133893ea92a842ee685c734246086_file_type[],3,FALSE),"")</f>
        <v>-3.0964792841859552</v>
      </c>
      <c r="M452" t="str">
        <f>IFERROR(AVERAGEIFS(timeseries_access_key_fqeas14oitk235763mntlb1c0brnk9w3fenzqbk313q5kvxyf52kukw1pa[Value.LME-ZNC],timeseries_access_key_fqeas14oitk235763mntlb1c0brnk9w3fenzqbk313q5kvxyf52kukw1pa[Month],MONTH(Data!$A452),timeseries_access_key_fqeas14oitk235763mntlb1c0brnk9w3fenzqbk313q5kvxyf52kukw1pa[Year],YEAR(Data!$A452)),"")</f>
        <v/>
      </c>
      <c r="N452" s="2" t="str">
        <f>IFERROR(AVERAGEIFS(timeseries_access_key_fqeas14oitk235763mntlb1c0brnk9w3fenzqbk313q5kvxyf52kukw1pa[Column1],timeseries_access_key_fqeas14oitk235763mntlb1c0brnk9w3fenzqbk313q5kvxyf52kukw1pa[Month],MONTH(Data!$A452),timeseries_access_key_fqeas14oitk235763mntlb1c0brnk9w3fenzqbk313q5kvxyf52kukw1pa[Year],YEAR(Data!$A452)),"")</f>
        <v/>
      </c>
      <c r="O452" s="8">
        <f>IFERROR(VLOOKUP($A452,Text_1_2[[Text.1.1.3]:[Text.1.3]],2,FALSE),"")</f>
        <v>13100</v>
      </c>
      <c r="P452" s="2"/>
    </row>
    <row r="453" spans="1:16" x14ac:dyDescent="0.25">
      <c r="A453" s="1">
        <v>34912</v>
      </c>
      <c r="B453" t="str">
        <f>HLOOKUP(Dashboard!$I$27,results,ROW(A453),FALSE)</f>
        <v/>
      </c>
      <c r="C453">
        <f>IFERROR(VLOOKUP(A453,observations_series_id_PCU22112222112243_api_key_ecc133893ea92a842ee685c73424608[],2,FALSE),"")</f>
        <v>114.8</v>
      </c>
      <c r="D453" s="2">
        <f>IFERROR(VLOOKUP(A453,observations_series_id_PCU22112222112243_api_key_ecc133893ea92a842ee685c73424608[],3,FALSE),"")</f>
        <v>0.84843205574912894</v>
      </c>
      <c r="E453" t="str">
        <f>IFERROR(VLOOKUP($A453,observations_series_id_WPU0613020T_api_key_ecc133893ea92a842ee685c734246086_file[],2,FALSE),"")</f>
        <v/>
      </c>
      <c r="F453" s="2" t="str">
        <f>IFERROR(VLOOKUP($A453,observations_series_id_WPU0613020T_api_key_ecc133893ea92a842ee685c734246086_file[],3,FALSE),"")</f>
        <v/>
      </c>
      <c r="G453" t="str">
        <f>IFERROR(VLOOKUP($A453,observations_series_id_PCU22122212_api_key_ecc133893ea92a842ee685c734246086_file[],2,FALSE),"")</f>
        <v/>
      </c>
      <c r="H453" s="2" t="str">
        <f>IFERROR(VLOOKUP($A453,observations_series_id_PCU22122212_api_key_ecc133893ea92a842ee685c734246086_file[],3,FALSE),"")</f>
        <v/>
      </c>
      <c r="I453">
        <f>IFERROR(VLOOKUP($A453,observations_series_id_PCU3241913241910_api_key_ecc133893ea92a842ee685c734246086[],2,FALSE),"")</f>
        <v>160.69999999999999</v>
      </c>
      <c r="J453" s="2">
        <f>IFERROR(VLOOKUP($A453,observations_series_id_PCU3241913241910_api_key_ecc133893ea92a842ee685c734246086[],3,FALSE),"")</f>
        <v>0.68014934660858739</v>
      </c>
      <c r="K453">
        <f>IFERROR(VLOOKUP($A453,observations_series_id_EXJPUS_api_key_ecc133893ea92a842ee685c734246086_file_type[],2,FALSE),"")</f>
        <v>94.738299999999995</v>
      </c>
      <c r="L453" s="2">
        <f>IFERROR(VLOOKUP($A453,observations_series_id_EXJPUS_api_key_ecc133893ea92a842ee685c734246086_file_type[],3,FALSE),"")</f>
        <v>-2.7790418447449445</v>
      </c>
      <c r="M453" t="str">
        <f>IFERROR(AVERAGEIFS(timeseries_access_key_fqeas14oitk235763mntlb1c0brnk9w3fenzqbk313q5kvxyf52kukw1pa[Value.LME-ZNC],timeseries_access_key_fqeas14oitk235763mntlb1c0brnk9w3fenzqbk313q5kvxyf52kukw1pa[Month],MONTH(Data!$A453),timeseries_access_key_fqeas14oitk235763mntlb1c0brnk9w3fenzqbk313q5kvxyf52kukw1pa[Year],YEAR(Data!$A453)),"")</f>
        <v/>
      </c>
      <c r="N453" s="2" t="str">
        <f>IFERROR(AVERAGEIFS(timeseries_access_key_fqeas14oitk235763mntlb1c0brnk9w3fenzqbk313q5kvxyf52kukw1pa[Column1],timeseries_access_key_fqeas14oitk235763mntlb1c0brnk9w3fenzqbk313q5kvxyf52kukw1pa[Month],MONTH(Data!$A453),timeseries_access_key_fqeas14oitk235763mntlb1c0brnk9w3fenzqbk313q5kvxyf52kukw1pa[Year],YEAR(Data!$A453)),"")</f>
        <v/>
      </c>
      <c r="O453" s="8" t="str">
        <f>IFERROR(VLOOKUP($A453,Text_1_2[[Text.1.1.3]:[Text.1.3]],2,FALSE),"")</f>
        <v/>
      </c>
      <c r="P453" s="2"/>
    </row>
    <row r="454" spans="1:16" x14ac:dyDescent="0.25">
      <c r="A454" s="1">
        <v>34943</v>
      </c>
      <c r="B454" t="str">
        <f>HLOOKUP(Dashboard!$I$27,results,ROW(A454),FALSE)</f>
        <v/>
      </c>
      <c r="C454">
        <f>IFERROR(VLOOKUP(A454,observations_series_id_PCU22112222112243_api_key_ecc133893ea92a842ee685c73424608[],2,FALSE),"")</f>
        <v>112.4</v>
      </c>
      <c r="D454" s="2">
        <f>IFERROR(VLOOKUP(A454,observations_series_id_PCU22112222112243_api_key_ecc133893ea92a842ee685c73424608[],3,FALSE),"")</f>
        <v>0.84519572953736655</v>
      </c>
      <c r="E454" t="str">
        <f>IFERROR(VLOOKUP($A454,observations_series_id_WPU0613020T_api_key_ecc133893ea92a842ee685c734246086_file[],2,FALSE),"")</f>
        <v/>
      </c>
      <c r="F454" s="2" t="str">
        <f>IFERROR(VLOOKUP($A454,observations_series_id_WPU0613020T_api_key_ecc133893ea92a842ee685c734246086_file[],3,FALSE),"")</f>
        <v/>
      </c>
      <c r="G454" t="str">
        <f>IFERROR(VLOOKUP($A454,observations_series_id_PCU22122212_api_key_ecc133893ea92a842ee685c734246086_file[],2,FALSE),"")</f>
        <v/>
      </c>
      <c r="H454" s="2" t="str">
        <f>IFERROR(VLOOKUP($A454,observations_series_id_PCU22122212_api_key_ecc133893ea92a842ee685c734246086_file[],3,FALSE),"")</f>
        <v/>
      </c>
      <c r="I454">
        <f>IFERROR(VLOOKUP($A454,observations_series_id_PCU3241913241910_api_key_ecc133893ea92a842ee685c734246086[],2,FALSE),"")</f>
        <v>160.69999999999999</v>
      </c>
      <c r="J454" s="2">
        <f>IFERROR(VLOOKUP($A454,observations_series_id_PCU3241913241910_api_key_ecc133893ea92a842ee685c734246086[],3,FALSE),"")</f>
        <v>0.68014934660858739</v>
      </c>
      <c r="K454">
        <f>IFERROR(VLOOKUP($A454,observations_series_id_EXJPUS_api_key_ecc133893ea92a842ee685c734246086_file_type[],2,FALSE),"")</f>
        <v>100.5455</v>
      </c>
      <c r="L454" s="2">
        <f>IFERROR(VLOOKUP($A454,observations_series_id_EXJPUS_api_key_ecc133893ea92a842ee685c734246086_file_type[],3,FALSE),"")</f>
        <v>-2.5607759670994721</v>
      </c>
      <c r="M454" t="str">
        <f>IFERROR(AVERAGEIFS(timeseries_access_key_fqeas14oitk235763mntlb1c0brnk9w3fenzqbk313q5kvxyf52kukw1pa[Value.LME-ZNC],timeseries_access_key_fqeas14oitk235763mntlb1c0brnk9w3fenzqbk313q5kvxyf52kukw1pa[Month],MONTH(Data!$A454),timeseries_access_key_fqeas14oitk235763mntlb1c0brnk9w3fenzqbk313q5kvxyf52kukw1pa[Year],YEAR(Data!$A454)),"")</f>
        <v/>
      </c>
      <c r="N454" s="2" t="str">
        <f>IFERROR(AVERAGEIFS(timeseries_access_key_fqeas14oitk235763mntlb1c0brnk9w3fenzqbk313q5kvxyf52kukw1pa[Column1],timeseries_access_key_fqeas14oitk235763mntlb1c0brnk9w3fenzqbk313q5kvxyf52kukw1pa[Month],MONTH(Data!$A454),timeseries_access_key_fqeas14oitk235763mntlb1c0brnk9w3fenzqbk313q5kvxyf52kukw1pa[Year],YEAR(Data!$A454)),"")</f>
        <v/>
      </c>
      <c r="O454" s="8" t="str">
        <f>IFERROR(VLOOKUP($A454,Text_1_2[[Text.1.1.3]:[Text.1.3]],2,FALSE),"")</f>
        <v/>
      </c>
      <c r="P454" s="2"/>
    </row>
    <row r="455" spans="1:16" x14ac:dyDescent="0.25">
      <c r="A455" s="1">
        <v>34973</v>
      </c>
      <c r="B455" t="str">
        <f>HLOOKUP(Dashboard!$I$27,results,ROW(A455),FALSE)</f>
        <v/>
      </c>
      <c r="C455">
        <f>IFERROR(VLOOKUP(A455,observations_series_id_PCU22112222112243_api_key_ecc133893ea92a842ee685c73424608[],2,FALSE),"")</f>
        <v>110.5</v>
      </c>
      <c r="D455" s="2">
        <f>IFERROR(VLOOKUP(A455,observations_series_id_PCU22112222112243_api_key_ecc133893ea92a842ee685c73424608[],3,FALSE),"")</f>
        <v>0.84253393665158371</v>
      </c>
      <c r="E455" t="str">
        <f>IFERROR(VLOOKUP($A455,observations_series_id_WPU0613020T_api_key_ecc133893ea92a842ee685c734246086_file[],2,FALSE),"")</f>
        <v/>
      </c>
      <c r="F455" s="2" t="str">
        <f>IFERROR(VLOOKUP($A455,observations_series_id_WPU0613020T_api_key_ecc133893ea92a842ee685c734246086_file[],3,FALSE),"")</f>
        <v/>
      </c>
      <c r="G455" t="str">
        <f>IFERROR(VLOOKUP($A455,observations_series_id_PCU22122212_api_key_ecc133893ea92a842ee685c734246086_file[],2,FALSE),"")</f>
        <v/>
      </c>
      <c r="H455" s="2" t="str">
        <f>IFERROR(VLOOKUP($A455,observations_series_id_PCU22122212_api_key_ecc133893ea92a842ee685c734246086_file[],3,FALSE),"")</f>
        <v/>
      </c>
      <c r="I455">
        <f>IFERROR(VLOOKUP($A455,observations_series_id_PCU3241913241910_api_key_ecc133893ea92a842ee685c734246086[],2,FALSE),"")</f>
        <v>160.80000000000001</v>
      </c>
      <c r="J455" s="2">
        <f>IFERROR(VLOOKUP($A455,observations_series_id_PCU3241913241910_api_key_ecc133893ea92a842ee685c734246086[],3,FALSE),"")</f>
        <v>0.68034825870646776</v>
      </c>
      <c r="K455">
        <f>IFERROR(VLOOKUP($A455,observations_series_id_EXJPUS_api_key_ecc133893ea92a842ee685c734246086_file_type[],2,FALSE),"")</f>
        <v>100.839</v>
      </c>
      <c r="L455" s="2">
        <f>IFERROR(VLOOKUP($A455,observations_series_id_EXJPUS_api_key_ecc133893ea92a842ee685c734246086_file_type[],3,FALSE),"")</f>
        <v>-2.5504120429595689</v>
      </c>
      <c r="M455" t="str">
        <f>IFERROR(AVERAGEIFS(timeseries_access_key_fqeas14oitk235763mntlb1c0brnk9w3fenzqbk313q5kvxyf52kukw1pa[Value.LME-ZNC],timeseries_access_key_fqeas14oitk235763mntlb1c0brnk9w3fenzqbk313q5kvxyf52kukw1pa[Month],MONTH(Data!$A455),timeseries_access_key_fqeas14oitk235763mntlb1c0brnk9w3fenzqbk313q5kvxyf52kukw1pa[Year],YEAR(Data!$A455)),"")</f>
        <v/>
      </c>
      <c r="N455" s="2" t="str">
        <f>IFERROR(AVERAGEIFS(timeseries_access_key_fqeas14oitk235763mntlb1c0brnk9w3fenzqbk313q5kvxyf52kukw1pa[Column1],timeseries_access_key_fqeas14oitk235763mntlb1c0brnk9w3fenzqbk313q5kvxyf52kukw1pa[Month],MONTH(Data!$A455),timeseries_access_key_fqeas14oitk235763mntlb1c0brnk9w3fenzqbk313q5kvxyf52kukw1pa[Year],YEAR(Data!$A455)),"")</f>
        <v/>
      </c>
      <c r="O455" s="8">
        <f>IFERROR(VLOOKUP($A455,Text_1_2[[Text.1.1.3]:[Text.1.3]],2,FALSE),"")</f>
        <v>13600</v>
      </c>
      <c r="P455" s="2"/>
    </row>
    <row r="456" spans="1:16" x14ac:dyDescent="0.25">
      <c r="A456" s="1">
        <v>35004</v>
      </c>
      <c r="B456" t="str">
        <f>HLOOKUP(Dashboard!$I$27,results,ROW(A456),FALSE)</f>
        <v/>
      </c>
      <c r="C456">
        <f>IFERROR(VLOOKUP(A456,observations_series_id_PCU22112222112243_api_key_ecc133893ea92a842ee685c73424608[],2,FALSE),"")</f>
        <v>107.3</v>
      </c>
      <c r="D456" s="2">
        <f>IFERROR(VLOOKUP(A456,observations_series_id_PCU22112222112243_api_key_ecc133893ea92a842ee685c73424608[],3,FALSE),"")</f>
        <v>0.83783783783783783</v>
      </c>
      <c r="E456" t="str">
        <f>IFERROR(VLOOKUP($A456,observations_series_id_WPU0613020T_api_key_ecc133893ea92a842ee685c734246086_file[],2,FALSE),"")</f>
        <v/>
      </c>
      <c r="F456" s="2" t="str">
        <f>IFERROR(VLOOKUP($A456,observations_series_id_WPU0613020T_api_key_ecc133893ea92a842ee685c734246086_file[],3,FALSE),"")</f>
        <v/>
      </c>
      <c r="G456" t="str">
        <f>IFERROR(VLOOKUP($A456,observations_series_id_PCU22122212_api_key_ecc133893ea92a842ee685c734246086_file[],2,FALSE),"")</f>
        <v/>
      </c>
      <c r="H456" s="2" t="str">
        <f>IFERROR(VLOOKUP($A456,observations_series_id_PCU22122212_api_key_ecc133893ea92a842ee685c734246086_file[],3,FALSE),"")</f>
        <v/>
      </c>
      <c r="I456">
        <f>IFERROR(VLOOKUP($A456,observations_series_id_PCU3241913241910_api_key_ecc133893ea92a842ee685c734246086[],2,FALSE),"")</f>
        <v>160.5</v>
      </c>
      <c r="J456" s="2">
        <f>IFERROR(VLOOKUP($A456,observations_series_id_PCU3241913241910_api_key_ecc133893ea92a842ee685c734246086[],3,FALSE),"")</f>
        <v>0.67975077881619939</v>
      </c>
      <c r="K456">
        <f>IFERROR(VLOOKUP($A456,observations_series_id_EXJPUS_api_key_ecc133893ea92a842ee685c734246086_file_type[],2,FALSE),"")</f>
        <v>101.94</v>
      </c>
      <c r="L456" s="2">
        <f>IFERROR(VLOOKUP($A456,observations_series_id_EXJPUS_api_key_ecc133893ea92a842ee685c734246086_file_type[],3,FALSE),"")</f>
        <v>-2.5120659211300764</v>
      </c>
      <c r="M456" t="str">
        <f>IFERROR(AVERAGEIFS(timeseries_access_key_fqeas14oitk235763mntlb1c0brnk9w3fenzqbk313q5kvxyf52kukw1pa[Value.LME-ZNC],timeseries_access_key_fqeas14oitk235763mntlb1c0brnk9w3fenzqbk313q5kvxyf52kukw1pa[Month],MONTH(Data!$A456),timeseries_access_key_fqeas14oitk235763mntlb1c0brnk9w3fenzqbk313q5kvxyf52kukw1pa[Year],YEAR(Data!$A456)),"")</f>
        <v/>
      </c>
      <c r="N456" s="2" t="str">
        <f>IFERROR(AVERAGEIFS(timeseries_access_key_fqeas14oitk235763mntlb1c0brnk9w3fenzqbk313q5kvxyf52kukw1pa[Column1],timeseries_access_key_fqeas14oitk235763mntlb1c0brnk9w3fenzqbk313q5kvxyf52kukw1pa[Month],MONTH(Data!$A456),timeseries_access_key_fqeas14oitk235763mntlb1c0brnk9w3fenzqbk313q5kvxyf52kukw1pa[Year],YEAR(Data!$A456)),"")</f>
        <v/>
      </c>
      <c r="O456" s="8" t="str">
        <f>IFERROR(VLOOKUP($A456,Text_1_2[[Text.1.1.3]:[Text.1.3]],2,FALSE),"")</f>
        <v/>
      </c>
      <c r="P456" s="2"/>
    </row>
    <row r="457" spans="1:16" x14ac:dyDescent="0.25">
      <c r="A457" s="1">
        <v>35034</v>
      </c>
      <c r="B457" t="str">
        <f>HLOOKUP(Dashboard!$I$27,results,ROW(A457),FALSE)</f>
        <v/>
      </c>
      <c r="C457">
        <f>IFERROR(VLOOKUP(A457,observations_series_id_PCU22112222112243_api_key_ecc133893ea92a842ee685c73424608[],2,FALSE),"")</f>
        <v>107.4</v>
      </c>
      <c r="D457" s="2">
        <f>IFERROR(VLOOKUP(A457,observations_series_id_PCU22112222112243_api_key_ecc133893ea92a842ee685c73424608[],3,FALSE),"")</f>
        <v>0.83798882681564246</v>
      </c>
      <c r="E457" t="str">
        <f>IFERROR(VLOOKUP($A457,observations_series_id_WPU0613020T_api_key_ecc133893ea92a842ee685c734246086_file[],2,FALSE),"")</f>
        <v/>
      </c>
      <c r="F457" s="2" t="str">
        <f>IFERROR(VLOOKUP($A457,observations_series_id_WPU0613020T_api_key_ecc133893ea92a842ee685c734246086_file[],3,FALSE),"")</f>
        <v/>
      </c>
      <c r="G457" t="str">
        <f>IFERROR(VLOOKUP($A457,observations_series_id_PCU22122212_api_key_ecc133893ea92a842ee685c734246086_file[],2,FALSE),"")</f>
        <v/>
      </c>
      <c r="H457" s="2" t="str">
        <f>IFERROR(VLOOKUP($A457,observations_series_id_PCU22122212_api_key_ecc133893ea92a842ee685c734246086_file[],3,FALSE),"")</f>
        <v/>
      </c>
      <c r="I457">
        <f>IFERROR(VLOOKUP($A457,observations_series_id_PCU3241913241910_api_key_ecc133893ea92a842ee685c734246086[],2,FALSE),"")</f>
        <v>159.4</v>
      </c>
      <c r="J457" s="2">
        <f>IFERROR(VLOOKUP($A457,observations_series_id_PCU3241913241910_api_key_ecc133893ea92a842ee685c734246086[],3,FALSE),"")</f>
        <v>0.67754077791718947</v>
      </c>
      <c r="K457">
        <f>IFERROR(VLOOKUP($A457,observations_series_id_EXJPUS_api_key_ecc133893ea92a842ee685c734246086_file_type[],2,FALSE),"")</f>
        <v>101.84950000000001</v>
      </c>
      <c r="L457" s="2">
        <f>IFERROR(VLOOKUP($A457,observations_series_id_EXJPUS_api_key_ecc133893ea92a842ee685c734246086_file_type[],3,FALSE),"")</f>
        <v>-2.5151866234002127</v>
      </c>
      <c r="M457" t="str">
        <f>IFERROR(AVERAGEIFS(timeseries_access_key_fqeas14oitk235763mntlb1c0brnk9w3fenzqbk313q5kvxyf52kukw1pa[Value.LME-ZNC],timeseries_access_key_fqeas14oitk235763mntlb1c0brnk9w3fenzqbk313q5kvxyf52kukw1pa[Month],MONTH(Data!$A457),timeseries_access_key_fqeas14oitk235763mntlb1c0brnk9w3fenzqbk313q5kvxyf52kukw1pa[Year],YEAR(Data!$A457)),"")</f>
        <v/>
      </c>
      <c r="N457" s="2" t="str">
        <f>IFERROR(AVERAGEIFS(timeseries_access_key_fqeas14oitk235763mntlb1c0brnk9w3fenzqbk313q5kvxyf52kukw1pa[Column1],timeseries_access_key_fqeas14oitk235763mntlb1c0brnk9w3fenzqbk313q5kvxyf52kukw1pa[Month],MONTH(Data!$A457),timeseries_access_key_fqeas14oitk235763mntlb1c0brnk9w3fenzqbk313q5kvxyf52kukw1pa[Year],YEAR(Data!$A457)),"")</f>
        <v/>
      </c>
      <c r="O457" s="8" t="str">
        <f>IFERROR(VLOOKUP($A457,Text_1_2[[Text.1.1.3]:[Text.1.3]],2,FALSE),"")</f>
        <v/>
      </c>
      <c r="P457" s="2"/>
    </row>
    <row r="458" spans="1:16" x14ac:dyDescent="0.25">
      <c r="A458" s="1">
        <v>35065</v>
      </c>
      <c r="B458" t="str">
        <f>HLOOKUP(Dashboard!$I$27,results,ROW(A458),FALSE)</f>
        <v/>
      </c>
      <c r="C458">
        <f>IFERROR(VLOOKUP(A458,observations_series_id_PCU22112222112243_api_key_ecc133893ea92a842ee685c73424608[],2,FALSE),"")</f>
        <v>107.5</v>
      </c>
      <c r="D458" s="2">
        <f>IFERROR(VLOOKUP(A458,observations_series_id_PCU22112222112243_api_key_ecc133893ea92a842ee685c73424608[],3,FALSE),"")</f>
        <v>0.83813953488372095</v>
      </c>
      <c r="E458" t="str">
        <f>IFERROR(VLOOKUP($A458,observations_series_id_WPU0613020T_api_key_ecc133893ea92a842ee685c734246086_file[],2,FALSE),"")</f>
        <v/>
      </c>
      <c r="F458" s="2" t="str">
        <f>IFERROR(VLOOKUP($A458,observations_series_id_WPU0613020T_api_key_ecc133893ea92a842ee685c734246086_file[],3,FALSE),"")</f>
        <v/>
      </c>
      <c r="G458" t="str">
        <f>IFERROR(VLOOKUP($A458,observations_series_id_PCU22122212_api_key_ecc133893ea92a842ee685c734246086_file[],2,FALSE),"")</f>
        <v/>
      </c>
      <c r="H458" s="2" t="str">
        <f>IFERROR(VLOOKUP($A458,observations_series_id_PCU22122212_api_key_ecc133893ea92a842ee685c734246086_file[],3,FALSE),"")</f>
        <v/>
      </c>
      <c r="I458">
        <f>IFERROR(VLOOKUP($A458,observations_series_id_PCU3241913241910_api_key_ecc133893ea92a842ee685c734246086[],2,FALSE),"")</f>
        <v>159.69999999999999</v>
      </c>
      <c r="J458" s="2">
        <f>IFERROR(VLOOKUP($A458,observations_series_id_PCU3241913241910_api_key_ecc133893ea92a842ee685c734246086[],3,FALSE),"")</f>
        <v>0.67814652473387604</v>
      </c>
      <c r="K458">
        <f>IFERROR(VLOOKUP($A458,observations_series_id_EXJPUS_api_key_ecc133893ea92a842ee685c734246086_file_type[],2,FALSE),"")</f>
        <v>105.7514</v>
      </c>
      <c r="L458" s="2">
        <f>IFERROR(VLOOKUP($A458,observations_series_id_EXJPUS_api_key_ecc133893ea92a842ee685c734246086_file_type[],3,FALSE),"")</f>
        <v>-2.3854870952063041</v>
      </c>
      <c r="M458" t="str">
        <f>IFERROR(AVERAGEIFS(timeseries_access_key_fqeas14oitk235763mntlb1c0brnk9w3fenzqbk313q5kvxyf52kukw1pa[Value.LME-ZNC],timeseries_access_key_fqeas14oitk235763mntlb1c0brnk9w3fenzqbk313q5kvxyf52kukw1pa[Month],MONTH(Data!$A458),timeseries_access_key_fqeas14oitk235763mntlb1c0brnk9w3fenzqbk313q5kvxyf52kukw1pa[Year],YEAR(Data!$A458)),"")</f>
        <v/>
      </c>
      <c r="N458" s="2" t="str">
        <f>IFERROR(AVERAGEIFS(timeseries_access_key_fqeas14oitk235763mntlb1c0brnk9w3fenzqbk313q5kvxyf52kukw1pa[Column1],timeseries_access_key_fqeas14oitk235763mntlb1c0brnk9w3fenzqbk313q5kvxyf52kukw1pa[Month],MONTH(Data!$A458),timeseries_access_key_fqeas14oitk235763mntlb1c0brnk9w3fenzqbk313q5kvxyf52kukw1pa[Year],YEAR(Data!$A458)),"")</f>
        <v/>
      </c>
      <c r="O458" s="8">
        <f>IFERROR(VLOOKUP($A458,Text_1_2[[Text.1.1.3]:[Text.1.3]],2,FALSE),"")</f>
        <v>14500</v>
      </c>
      <c r="P458" s="2"/>
    </row>
    <row r="459" spans="1:16" x14ac:dyDescent="0.25">
      <c r="A459" s="1">
        <v>35096</v>
      </c>
      <c r="B459" t="str">
        <f>HLOOKUP(Dashboard!$I$27,results,ROW(A459),FALSE)</f>
        <v/>
      </c>
      <c r="C459">
        <f>IFERROR(VLOOKUP(A459,observations_series_id_PCU22112222112243_api_key_ecc133893ea92a842ee685c73424608[],2,FALSE),"")</f>
        <v>106.8</v>
      </c>
      <c r="D459" s="2">
        <f>IFERROR(VLOOKUP(A459,observations_series_id_PCU22112222112243_api_key_ecc133893ea92a842ee685c73424608[],3,FALSE),"")</f>
        <v>0.8370786516853933</v>
      </c>
      <c r="E459" t="str">
        <f>IFERROR(VLOOKUP($A459,observations_series_id_WPU0613020T_api_key_ecc133893ea92a842ee685c734246086_file[],2,FALSE),"")</f>
        <v/>
      </c>
      <c r="F459" s="2" t="str">
        <f>IFERROR(VLOOKUP($A459,observations_series_id_WPU0613020T_api_key_ecc133893ea92a842ee685c734246086_file[],3,FALSE),"")</f>
        <v/>
      </c>
      <c r="G459" t="str">
        <f>IFERROR(VLOOKUP($A459,observations_series_id_PCU22122212_api_key_ecc133893ea92a842ee685c734246086_file[],2,FALSE),"")</f>
        <v/>
      </c>
      <c r="H459" s="2" t="str">
        <f>IFERROR(VLOOKUP($A459,observations_series_id_PCU22122212_api_key_ecc133893ea92a842ee685c734246086_file[],3,FALSE),"")</f>
        <v/>
      </c>
      <c r="I459">
        <f>IFERROR(VLOOKUP($A459,observations_series_id_PCU3241913241910_api_key_ecc133893ea92a842ee685c734246086[],2,FALSE),"")</f>
        <v>159.9</v>
      </c>
      <c r="J459" s="2">
        <f>IFERROR(VLOOKUP($A459,observations_series_id_PCU3241913241910_api_key_ecc133893ea92a842ee685c734246086[],3,FALSE),"")</f>
        <v>0.67854909318323953</v>
      </c>
      <c r="K459">
        <f>IFERROR(VLOOKUP($A459,observations_series_id_EXJPUS_api_key_ecc133893ea92a842ee685c734246086_file_type[],2,FALSE),"")</f>
        <v>105.788</v>
      </c>
      <c r="L459" s="2">
        <f>IFERROR(VLOOKUP($A459,observations_series_id_EXJPUS_api_key_ecc133893ea92a842ee685c734246086_file_type[],3,FALSE),"")</f>
        <v>-2.3843158014141488</v>
      </c>
      <c r="M459" t="str">
        <f>IFERROR(AVERAGEIFS(timeseries_access_key_fqeas14oitk235763mntlb1c0brnk9w3fenzqbk313q5kvxyf52kukw1pa[Value.LME-ZNC],timeseries_access_key_fqeas14oitk235763mntlb1c0brnk9w3fenzqbk313q5kvxyf52kukw1pa[Month],MONTH(Data!$A459),timeseries_access_key_fqeas14oitk235763mntlb1c0brnk9w3fenzqbk313q5kvxyf52kukw1pa[Year],YEAR(Data!$A459)),"")</f>
        <v/>
      </c>
      <c r="N459" s="2" t="str">
        <f>IFERROR(AVERAGEIFS(timeseries_access_key_fqeas14oitk235763mntlb1c0brnk9w3fenzqbk313q5kvxyf52kukw1pa[Column1],timeseries_access_key_fqeas14oitk235763mntlb1c0brnk9w3fenzqbk313q5kvxyf52kukw1pa[Month],MONTH(Data!$A459),timeseries_access_key_fqeas14oitk235763mntlb1c0brnk9w3fenzqbk313q5kvxyf52kukw1pa[Year],YEAR(Data!$A459)),"")</f>
        <v/>
      </c>
      <c r="O459" s="8" t="str">
        <f>IFERROR(VLOOKUP($A459,Text_1_2[[Text.1.1.3]:[Text.1.3]],2,FALSE),"")</f>
        <v/>
      </c>
      <c r="P459" s="2"/>
    </row>
    <row r="460" spans="1:16" x14ac:dyDescent="0.25">
      <c r="A460" s="1">
        <v>35125</v>
      </c>
      <c r="B460" t="str">
        <f>HLOOKUP(Dashboard!$I$27,results,ROW(A460),FALSE)</f>
        <v/>
      </c>
      <c r="C460">
        <f>IFERROR(VLOOKUP(A460,observations_series_id_PCU22112222112243_api_key_ecc133893ea92a842ee685c73424608[],2,FALSE),"")</f>
        <v>107.4</v>
      </c>
      <c r="D460" s="2">
        <f>IFERROR(VLOOKUP(A460,observations_series_id_PCU22112222112243_api_key_ecc133893ea92a842ee685c73424608[],3,FALSE),"")</f>
        <v>0.83798882681564246</v>
      </c>
      <c r="E460" t="str">
        <f>IFERROR(VLOOKUP($A460,observations_series_id_WPU0613020T_api_key_ecc133893ea92a842ee685c734246086_file[],2,FALSE),"")</f>
        <v/>
      </c>
      <c r="F460" s="2" t="str">
        <f>IFERROR(VLOOKUP($A460,observations_series_id_WPU0613020T_api_key_ecc133893ea92a842ee685c734246086_file[],3,FALSE),"")</f>
        <v/>
      </c>
      <c r="G460" t="str">
        <f>IFERROR(VLOOKUP($A460,observations_series_id_PCU22122212_api_key_ecc133893ea92a842ee685c734246086_file[],2,FALSE),"")</f>
        <v/>
      </c>
      <c r="H460" s="2" t="str">
        <f>IFERROR(VLOOKUP($A460,observations_series_id_PCU22122212_api_key_ecc133893ea92a842ee685c734246086_file[],3,FALSE),"")</f>
        <v/>
      </c>
      <c r="I460">
        <f>IFERROR(VLOOKUP($A460,observations_series_id_PCU3241913241910_api_key_ecc133893ea92a842ee685c734246086[],2,FALSE),"")</f>
        <v>159.9</v>
      </c>
      <c r="J460" s="2">
        <f>IFERROR(VLOOKUP($A460,observations_series_id_PCU3241913241910_api_key_ecc133893ea92a842ee685c734246086[],3,FALSE),"")</f>
        <v>0.67854909318323953</v>
      </c>
      <c r="K460">
        <f>IFERROR(VLOOKUP($A460,observations_series_id_EXJPUS_api_key_ecc133893ea92a842ee685c734246086_file_type[],2,FALSE),"")</f>
        <v>105.94</v>
      </c>
      <c r="L460" s="2">
        <f>IFERROR(VLOOKUP($A460,observations_series_id_EXJPUS_api_key_ecc133893ea92a842ee685c734246086_file_type[],3,FALSE),"")</f>
        <v>-2.3794600717387198</v>
      </c>
      <c r="M460" t="str">
        <f>IFERROR(AVERAGEIFS(timeseries_access_key_fqeas14oitk235763mntlb1c0brnk9w3fenzqbk313q5kvxyf52kukw1pa[Value.LME-ZNC],timeseries_access_key_fqeas14oitk235763mntlb1c0brnk9w3fenzqbk313q5kvxyf52kukw1pa[Month],MONTH(Data!$A460),timeseries_access_key_fqeas14oitk235763mntlb1c0brnk9w3fenzqbk313q5kvxyf52kukw1pa[Year],YEAR(Data!$A460)),"")</f>
        <v/>
      </c>
      <c r="N460" s="2" t="str">
        <f>IFERROR(AVERAGEIFS(timeseries_access_key_fqeas14oitk235763mntlb1c0brnk9w3fenzqbk313q5kvxyf52kukw1pa[Column1],timeseries_access_key_fqeas14oitk235763mntlb1c0brnk9w3fenzqbk313q5kvxyf52kukw1pa[Month],MONTH(Data!$A460),timeseries_access_key_fqeas14oitk235763mntlb1c0brnk9w3fenzqbk313q5kvxyf52kukw1pa[Year],YEAR(Data!$A460)),"")</f>
        <v/>
      </c>
      <c r="O460" s="8" t="str">
        <f>IFERROR(VLOOKUP($A460,Text_1_2[[Text.1.1.3]:[Text.1.3]],2,FALSE),"")</f>
        <v/>
      </c>
      <c r="P460" s="2"/>
    </row>
    <row r="461" spans="1:16" x14ac:dyDescent="0.25">
      <c r="A461" s="1">
        <v>35156</v>
      </c>
      <c r="B461" t="str">
        <f>HLOOKUP(Dashboard!$I$27,results,ROW(A461),FALSE)</f>
        <v/>
      </c>
      <c r="C461">
        <f>IFERROR(VLOOKUP(A461,observations_series_id_PCU22112222112243_api_key_ecc133893ea92a842ee685c73424608[],2,FALSE),"")</f>
        <v>108.6</v>
      </c>
      <c r="D461" s="2">
        <f>IFERROR(VLOOKUP(A461,observations_series_id_PCU22112222112243_api_key_ecc133893ea92a842ee685c73424608[],3,FALSE),"")</f>
        <v>0.83977900552486184</v>
      </c>
      <c r="E461" t="str">
        <f>IFERROR(VLOOKUP($A461,observations_series_id_WPU0613020T_api_key_ecc133893ea92a842ee685c734246086_file[],2,FALSE),"")</f>
        <v/>
      </c>
      <c r="F461" s="2" t="str">
        <f>IFERROR(VLOOKUP($A461,observations_series_id_WPU0613020T_api_key_ecc133893ea92a842ee685c734246086_file[],3,FALSE),"")</f>
        <v/>
      </c>
      <c r="G461" t="str">
        <f>IFERROR(VLOOKUP($A461,observations_series_id_PCU22122212_api_key_ecc133893ea92a842ee685c734246086_file[],2,FALSE),"")</f>
        <v/>
      </c>
      <c r="H461" s="2" t="str">
        <f>IFERROR(VLOOKUP($A461,observations_series_id_PCU22122212_api_key_ecc133893ea92a842ee685c734246086_file[],3,FALSE),"")</f>
        <v/>
      </c>
      <c r="I461">
        <f>IFERROR(VLOOKUP($A461,observations_series_id_PCU3241913241910_api_key_ecc133893ea92a842ee685c734246086[],2,FALSE),"")</f>
        <v>160</v>
      </c>
      <c r="J461" s="2">
        <f>IFERROR(VLOOKUP($A461,observations_series_id_PCU3241913241910_api_key_ecc133893ea92a842ee685c734246086[],3,FALSE),"")</f>
        <v>0.67874999999999996</v>
      </c>
      <c r="K461">
        <f>IFERROR(VLOOKUP($A461,observations_series_id_EXJPUS_api_key_ecc133893ea92a842ee685c734246086_file_type[],2,FALSE),"")</f>
        <v>107.1995</v>
      </c>
      <c r="L461" s="2">
        <f>IFERROR(VLOOKUP($A461,observations_series_id_EXJPUS_api_key_ecc133893ea92a842ee685c734246086_file_type[],3,FALSE),"")</f>
        <v>-2.3397543831827572</v>
      </c>
      <c r="M461" t="str">
        <f>IFERROR(AVERAGEIFS(timeseries_access_key_fqeas14oitk235763mntlb1c0brnk9w3fenzqbk313q5kvxyf52kukw1pa[Value.LME-ZNC],timeseries_access_key_fqeas14oitk235763mntlb1c0brnk9w3fenzqbk313q5kvxyf52kukw1pa[Month],MONTH(Data!$A461),timeseries_access_key_fqeas14oitk235763mntlb1c0brnk9w3fenzqbk313q5kvxyf52kukw1pa[Year],YEAR(Data!$A461)),"")</f>
        <v/>
      </c>
      <c r="N461" s="2" t="str">
        <f>IFERROR(AVERAGEIFS(timeseries_access_key_fqeas14oitk235763mntlb1c0brnk9w3fenzqbk313q5kvxyf52kukw1pa[Column1],timeseries_access_key_fqeas14oitk235763mntlb1c0brnk9w3fenzqbk313q5kvxyf52kukw1pa[Month],MONTH(Data!$A461),timeseries_access_key_fqeas14oitk235763mntlb1c0brnk9w3fenzqbk313q5kvxyf52kukw1pa[Year],YEAR(Data!$A461)),"")</f>
        <v/>
      </c>
      <c r="O461" s="8">
        <f>IFERROR(VLOOKUP($A461,Text_1_2[[Text.1.1.3]:[Text.1.3]],2,FALSE),"")</f>
        <v>16100</v>
      </c>
      <c r="P461" s="2"/>
    </row>
    <row r="462" spans="1:16" x14ac:dyDescent="0.25">
      <c r="A462" s="1">
        <v>35186</v>
      </c>
      <c r="B462" t="str">
        <f>HLOOKUP(Dashboard!$I$27,results,ROW(A462),FALSE)</f>
        <v/>
      </c>
      <c r="C462">
        <f>IFERROR(VLOOKUP(A462,observations_series_id_PCU22112222112243_api_key_ecc133893ea92a842ee685c73424608[],2,FALSE),"")</f>
        <v>113.6</v>
      </c>
      <c r="D462" s="2">
        <f>IFERROR(VLOOKUP(A462,observations_series_id_PCU22112222112243_api_key_ecc133893ea92a842ee685c73424608[],3,FALSE),"")</f>
        <v>0.846830985915493</v>
      </c>
      <c r="E462" t="str">
        <f>IFERROR(VLOOKUP($A462,observations_series_id_WPU0613020T_api_key_ecc133893ea92a842ee685c734246086_file[],2,FALSE),"")</f>
        <v/>
      </c>
      <c r="F462" s="2" t="str">
        <f>IFERROR(VLOOKUP($A462,observations_series_id_WPU0613020T_api_key_ecc133893ea92a842ee685c734246086_file[],3,FALSE),"")</f>
        <v/>
      </c>
      <c r="G462" t="str">
        <f>IFERROR(VLOOKUP($A462,observations_series_id_PCU22122212_api_key_ecc133893ea92a842ee685c734246086_file[],2,FALSE),"")</f>
        <v/>
      </c>
      <c r="H462" s="2" t="str">
        <f>IFERROR(VLOOKUP($A462,observations_series_id_PCU22122212_api_key_ecc133893ea92a842ee685c734246086_file[],3,FALSE),"")</f>
        <v/>
      </c>
      <c r="I462">
        <f>IFERROR(VLOOKUP($A462,observations_series_id_PCU3241913241910_api_key_ecc133893ea92a842ee685c734246086[],2,FALSE),"")</f>
        <v>160.1</v>
      </c>
      <c r="J462" s="2">
        <f>IFERROR(VLOOKUP($A462,observations_series_id_PCU3241913241910_api_key_ecc133893ea92a842ee685c734246086[],3,FALSE),"")</f>
        <v>0.67895065584009995</v>
      </c>
      <c r="K462">
        <f>IFERROR(VLOOKUP($A462,observations_series_id_EXJPUS_api_key_ecc133893ea92a842ee685c734246086_file_type[],2,FALSE),"")</f>
        <v>106.34229999999999</v>
      </c>
      <c r="L462" s="2">
        <f>IFERROR(VLOOKUP($A462,observations_series_id_EXJPUS_api_key_ecc133893ea92a842ee685c734246086_file_type[],3,FALSE),"")</f>
        <v>-2.3666753493200732</v>
      </c>
      <c r="M462" t="str">
        <f>IFERROR(AVERAGEIFS(timeseries_access_key_fqeas14oitk235763mntlb1c0brnk9w3fenzqbk313q5kvxyf52kukw1pa[Value.LME-ZNC],timeseries_access_key_fqeas14oitk235763mntlb1c0brnk9w3fenzqbk313q5kvxyf52kukw1pa[Month],MONTH(Data!$A462),timeseries_access_key_fqeas14oitk235763mntlb1c0brnk9w3fenzqbk313q5kvxyf52kukw1pa[Year],YEAR(Data!$A462)),"")</f>
        <v/>
      </c>
      <c r="N462" s="2" t="str">
        <f>IFERROR(AVERAGEIFS(timeseries_access_key_fqeas14oitk235763mntlb1c0brnk9w3fenzqbk313q5kvxyf52kukw1pa[Column1],timeseries_access_key_fqeas14oitk235763mntlb1c0brnk9w3fenzqbk313q5kvxyf52kukw1pa[Month],MONTH(Data!$A462),timeseries_access_key_fqeas14oitk235763mntlb1c0brnk9w3fenzqbk313q5kvxyf52kukw1pa[Year],YEAR(Data!$A462)),"")</f>
        <v/>
      </c>
      <c r="O462" s="8" t="str">
        <f>IFERROR(VLOOKUP($A462,Text_1_2[[Text.1.1.3]:[Text.1.3]],2,FALSE),"")</f>
        <v/>
      </c>
      <c r="P462" s="2"/>
    </row>
    <row r="463" spans="1:16" x14ac:dyDescent="0.25">
      <c r="A463" s="1">
        <v>35217</v>
      </c>
      <c r="B463" t="str">
        <f>HLOOKUP(Dashboard!$I$27,results,ROW(A463),FALSE)</f>
        <v/>
      </c>
      <c r="C463">
        <f>IFERROR(VLOOKUP(A463,observations_series_id_PCU22112222112243_api_key_ecc133893ea92a842ee685c73424608[],2,FALSE),"")</f>
        <v>115.7</v>
      </c>
      <c r="D463" s="2">
        <f>IFERROR(VLOOKUP(A463,observations_series_id_PCU22112222112243_api_key_ecc133893ea92a842ee685c73424608[],3,FALSE),"")</f>
        <v>0.8496110630942092</v>
      </c>
      <c r="E463" t="str">
        <f>IFERROR(VLOOKUP($A463,observations_series_id_WPU0613020T_api_key_ecc133893ea92a842ee685c734246086_file[],2,FALSE),"")</f>
        <v/>
      </c>
      <c r="F463" s="2" t="str">
        <f>IFERROR(VLOOKUP($A463,observations_series_id_WPU0613020T_api_key_ecc133893ea92a842ee685c734246086_file[],3,FALSE),"")</f>
        <v/>
      </c>
      <c r="G463" t="str">
        <f>IFERROR(VLOOKUP($A463,observations_series_id_PCU22122212_api_key_ecc133893ea92a842ee685c734246086_file[],2,FALSE),"")</f>
        <v/>
      </c>
      <c r="H463" s="2" t="str">
        <f>IFERROR(VLOOKUP($A463,observations_series_id_PCU22122212_api_key_ecc133893ea92a842ee685c734246086_file[],3,FALSE),"")</f>
        <v/>
      </c>
      <c r="I463">
        <f>IFERROR(VLOOKUP($A463,observations_series_id_PCU3241913241910_api_key_ecc133893ea92a842ee685c734246086[],2,FALSE),"")</f>
        <v>160.4</v>
      </c>
      <c r="J463" s="2">
        <f>IFERROR(VLOOKUP($A463,observations_series_id_PCU3241913241910_api_key_ecc133893ea92a842ee685c734246086[],3,FALSE),"")</f>
        <v>0.67955112219451375</v>
      </c>
      <c r="K463">
        <f>IFERROR(VLOOKUP($A463,observations_series_id_EXJPUS_api_key_ecc133893ea92a842ee685c734246086_file_type[],2,FALSE),"")</f>
        <v>108.96</v>
      </c>
      <c r="L463" s="2">
        <f>IFERROR(VLOOKUP($A463,observations_series_id_EXJPUS_api_key_ecc133893ea92a842ee685c734246086_file_type[],3,FALSE),"")</f>
        <v>-2.28579295154185</v>
      </c>
      <c r="M463" t="str">
        <f>IFERROR(AVERAGEIFS(timeseries_access_key_fqeas14oitk235763mntlb1c0brnk9w3fenzqbk313q5kvxyf52kukw1pa[Value.LME-ZNC],timeseries_access_key_fqeas14oitk235763mntlb1c0brnk9w3fenzqbk313q5kvxyf52kukw1pa[Month],MONTH(Data!$A463),timeseries_access_key_fqeas14oitk235763mntlb1c0brnk9w3fenzqbk313q5kvxyf52kukw1pa[Year],YEAR(Data!$A463)),"")</f>
        <v/>
      </c>
      <c r="N463" s="2" t="str">
        <f>IFERROR(AVERAGEIFS(timeseries_access_key_fqeas14oitk235763mntlb1c0brnk9w3fenzqbk313q5kvxyf52kukw1pa[Column1],timeseries_access_key_fqeas14oitk235763mntlb1c0brnk9w3fenzqbk313q5kvxyf52kukw1pa[Month],MONTH(Data!$A463),timeseries_access_key_fqeas14oitk235763mntlb1c0brnk9w3fenzqbk313q5kvxyf52kukw1pa[Year],YEAR(Data!$A463)),"")</f>
        <v/>
      </c>
      <c r="O463" s="8" t="str">
        <f>IFERROR(VLOOKUP($A463,Text_1_2[[Text.1.1.3]:[Text.1.3]],2,FALSE),"")</f>
        <v/>
      </c>
      <c r="P463" s="2"/>
    </row>
    <row r="464" spans="1:16" x14ac:dyDescent="0.25">
      <c r="A464" s="1">
        <v>35247</v>
      </c>
      <c r="B464" t="str">
        <f>HLOOKUP(Dashboard!$I$27,results,ROW(A464),FALSE)</f>
        <v/>
      </c>
      <c r="C464">
        <f>IFERROR(VLOOKUP(A464,observations_series_id_PCU22112222112243_api_key_ecc133893ea92a842ee685c73424608[],2,FALSE),"")</f>
        <v>114.3</v>
      </c>
      <c r="D464" s="2">
        <f>IFERROR(VLOOKUP(A464,observations_series_id_PCU22112222112243_api_key_ecc133893ea92a842ee685c73424608[],3,FALSE),"")</f>
        <v>0.84776902887139105</v>
      </c>
      <c r="E464" t="str">
        <f>IFERROR(VLOOKUP($A464,observations_series_id_WPU0613020T_api_key_ecc133893ea92a842ee685c734246086_file[],2,FALSE),"")</f>
        <v/>
      </c>
      <c r="F464" s="2" t="str">
        <f>IFERROR(VLOOKUP($A464,observations_series_id_WPU0613020T_api_key_ecc133893ea92a842ee685c734246086_file[],3,FALSE),"")</f>
        <v/>
      </c>
      <c r="G464" t="str">
        <f>IFERROR(VLOOKUP($A464,observations_series_id_PCU22122212_api_key_ecc133893ea92a842ee685c734246086_file[],2,FALSE),"")</f>
        <v/>
      </c>
      <c r="H464" s="2" t="str">
        <f>IFERROR(VLOOKUP($A464,observations_series_id_PCU22122212_api_key_ecc133893ea92a842ee685c734246086_file[],3,FALSE),"")</f>
        <v/>
      </c>
      <c r="I464">
        <f>IFERROR(VLOOKUP($A464,observations_series_id_PCU3241913241910_api_key_ecc133893ea92a842ee685c734246086[],2,FALSE),"")</f>
        <v>160.5</v>
      </c>
      <c r="J464" s="2">
        <f>IFERROR(VLOOKUP($A464,observations_series_id_PCU3241913241910_api_key_ecc133893ea92a842ee685c734246086[],3,FALSE),"")</f>
        <v>0.67975077881619939</v>
      </c>
      <c r="K464">
        <f>IFERROR(VLOOKUP($A464,observations_series_id_EXJPUS_api_key_ecc133893ea92a842ee685c734246086_file_type[],2,FALSE),"")</f>
        <v>109.1909</v>
      </c>
      <c r="L464" s="2">
        <f>IFERROR(VLOOKUP($A464,observations_series_id_EXJPUS_api_key_ecc133893ea92a842ee685c734246086_file_type[],3,FALSE),"")</f>
        <v>-2.2788446656268975</v>
      </c>
      <c r="M464" t="str">
        <f>IFERROR(AVERAGEIFS(timeseries_access_key_fqeas14oitk235763mntlb1c0brnk9w3fenzqbk313q5kvxyf52kukw1pa[Value.LME-ZNC],timeseries_access_key_fqeas14oitk235763mntlb1c0brnk9w3fenzqbk313q5kvxyf52kukw1pa[Month],MONTH(Data!$A464),timeseries_access_key_fqeas14oitk235763mntlb1c0brnk9w3fenzqbk313q5kvxyf52kukw1pa[Year],YEAR(Data!$A464)),"")</f>
        <v/>
      </c>
      <c r="N464" s="2" t="str">
        <f>IFERROR(AVERAGEIFS(timeseries_access_key_fqeas14oitk235763mntlb1c0brnk9w3fenzqbk313q5kvxyf52kukw1pa[Column1],timeseries_access_key_fqeas14oitk235763mntlb1c0brnk9w3fenzqbk313q5kvxyf52kukw1pa[Month],MONTH(Data!$A464),timeseries_access_key_fqeas14oitk235763mntlb1c0brnk9w3fenzqbk313q5kvxyf52kukw1pa[Year],YEAR(Data!$A464)),"")</f>
        <v/>
      </c>
      <c r="O464" s="8">
        <f>IFERROR(VLOOKUP($A464,Text_1_2[[Text.1.1.3]:[Text.1.3]],2,FALSE),"")</f>
        <v>16400</v>
      </c>
      <c r="P464" s="2"/>
    </row>
    <row r="465" spans="1:16" x14ac:dyDescent="0.25">
      <c r="A465" s="1">
        <v>35278</v>
      </c>
      <c r="B465" t="str">
        <f>HLOOKUP(Dashboard!$I$27,results,ROW(A465),FALSE)</f>
        <v/>
      </c>
      <c r="C465">
        <f>IFERROR(VLOOKUP(A465,observations_series_id_PCU22112222112243_api_key_ecc133893ea92a842ee685c73424608[],2,FALSE),"")</f>
        <v>114.5</v>
      </c>
      <c r="D465" s="2">
        <f>IFERROR(VLOOKUP(A465,observations_series_id_PCU22112222112243_api_key_ecc133893ea92a842ee685c73424608[],3,FALSE),"")</f>
        <v>0.84803493449781664</v>
      </c>
      <c r="E465" t="str">
        <f>IFERROR(VLOOKUP($A465,observations_series_id_WPU0613020T_api_key_ecc133893ea92a842ee685c734246086_file[],2,FALSE),"")</f>
        <v/>
      </c>
      <c r="F465" s="2" t="str">
        <f>IFERROR(VLOOKUP($A465,observations_series_id_WPU0613020T_api_key_ecc133893ea92a842ee685c734246086_file[],3,FALSE),"")</f>
        <v/>
      </c>
      <c r="G465" t="str">
        <f>IFERROR(VLOOKUP($A465,observations_series_id_PCU22122212_api_key_ecc133893ea92a842ee685c734246086_file[],2,FALSE),"")</f>
        <v/>
      </c>
      <c r="H465" s="2" t="str">
        <f>IFERROR(VLOOKUP($A465,observations_series_id_PCU22122212_api_key_ecc133893ea92a842ee685c734246086_file[],3,FALSE),"")</f>
        <v/>
      </c>
      <c r="I465">
        <f>IFERROR(VLOOKUP($A465,observations_series_id_PCU3241913241910_api_key_ecc133893ea92a842ee685c734246086[],2,FALSE),"")</f>
        <v>161.1</v>
      </c>
      <c r="J465" s="2">
        <f>IFERROR(VLOOKUP($A465,observations_series_id_PCU3241913241910_api_key_ecc133893ea92a842ee685c734246086[],3,FALSE),"")</f>
        <v>0.68094351334574799</v>
      </c>
      <c r="K465">
        <f>IFERROR(VLOOKUP($A465,observations_series_id_EXJPUS_api_key_ecc133893ea92a842ee685c734246086_file_type[],2,FALSE),"")</f>
        <v>107.8659</v>
      </c>
      <c r="L465" s="2">
        <f>IFERROR(VLOOKUP($A465,observations_series_id_EXJPUS_api_key_ecc133893ea92a842ee685c734246086_file_type[],3,FALSE),"")</f>
        <v>-2.3191212422090763</v>
      </c>
      <c r="M465" t="str">
        <f>IFERROR(AVERAGEIFS(timeseries_access_key_fqeas14oitk235763mntlb1c0brnk9w3fenzqbk313q5kvxyf52kukw1pa[Value.LME-ZNC],timeseries_access_key_fqeas14oitk235763mntlb1c0brnk9w3fenzqbk313q5kvxyf52kukw1pa[Month],MONTH(Data!$A465),timeseries_access_key_fqeas14oitk235763mntlb1c0brnk9w3fenzqbk313q5kvxyf52kukw1pa[Year],YEAR(Data!$A465)),"")</f>
        <v/>
      </c>
      <c r="N465" s="2" t="str">
        <f>IFERROR(AVERAGEIFS(timeseries_access_key_fqeas14oitk235763mntlb1c0brnk9w3fenzqbk313q5kvxyf52kukw1pa[Column1],timeseries_access_key_fqeas14oitk235763mntlb1c0brnk9w3fenzqbk313q5kvxyf52kukw1pa[Month],MONTH(Data!$A465),timeseries_access_key_fqeas14oitk235763mntlb1c0brnk9w3fenzqbk313q5kvxyf52kukw1pa[Year],YEAR(Data!$A465)),"")</f>
        <v/>
      </c>
      <c r="O465" s="8" t="str">
        <f>IFERROR(VLOOKUP($A465,Text_1_2[[Text.1.1.3]:[Text.1.3]],2,FALSE),"")</f>
        <v/>
      </c>
      <c r="P465" s="2"/>
    </row>
    <row r="466" spans="1:16" x14ac:dyDescent="0.25">
      <c r="A466" s="1">
        <v>35309</v>
      </c>
      <c r="B466" t="str">
        <f>HLOOKUP(Dashboard!$I$27,results,ROW(A466),FALSE)</f>
        <v/>
      </c>
      <c r="C466">
        <f>IFERROR(VLOOKUP(A466,observations_series_id_PCU22112222112243_api_key_ecc133893ea92a842ee685c73424608[],2,FALSE),"")</f>
        <v>114.5</v>
      </c>
      <c r="D466" s="2">
        <f>IFERROR(VLOOKUP(A466,observations_series_id_PCU22112222112243_api_key_ecc133893ea92a842ee685c73424608[],3,FALSE),"")</f>
        <v>0.84803493449781664</v>
      </c>
      <c r="E466" t="str">
        <f>IFERROR(VLOOKUP($A466,observations_series_id_WPU0613020T_api_key_ecc133893ea92a842ee685c734246086_file[],2,FALSE),"")</f>
        <v/>
      </c>
      <c r="F466" s="2" t="str">
        <f>IFERROR(VLOOKUP($A466,observations_series_id_WPU0613020T_api_key_ecc133893ea92a842ee685c734246086_file[],3,FALSE),"")</f>
        <v/>
      </c>
      <c r="G466" t="str">
        <f>IFERROR(VLOOKUP($A466,observations_series_id_PCU22122212_api_key_ecc133893ea92a842ee685c734246086_file[],2,FALSE),"")</f>
        <v/>
      </c>
      <c r="H466" s="2" t="str">
        <f>IFERROR(VLOOKUP($A466,observations_series_id_PCU22122212_api_key_ecc133893ea92a842ee685c734246086_file[],3,FALSE),"")</f>
        <v/>
      </c>
      <c r="I466">
        <f>IFERROR(VLOOKUP($A466,observations_series_id_PCU3241913241910_api_key_ecc133893ea92a842ee685c734246086[],2,FALSE),"")</f>
        <v>161</v>
      </c>
      <c r="J466" s="2">
        <f>IFERROR(VLOOKUP($A466,observations_series_id_PCU3241913241910_api_key_ecc133893ea92a842ee685c734246086[],3,FALSE),"")</f>
        <v>0.68074534161490685</v>
      </c>
      <c r="K466">
        <f>IFERROR(VLOOKUP($A466,observations_series_id_EXJPUS_api_key_ecc133893ea92a842ee685c734246086_file_type[],2,FALSE),"")</f>
        <v>109.931</v>
      </c>
      <c r="L466" s="2">
        <f>IFERROR(VLOOKUP($A466,observations_series_id_EXJPUS_api_key_ecc133893ea92a842ee685c734246086_file_type[],3,FALSE),"")</f>
        <v>-2.2567701558250173</v>
      </c>
      <c r="M466" t="str">
        <f>IFERROR(AVERAGEIFS(timeseries_access_key_fqeas14oitk235763mntlb1c0brnk9w3fenzqbk313q5kvxyf52kukw1pa[Value.LME-ZNC],timeseries_access_key_fqeas14oitk235763mntlb1c0brnk9w3fenzqbk313q5kvxyf52kukw1pa[Month],MONTH(Data!$A466),timeseries_access_key_fqeas14oitk235763mntlb1c0brnk9w3fenzqbk313q5kvxyf52kukw1pa[Year],YEAR(Data!$A466)),"")</f>
        <v/>
      </c>
      <c r="N466" s="2" t="str">
        <f>IFERROR(AVERAGEIFS(timeseries_access_key_fqeas14oitk235763mntlb1c0brnk9w3fenzqbk313q5kvxyf52kukw1pa[Column1],timeseries_access_key_fqeas14oitk235763mntlb1c0brnk9w3fenzqbk313q5kvxyf52kukw1pa[Month],MONTH(Data!$A466),timeseries_access_key_fqeas14oitk235763mntlb1c0brnk9w3fenzqbk313q5kvxyf52kukw1pa[Year],YEAR(Data!$A466)),"")</f>
        <v/>
      </c>
      <c r="O466" s="8" t="str">
        <f>IFERROR(VLOOKUP($A466,Text_1_2[[Text.1.1.3]:[Text.1.3]],2,FALSE),"")</f>
        <v/>
      </c>
      <c r="P466" s="2"/>
    </row>
    <row r="467" spans="1:16" x14ac:dyDescent="0.25">
      <c r="A467" s="1">
        <v>35339</v>
      </c>
      <c r="B467" t="str">
        <f>HLOOKUP(Dashboard!$I$27,results,ROW(A467),FALSE)</f>
        <v/>
      </c>
      <c r="C467">
        <f>IFERROR(VLOOKUP(A467,observations_series_id_PCU22112222112243_api_key_ecc133893ea92a842ee685c73424608[],2,FALSE),"")</f>
        <v>110.3</v>
      </c>
      <c r="D467" s="2">
        <f>IFERROR(VLOOKUP(A467,observations_series_id_PCU22112222112243_api_key_ecc133893ea92a842ee685c73424608[],3,FALSE),"")</f>
        <v>0.84224841341795109</v>
      </c>
      <c r="E467" t="str">
        <f>IFERROR(VLOOKUP($A467,observations_series_id_WPU0613020T_api_key_ecc133893ea92a842ee685c734246086_file[],2,FALSE),"")</f>
        <v/>
      </c>
      <c r="F467" s="2" t="str">
        <f>IFERROR(VLOOKUP($A467,observations_series_id_WPU0613020T_api_key_ecc133893ea92a842ee685c734246086_file[],3,FALSE),"")</f>
        <v/>
      </c>
      <c r="G467" t="str">
        <f>IFERROR(VLOOKUP($A467,observations_series_id_PCU22122212_api_key_ecc133893ea92a842ee685c734246086_file[],2,FALSE),"")</f>
        <v/>
      </c>
      <c r="H467" s="2" t="str">
        <f>IFERROR(VLOOKUP($A467,observations_series_id_PCU22122212_api_key_ecc133893ea92a842ee685c734246086_file[],3,FALSE),"")</f>
        <v/>
      </c>
      <c r="I467">
        <f>IFERROR(VLOOKUP($A467,observations_series_id_PCU3241913241910_api_key_ecc133893ea92a842ee685c734246086[],2,FALSE),"")</f>
        <v>161.1</v>
      </c>
      <c r="J467" s="2">
        <f>IFERROR(VLOOKUP($A467,observations_series_id_PCU3241913241910_api_key_ecc133893ea92a842ee685c734246086[],3,FALSE),"")</f>
        <v>0.68094351334574799</v>
      </c>
      <c r="K467">
        <f>IFERROR(VLOOKUP($A467,observations_series_id_EXJPUS_api_key_ecc133893ea92a842ee685c734246086_file_type[],2,FALSE),"")</f>
        <v>112.4123</v>
      </c>
      <c r="L467" s="2">
        <f>IFERROR(VLOOKUP($A467,observations_series_id_EXJPUS_api_key_ecc133893ea92a842ee685c734246086_file_type[],3,FALSE),"")</f>
        <v>-2.1848827930751349</v>
      </c>
      <c r="M467" t="str">
        <f>IFERROR(AVERAGEIFS(timeseries_access_key_fqeas14oitk235763mntlb1c0brnk9w3fenzqbk313q5kvxyf52kukw1pa[Value.LME-ZNC],timeseries_access_key_fqeas14oitk235763mntlb1c0brnk9w3fenzqbk313q5kvxyf52kukw1pa[Month],MONTH(Data!$A467),timeseries_access_key_fqeas14oitk235763mntlb1c0brnk9w3fenzqbk313q5kvxyf52kukw1pa[Year],YEAR(Data!$A467)),"")</f>
        <v/>
      </c>
      <c r="N467" s="2" t="str">
        <f>IFERROR(AVERAGEIFS(timeseries_access_key_fqeas14oitk235763mntlb1c0brnk9w3fenzqbk313q5kvxyf52kukw1pa[Column1],timeseries_access_key_fqeas14oitk235763mntlb1c0brnk9w3fenzqbk313q5kvxyf52kukw1pa[Month],MONTH(Data!$A467),timeseries_access_key_fqeas14oitk235763mntlb1c0brnk9w3fenzqbk313q5kvxyf52kukw1pa[Year],YEAR(Data!$A467)),"")</f>
        <v/>
      </c>
      <c r="O467" s="8">
        <f>IFERROR(VLOOKUP($A467,Text_1_2[[Text.1.1.3]:[Text.1.3]],2,FALSE),"")</f>
        <v>18900</v>
      </c>
      <c r="P467" s="2"/>
    </row>
    <row r="468" spans="1:16" x14ac:dyDescent="0.25">
      <c r="A468" s="1">
        <v>35370</v>
      </c>
      <c r="B468" t="str">
        <f>HLOOKUP(Dashboard!$I$27,results,ROW(A468),FALSE)</f>
        <v/>
      </c>
      <c r="C468">
        <f>IFERROR(VLOOKUP(A468,observations_series_id_PCU22112222112243_api_key_ecc133893ea92a842ee685c73424608[],2,FALSE),"")</f>
        <v>106.8</v>
      </c>
      <c r="D468" s="2">
        <f>IFERROR(VLOOKUP(A468,observations_series_id_PCU22112222112243_api_key_ecc133893ea92a842ee685c73424608[],3,FALSE),"")</f>
        <v>0.8370786516853933</v>
      </c>
      <c r="E468" t="str">
        <f>IFERROR(VLOOKUP($A468,observations_series_id_WPU0613020T_api_key_ecc133893ea92a842ee685c734246086_file[],2,FALSE),"")</f>
        <v/>
      </c>
      <c r="F468" s="2" t="str">
        <f>IFERROR(VLOOKUP($A468,observations_series_id_WPU0613020T_api_key_ecc133893ea92a842ee685c734246086_file[],3,FALSE),"")</f>
        <v/>
      </c>
      <c r="G468" t="str">
        <f>IFERROR(VLOOKUP($A468,observations_series_id_PCU22122212_api_key_ecc133893ea92a842ee685c734246086_file[],2,FALSE),"")</f>
        <v/>
      </c>
      <c r="H468" s="2" t="str">
        <f>IFERROR(VLOOKUP($A468,observations_series_id_PCU22122212_api_key_ecc133893ea92a842ee685c734246086_file[],3,FALSE),"")</f>
        <v/>
      </c>
      <c r="I468">
        <f>IFERROR(VLOOKUP($A468,observations_series_id_PCU3241913241910_api_key_ecc133893ea92a842ee685c734246086[],2,FALSE),"")</f>
        <v>161.1</v>
      </c>
      <c r="J468" s="2">
        <f>IFERROR(VLOOKUP($A468,observations_series_id_PCU3241913241910_api_key_ecc133893ea92a842ee685c734246086[],3,FALSE),"")</f>
        <v>0.68094351334574799</v>
      </c>
      <c r="K468">
        <f>IFERROR(VLOOKUP($A468,observations_series_id_EXJPUS_api_key_ecc133893ea92a842ee685c734246086_file_type[],2,FALSE),"")</f>
        <v>112.2958</v>
      </c>
      <c r="L468" s="2">
        <f>IFERROR(VLOOKUP($A468,observations_series_id_EXJPUS_api_key_ecc133893ea92a842ee685c734246086_file_type[],3,FALSE),"")</f>
        <v>-2.1881869134909762</v>
      </c>
      <c r="M468" t="str">
        <f>IFERROR(AVERAGEIFS(timeseries_access_key_fqeas14oitk235763mntlb1c0brnk9w3fenzqbk313q5kvxyf52kukw1pa[Value.LME-ZNC],timeseries_access_key_fqeas14oitk235763mntlb1c0brnk9w3fenzqbk313q5kvxyf52kukw1pa[Month],MONTH(Data!$A468),timeseries_access_key_fqeas14oitk235763mntlb1c0brnk9w3fenzqbk313q5kvxyf52kukw1pa[Year],YEAR(Data!$A468)),"")</f>
        <v/>
      </c>
      <c r="N468" s="2" t="str">
        <f>IFERROR(AVERAGEIFS(timeseries_access_key_fqeas14oitk235763mntlb1c0brnk9w3fenzqbk313q5kvxyf52kukw1pa[Column1],timeseries_access_key_fqeas14oitk235763mntlb1c0brnk9w3fenzqbk313q5kvxyf52kukw1pa[Month],MONTH(Data!$A468),timeseries_access_key_fqeas14oitk235763mntlb1c0brnk9w3fenzqbk313q5kvxyf52kukw1pa[Year],YEAR(Data!$A468)),"")</f>
        <v/>
      </c>
      <c r="O468" s="8" t="str">
        <f>IFERROR(VLOOKUP($A468,Text_1_2[[Text.1.1.3]:[Text.1.3]],2,FALSE),"")</f>
        <v/>
      </c>
      <c r="P468" s="2"/>
    </row>
    <row r="469" spans="1:16" x14ac:dyDescent="0.25">
      <c r="A469" s="1">
        <v>35400</v>
      </c>
      <c r="B469" t="str">
        <f>HLOOKUP(Dashboard!$I$27,results,ROW(A469),FALSE)</f>
        <v/>
      </c>
      <c r="C469">
        <f>IFERROR(VLOOKUP(A469,observations_series_id_PCU22112222112243_api_key_ecc133893ea92a842ee685c73424608[],2,FALSE),"")</f>
        <v>107.4</v>
      </c>
      <c r="D469" s="2">
        <f>IFERROR(VLOOKUP(A469,observations_series_id_PCU22112222112243_api_key_ecc133893ea92a842ee685c73424608[],3,FALSE),"")</f>
        <v>0.83798882681564246</v>
      </c>
      <c r="E469" t="str">
        <f>IFERROR(VLOOKUP($A469,observations_series_id_WPU0613020T_api_key_ecc133893ea92a842ee685c734246086_file[],2,FALSE),"")</f>
        <v/>
      </c>
      <c r="F469" s="2" t="str">
        <f>IFERROR(VLOOKUP($A469,observations_series_id_WPU0613020T_api_key_ecc133893ea92a842ee685c734246086_file[],3,FALSE),"")</f>
        <v/>
      </c>
      <c r="G469" t="str">
        <f>IFERROR(VLOOKUP($A469,observations_series_id_PCU22122212_api_key_ecc133893ea92a842ee685c734246086_file[],2,FALSE),"")</f>
        <v/>
      </c>
      <c r="H469" s="2" t="str">
        <f>IFERROR(VLOOKUP($A469,observations_series_id_PCU22122212_api_key_ecc133893ea92a842ee685c734246086_file[],3,FALSE),"")</f>
        <v/>
      </c>
      <c r="I469">
        <f>IFERROR(VLOOKUP($A469,observations_series_id_PCU3241913241910_api_key_ecc133893ea92a842ee685c734246086[],2,FALSE),"")</f>
        <v>161.30000000000001</v>
      </c>
      <c r="J469" s="2">
        <f>IFERROR(VLOOKUP($A469,observations_series_id_PCU3241913241910_api_key_ecc133893ea92a842ee685c734246086[],3,FALSE),"")</f>
        <v>0.6813391196528209</v>
      </c>
      <c r="K469">
        <f>IFERROR(VLOOKUP($A469,observations_series_id_EXJPUS_api_key_ecc133893ea92a842ee685c734246086_file_type[],2,FALSE),"")</f>
        <v>113.98099999999999</v>
      </c>
      <c r="L469" s="2">
        <f>IFERROR(VLOOKUP($A469,observations_series_id_EXJPUS_api_key_ecc133893ea92a842ee685c734246086_file_type[],3,FALSE),"")</f>
        <v>-2.1410498240934892</v>
      </c>
      <c r="M469" t="str">
        <f>IFERROR(AVERAGEIFS(timeseries_access_key_fqeas14oitk235763mntlb1c0brnk9w3fenzqbk313q5kvxyf52kukw1pa[Value.LME-ZNC],timeseries_access_key_fqeas14oitk235763mntlb1c0brnk9w3fenzqbk313q5kvxyf52kukw1pa[Month],MONTH(Data!$A469),timeseries_access_key_fqeas14oitk235763mntlb1c0brnk9w3fenzqbk313q5kvxyf52kukw1pa[Year],YEAR(Data!$A469)),"")</f>
        <v/>
      </c>
      <c r="N469" s="2" t="str">
        <f>IFERROR(AVERAGEIFS(timeseries_access_key_fqeas14oitk235763mntlb1c0brnk9w3fenzqbk313q5kvxyf52kukw1pa[Column1],timeseries_access_key_fqeas14oitk235763mntlb1c0brnk9w3fenzqbk313q5kvxyf52kukw1pa[Month],MONTH(Data!$A469),timeseries_access_key_fqeas14oitk235763mntlb1c0brnk9w3fenzqbk313q5kvxyf52kukw1pa[Year],YEAR(Data!$A469)),"")</f>
        <v/>
      </c>
      <c r="O469" s="8" t="str">
        <f>IFERROR(VLOOKUP($A469,Text_1_2[[Text.1.1.3]:[Text.1.3]],2,FALSE),"")</f>
        <v/>
      </c>
      <c r="P469" s="2"/>
    </row>
    <row r="470" spans="1:16" x14ac:dyDescent="0.25">
      <c r="A470" s="1">
        <v>35431</v>
      </c>
      <c r="B470" t="str">
        <f>HLOOKUP(Dashboard!$I$27,results,ROW(A470),FALSE)</f>
        <v/>
      </c>
      <c r="C470">
        <f>IFERROR(VLOOKUP(A470,observations_series_id_PCU22112222112243_api_key_ecc133893ea92a842ee685c73424608[],2,FALSE),"")</f>
        <v>107.9</v>
      </c>
      <c r="D470" s="2">
        <f>IFERROR(VLOOKUP(A470,observations_series_id_PCU22112222112243_api_key_ecc133893ea92a842ee685c73424608[],3,FALSE),"")</f>
        <v>0.83873957367933272</v>
      </c>
      <c r="E470" t="str">
        <f>IFERROR(VLOOKUP($A470,observations_series_id_WPU0613020T_api_key_ecc133893ea92a842ee685c734246086_file[],2,FALSE),"")</f>
        <v/>
      </c>
      <c r="F470" s="2" t="str">
        <f>IFERROR(VLOOKUP($A470,observations_series_id_WPU0613020T_api_key_ecc133893ea92a842ee685c734246086_file[],3,FALSE),"")</f>
        <v/>
      </c>
      <c r="G470" t="str">
        <f>IFERROR(VLOOKUP($A470,observations_series_id_PCU22122212_api_key_ecc133893ea92a842ee685c734246086_file[],2,FALSE),"")</f>
        <v/>
      </c>
      <c r="H470" s="2" t="str">
        <f>IFERROR(VLOOKUP($A470,observations_series_id_PCU22122212_api_key_ecc133893ea92a842ee685c734246086_file[],3,FALSE),"")</f>
        <v/>
      </c>
      <c r="I470">
        <f>IFERROR(VLOOKUP($A470,observations_series_id_PCU3241913241910_api_key_ecc133893ea92a842ee685c734246086[],2,FALSE),"")</f>
        <v>161.6</v>
      </c>
      <c r="J470" s="2">
        <f>IFERROR(VLOOKUP($A470,observations_series_id_PCU3241913241910_api_key_ecc133893ea92a842ee685c734246086[],3,FALSE),"")</f>
        <v>0.68193069306930698</v>
      </c>
      <c r="K470">
        <f>IFERROR(VLOOKUP($A470,observations_series_id_EXJPUS_api_key_ecc133893ea92a842ee685c734246086_file_type[],2,FALSE),"")</f>
        <v>117.91240000000001</v>
      </c>
      <c r="L470" s="2">
        <f>IFERROR(VLOOKUP($A470,observations_series_id_EXJPUS_api_key_ecc133893ea92a842ee685c734246086_file_type[],3,FALSE),"")</f>
        <v>-2.0363218796326761</v>
      </c>
      <c r="M470" t="str">
        <f>IFERROR(AVERAGEIFS(timeseries_access_key_fqeas14oitk235763mntlb1c0brnk9w3fenzqbk313q5kvxyf52kukw1pa[Value.LME-ZNC],timeseries_access_key_fqeas14oitk235763mntlb1c0brnk9w3fenzqbk313q5kvxyf52kukw1pa[Month],MONTH(Data!$A470),timeseries_access_key_fqeas14oitk235763mntlb1c0brnk9w3fenzqbk313q5kvxyf52kukw1pa[Year],YEAR(Data!$A470)),"")</f>
        <v/>
      </c>
      <c r="N470" s="2" t="str">
        <f>IFERROR(AVERAGEIFS(timeseries_access_key_fqeas14oitk235763mntlb1c0brnk9w3fenzqbk313q5kvxyf52kukw1pa[Column1],timeseries_access_key_fqeas14oitk235763mntlb1c0brnk9w3fenzqbk313q5kvxyf52kukw1pa[Month],MONTH(Data!$A470),timeseries_access_key_fqeas14oitk235763mntlb1c0brnk9w3fenzqbk313q5kvxyf52kukw1pa[Year],YEAR(Data!$A470)),"")</f>
        <v/>
      </c>
      <c r="O470" s="8">
        <f>IFERROR(VLOOKUP($A470,Text_1_2[[Text.1.1.3]:[Text.1.3]],2,FALSE),"")</f>
        <v>22100</v>
      </c>
      <c r="P470" s="2"/>
    </row>
    <row r="471" spans="1:16" x14ac:dyDescent="0.25">
      <c r="A471" s="1">
        <v>35462</v>
      </c>
      <c r="B471" t="str">
        <f>HLOOKUP(Dashboard!$I$27,results,ROW(A471),FALSE)</f>
        <v/>
      </c>
      <c r="C471">
        <f>IFERROR(VLOOKUP(A471,observations_series_id_PCU22112222112243_api_key_ecc133893ea92a842ee685c73424608[],2,FALSE),"")</f>
        <v>107.7</v>
      </c>
      <c r="D471" s="2">
        <f>IFERROR(VLOOKUP(A471,observations_series_id_PCU22112222112243_api_key_ecc133893ea92a842ee685c73424608[],3,FALSE),"")</f>
        <v>0.83844011142061281</v>
      </c>
      <c r="E471" t="str">
        <f>IFERROR(VLOOKUP($A471,observations_series_id_WPU0613020T_api_key_ecc133893ea92a842ee685c734246086_file[],2,FALSE),"")</f>
        <v/>
      </c>
      <c r="F471" s="2" t="str">
        <f>IFERROR(VLOOKUP($A471,observations_series_id_WPU0613020T_api_key_ecc133893ea92a842ee685c734246086_file[],3,FALSE),"")</f>
        <v/>
      </c>
      <c r="G471" t="str">
        <f>IFERROR(VLOOKUP($A471,observations_series_id_PCU22122212_api_key_ecc133893ea92a842ee685c734246086_file[],2,FALSE),"")</f>
        <v/>
      </c>
      <c r="H471" s="2" t="str">
        <f>IFERROR(VLOOKUP($A471,observations_series_id_PCU22122212_api_key_ecc133893ea92a842ee685c734246086_file[],3,FALSE),"")</f>
        <v/>
      </c>
      <c r="I471">
        <f>IFERROR(VLOOKUP($A471,observations_series_id_PCU3241913241910_api_key_ecc133893ea92a842ee685c734246086[],2,FALSE),"")</f>
        <v>161.6</v>
      </c>
      <c r="J471" s="2">
        <f>IFERROR(VLOOKUP($A471,observations_series_id_PCU3241913241910_api_key_ecc133893ea92a842ee685c734246086[],3,FALSE),"")</f>
        <v>0.68193069306930698</v>
      </c>
      <c r="K471">
        <f>IFERROR(VLOOKUP($A471,observations_series_id_EXJPUS_api_key_ecc133893ea92a842ee685c734246086_file_type[],2,FALSE),"")</f>
        <v>122.96210000000001</v>
      </c>
      <c r="L471" s="2">
        <f>IFERROR(VLOOKUP($A471,observations_series_id_EXJPUS_api_key_ecc133893ea92a842ee685c734246086_file_type[],3,FALSE),"")</f>
        <v>-1.9116288677568125</v>
      </c>
      <c r="M471" t="str">
        <f>IFERROR(AVERAGEIFS(timeseries_access_key_fqeas14oitk235763mntlb1c0brnk9w3fenzqbk313q5kvxyf52kukw1pa[Value.LME-ZNC],timeseries_access_key_fqeas14oitk235763mntlb1c0brnk9w3fenzqbk313q5kvxyf52kukw1pa[Month],MONTH(Data!$A471),timeseries_access_key_fqeas14oitk235763mntlb1c0brnk9w3fenzqbk313q5kvxyf52kukw1pa[Year],YEAR(Data!$A471)),"")</f>
        <v/>
      </c>
      <c r="N471" s="2" t="str">
        <f>IFERROR(AVERAGEIFS(timeseries_access_key_fqeas14oitk235763mntlb1c0brnk9w3fenzqbk313q5kvxyf52kukw1pa[Column1],timeseries_access_key_fqeas14oitk235763mntlb1c0brnk9w3fenzqbk313q5kvxyf52kukw1pa[Month],MONTH(Data!$A471),timeseries_access_key_fqeas14oitk235763mntlb1c0brnk9w3fenzqbk313q5kvxyf52kukw1pa[Year],YEAR(Data!$A471)),"")</f>
        <v/>
      </c>
      <c r="O471" s="8" t="str">
        <f>IFERROR(VLOOKUP($A471,Text_1_2[[Text.1.1.3]:[Text.1.3]],2,FALSE),"")</f>
        <v/>
      </c>
      <c r="P471" s="2"/>
    </row>
    <row r="472" spans="1:16" x14ac:dyDescent="0.25">
      <c r="A472" s="1">
        <v>35490</v>
      </c>
      <c r="B472" t="str">
        <f>HLOOKUP(Dashboard!$I$27,results,ROW(A472),FALSE)</f>
        <v/>
      </c>
      <c r="C472">
        <f>IFERROR(VLOOKUP(A472,observations_series_id_PCU22112222112243_api_key_ecc133893ea92a842ee685c73424608[],2,FALSE),"")</f>
        <v>107.8</v>
      </c>
      <c r="D472" s="2">
        <f>IFERROR(VLOOKUP(A472,observations_series_id_PCU22112222112243_api_key_ecc133893ea92a842ee685c73424608[],3,FALSE),"")</f>
        <v>0.83858998144712427</v>
      </c>
      <c r="E472" t="str">
        <f>IFERROR(VLOOKUP($A472,observations_series_id_WPU0613020T_api_key_ecc133893ea92a842ee685c734246086_file[],2,FALSE),"")</f>
        <v/>
      </c>
      <c r="F472" s="2" t="str">
        <f>IFERROR(VLOOKUP($A472,observations_series_id_WPU0613020T_api_key_ecc133893ea92a842ee685c734246086_file[],3,FALSE),"")</f>
        <v/>
      </c>
      <c r="G472" t="str">
        <f>IFERROR(VLOOKUP($A472,observations_series_id_PCU22122212_api_key_ecc133893ea92a842ee685c734246086_file[],2,FALSE),"")</f>
        <v/>
      </c>
      <c r="H472" s="2" t="str">
        <f>IFERROR(VLOOKUP($A472,observations_series_id_PCU22122212_api_key_ecc133893ea92a842ee685c734246086_file[],3,FALSE),"")</f>
        <v/>
      </c>
      <c r="I472">
        <f>IFERROR(VLOOKUP($A472,observations_series_id_PCU3241913241910_api_key_ecc133893ea92a842ee685c734246086[],2,FALSE),"")</f>
        <v>161</v>
      </c>
      <c r="J472" s="2">
        <f>IFERROR(VLOOKUP($A472,observations_series_id_PCU3241913241910_api_key_ecc133893ea92a842ee685c734246086[],3,FALSE),"")</f>
        <v>0.68074534161490685</v>
      </c>
      <c r="K472">
        <f>IFERROR(VLOOKUP($A472,observations_series_id_EXJPUS_api_key_ecc133893ea92a842ee685c734246086_file_type[],2,FALSE),"")</f>
        <v>122.77379999999999</v>
      </c>
      <c r="L472" s="2">
        <f>IFERROR(VLOOKUP($A472,observations_series_id_EXJPUS_api_key_ecc133893ea92a842ee685c734246086_file_type[],3,FALSE),"")</f>
        <v>-1.9160944761830292</v>
      </c>
      <c r="M472" t="str">
        <f>IFERROR(AVERAGEIFS(timeseries_access_key_fqeas14oitk235763mntlb1c0brnk9w3fenzqbk313q5kvxyf52kukw1pa[Value.LME-ZNC],timeseries_access_key_fqeas14oitk235763mntlb1c0brnk9w3fenzqbk313q5kvxyf52kukw1pa[Month],MONTH(Data!$A472),timeseries_access_key_fqeas14oitk235763mntlb1c0brnk9w3fenzqbk313q5kvxyf52kukw1pa[Year],YEAR(Data!$A472)),"")</f>
        <v/>
      </c>
      <c r="N472" s="2" t="str">
        <f>IFERROR(AVERAGEIFS(timeseries_access_key_fqeas14oitk235763mntlb1c0brnk9w3fenzqbk313q5kvxyf52kukw1pa[Column1],timeseries_access_key_fqeas14oitk235763mntlb1c0brnk9w3fenzqbk313q5kvxyf52kukw1pa[Month],MONTH(Data!$A472),timeseries_access_key_fqeas14oitk235763mntlb1c0brnk9w3fenzqbk313q5kvxyf52kukw1pa[Year],YEAR(Data!$A472)),"")</f>
        <v/>
      </c>
      <c r="O472" s="8" t="str">
        <f>IFERROR(VLOOKUP($A472,Text_1_2[[Text.1.1.3]:[Text.1.3]],2,FALSE),"")</f>
        <v/>
      </c>
      <c r="P472" s="2"/>
    </row>
    <row r="473" spans="1:16" x14ac:dyDescent="0.25">
      <c r="A473" s="1">
        <v>35521</v>
      </c>
      <c r="B473" t="str">
        <f>HLOOKUP(Dashboard!$I$27,results,ROW(A473),FALSE)</f>
        <v/>
      </c>
      <c r="C473">
        <f>IFERROR(VLOOKUP(A473,observations_series_id_PCU22112222112243_api_key_ecc133893ea92a842ee685c73424608[],2,FALSE),"")</f>
        <v>107.1</v>
      </c>
      <c r="D473" s="2">
        <f>IFERROR(VLOOKUP(A473,observations_series_id_PCU22112222112243_api_key_ecc133893ea92a842ee685c73424608[],3,FALSE),"")</f>
        <v>0.83753501400560226</v>
      </c>
      <c r="E473" t="str">
        <f>IFERROR(VLOOKUP($A473,observations_series_id_WPU0613020T_api_key_ecc133893ea92a842ee685c734246086_file[],2,FALSE),"")</f>
        <v/>
      </c>
      <c r="F473" s="2" t="str">
        <f>IFERROR(VLOOKUP($A473,observations_series_id_WPU0613020T_api_key_ecc133893ea92a842ee685c734246086_file[],3,FALSE),"")</f>
        <v/>
      </c>
      <c r="G473" t="str">
        <f>IFERROR(VLOOKUP($A473,observations_series_id_PCU22122212_api_key_ecc133893ea92a842ee685c734246086_file[],2,FALSE),"")</f>
        <v/>
      </c>
      <c r="H473" s="2" t="str">
        <f>IFERROR(VLOOKUP($A473,observations_series_id_PCU22122212_api_key_ecc133893ea92a842ee685c734246086_file[],3,FALSE),"")</f>
        <v/>
      </c>
      <c r="I473">
        <f>IFERROR(VLOOKUP($A473,observations_series_id_PCU3241913241910_api_key_ecc133893ea92a842ee685c734246086[],2,FALSE),"")</f>
        <v>160.80000000000001</v>
      </c>
      <c r="J473" s="2">
        <f>IFERROR(VLOOKUP($A473,observations_series_id_PCU3241913241910_api_key_ecc133893ea92a842ee685c734246086[],3,FALSE),"")</f>
        <v>0.68034825870646776</v>
      </c>
      <c r="K473">
        <f>IFERROR(VLOOKUP($A473,observations_series_id_EXJPUS_api_key_ecc133893ea92a842ee685c734246086_file_type[],2,FALSE),"")</f>
        <v>125.6377</v>
      </c>
      <c r="L473" s="2">
        <f>IFERROR(VLOOKUP($A473,observations_series_id_EXJPUS_api_key_ecc133893ea92a842ee685c734246086_file_type[],3,FALSE),"")</f>
        <v>-1.8496223665348857</v>
      </c>
      <c r="M473" t="str">
        <f>IFERROR(AVERAGEIFS(timeseries_access_key_fqeas14oitk235763mntlb1c0brnk9w3fenzqbk313q5kvxyf52kukw1pa[Value.LME-ZNC],timeseries_access_key_fqeas14oitk235763mntlb1c0brnk9w3fenzqbk313q5kvxyf52kukw1pa[Month],MONTH(Data!$A473),timeseries_access_key_fqeas14oitk235763mntlb1c0brnk9w3fenzqbk313q5kvxyf52kukw1pa[Year],YEAR(Data!$A473)),"")</f>
        <v/>
      </c>
      <c r="N473" s="2" t="str">
        <f>IFERROR(AVERAGEIFS(timeseries_access_key_fqeas14oitk235763mntlb1c0brnk9w3fenzqbk313q5kvxyf52kukw1pa[Column1],timeseries_access_key_fqeas14oitk235763mntlb1c0brnk9w3fenzqbk313q5kvxyf52kukw1pa[Month],MONTH(Data!$A473),timeseries_access_key_fqeas14oitk235763mntlb1c0brnk9w3fenzqbk313q5kvxyf52kukw1pa[Year],YEAR(Data!$A473)),"")</f>
        <v/>
      </c>
      <c r="O473" s="8">
        <f>IFERROR(VLOOKUP($A473,Text_1_2[[Text.1.1.3]:[Text.1.3]],2,FALSE),"")</f>
        <v>21100</v>
      </c>
      <c r="P473" s="2"/>
    </row>
    <row r="474" spans="1:16" x14ac:dyDescent="0.25">
      <c r="A474" s="1">
        <v>35551</v>
      </c>
      <c r="B474" t="str">
        <f>HLOOKUP(Dashboard!$I$27,results,ROW(A474),FALSE)</f>
        <v/>
      </c>
      <c r="C474">
        <f>IFERROR(VLOOKUP(A474,observations_series_id_PCU22112222112243_api_key_ecc133893ea92a842ee685c73424608[],2,FALSE),"")</f>
        <v>109.1</v>
      </c>
      <c r="D474" s="2">
        <f>IFERROR(VLOOKUP(A474,observations_series_id_PCU22112222112243_api_key_ecc133893ea92a842ee685c73424608[],3,FALSE),"")</f>
        <v>0.84051329055912005</v>
      </c>
      <c r="E474" t="str">
        <f>IFERROR(VLOOKUP($A474,observations_series_id_WPU0613020T_api_key_ecc133893ea92a842ee685c734246086_file[],2,FALSE),"")</f>
        <v/>
      </c>
      <c r="F474" s="2" t="str">
        <f>IFERROR(VLOOKUP($A474,observations_series_id_WPU0613020T_api_key_ecc133893ea92a842ee685c734246086_file[],3,FALSE),"")</f>
        <v/>
      </c>
      <c r="G474" t="str">
        <f>IFERROR(VLOOKUP($A474,observations_series_id_PCU22122212_api_key_ecc133893ea92a842ee685c734246086_file[],2,FALSE),"")</f>
        <v/>
      </c>
      <c r="H474" s="2" t="str">
        <f>IFERROR(VLOOKUP($A474,observations_series_id_PCU22122212_api_key_ecc133893ea92a842ee685c734246086_file[],3,FALSE),"")</f>
        <v/>
      </c>
      <c r="I474">
        <f>IFERROR(VLOOKUP($A474,observations_series_id_PCU3241913241910_api_key_ecc133893ea92a842ee685c734246086[],2,FALSE),"")</f>
        <v>161.4</v>
      </c>
      <c r="J474" s="2">
        <f>IFERROR(VLOOKUP($A474,observations_series_id_PCU3241913241910_api_key_ecc133893ea92a842ee685c734246086[],3,FALSE),"")</f>
        <v>0.68153655514250311</v>
      </c>
      <c r="K474">
        <f>IFERROR(VLOOKUP($A474,observations_series_id_EXJPUS_api_key_ecc133893ea92a842ee685c734246086_file_type[],2,FALSE),"")</f>
        <v>119.19240000000001</v>
      </c>
      <c r="L474" s="2">
        <f>IFERROR(VLOOKUP($A474,observations_series_id_EXJPUS_api_key_ecc133893ea92a842ee685c734246086_file_type[],3,FALSE),"")</f>
        <v>-2.003715001963212</v>
      </c>
      <c r="M474" t="str">
        <f>IFERROR(AVERAGEIFS(timeseries_access_key_fqeas14oitk235763mntlb1c0brnk9w3fenzqbk313q5kvxyf52kukw1pa[Value.LME-ZNC],timeseries_access_key_fqeas14oitk235763mntlb1c0brnk9w3fenzqbk313q5kvxyf52kukw1pa[Month],MONTH(Data!$A474),timeseries_access_key_fqeas14oitk235763mntlb1c0brnk9w3fenzqbk313q5kvxyf52kukw1pa[Year],YEAR(Data!$A474)),"")</f>
        <v/>
      </c>
      <c r="N474" s="2" t="str">
        <f>IFERROR(AVERAGEIFS(timeseries_access_key_fqeas14oitk235763mntlb1c0brnk9w3fenzqbk313q5kvxyf52kukw1pa[Column1],timeseries_access_key_fqeas14oitk235763mntlb1c0brnk9w3fenzqbk313q5kvxyf52kukw1pa[Month],MONTH(Data!$A474),timeseries_access_key_fqeas14oitk235763mntlb1c0brnk9w3fenzqbk313q5kvxyf52kukw1pa[Year],YEAR(Data!$A474)),"")</f>
        <v/>
      </c>
      <c r="O474" s="8" t="str">
        <f>IFERROR(VLOOKUP($A474,Text_1_2[[Text.1.1.3]:[Text.1.3]],2,FALSE),"")</f>
        <v/>
      </c>
      <c r="P474" s="2"/>
    </row>
    <row r="475" spans="1:16" x14ac:dyDescent="0.25">
      <c r="A475" s="1">
        <v>35582</v>
      </c>
      <c r="B475" t="str">
        <f>HLOOKUP(Dashboard!$I$27,results,ROW(A475),FALSE)</f>
        <v/>
      </c>
      <c r="C475">
        <f>IFERROR(VLOOKUP(A475,observations_series_id_PCU22112222112243_api_key_ecc133893ea92a842ee685c73424608[],2,FALSE),"")</f>
        <v>113.6</v>
      </c>
      <c r="D475" s="2">
        <f>IFERROR(VLOOKUP(A475,observations_series_id_PCU22112222112243_api_key_ecc133893ea92a842ee685c73424608[],3,FALSE),"")</f>
        <v>0.846830985915493</v>
      </c>
      <c r="E475" t="str">
        <f>IFERROR(VLOOKUP($A475,observations_series_id_WPU0613020T_api_key_ecc133893ea92a842ee685c734246086_file[],2,FALSE),"")</f>
        <v/>
      </c>
      <c r="F475" s="2" t="str">
        <f>IFERROR(VLOOKUP($A475,observations_series_id_WPU0613020T_api_key_ecc133893ea92a842ee685c734246086_file[],3,FALSE),"")</f>
        <v/>
      </c>
      <c r="G475" t="str">
        <f>IFERROR(VLOOKUP($A475,observations_series_id_PCU22122212_api_key_ecc133893ea92a842ee685c734246086_file[],2,FALSE),"")</f>
        <v/>
      </c>
      <c r="H475" s="2" t="str">
        <f>IFERROR(VLOOKUP($A475,observations_series_id_PCU22122212_api_key_ecc133893ea92a842ee685c734246086_file[],3,FALSE),"")</f>
        <v/>
      </c>
      <c r="I475">
        <f>IFERROR(VLOOKUP($A475,observations_series_id_PCU3241913241910_api_key_ecc133893ea92a842ee685c734246086[],2,FALSE),"")</f>
        <v>160.80000000000001</v>
      </c>
      <c r="J475" s="2">
        <f>IFERROR(VLOOKUP($A475,observations_series_id_PCU3241913241910_api_key_ecc133893ea92a842ee685c734246086[],3,FALSE),"")</f>
        <v>0.68034825870646776</v>
      </c>
      <c r="K475">
        <f>IFERROR(VLOOKUP($A475,observations_series_id_EXJPUS_api_key_ecc133893ea92a842ee685c734246086_file_type[],2,FALSE),"")</f>
        <v>114.28570000000001</v>
      </c>
      <c r="L475" s="2">
        <f>IFERROR(VLOOKUP($A475,observations_series_id_EXJPUS_api_key_ecc133893ea92a842ee685c734246086_file_type[],3,FALSE),"")</f>
        <v>-2.1326753915844234</v>
      </c>
      <c r="M475" t="str">
        <f>IFERROR(AVERAGEIFS(timeseries_access_key_fqeas14oitk235763mntlb1c0brnk9w3fenzqbk313q5kvxyf52kukw1pa[Value.LME-ZNC],timeseries_access_key_fqeas14oitk235763mntlb1c0brnk9w3fenzqbk313q5kvxyf52kukw1pa[Month],MONTH(Data!$A475),timeseries_access_key_fqeas14oitk235763mntlb1c0brnk9w3fenzqbk313q5kvxyf52kukw1pa[Year],YEAR(Data!$A475)),"")</f>
        <v/>
      </c>
      <c r="N475" s="2" t="str">
        <f>IFERROR(AVERAGEIFS(timeseries_access_key_fqeas14oitk235763mntlb1c0brnk9w3fenzqbk313q5kvxyf52kukw1pa[Column1],timeseries_access_key_fqeas14oitk235763mntlb1c0brnk9w3fenzqbk313q5kvxyf52kukw1pa[Month],MONTH(Data!$A475),timeseries_access_key_fqeas14oitk235763mntlb1c0brnk9w3fenzqbk313q5kvxyf52kukw1pa[Year],YEAR(Data!$A475)),"")</f>
        <v/>
      </c>
      <c r="O475" s="8" t="str">
        <f>IFERROR(VLOOKUP($A475,Text_1_2[[Text.1.1.3]:[Text.1.3]],2,FALSE),"")</f>
        <v/>
      </c>
      <c r="P475" s="2"/>
    </row>
    <row r="476" spans="1:16" x14ac:dyDescent="0.25">
      <c r="A476" s="1">
        <v>35612</v>
      </c>
      <c r="B476" t="str">
        <f>HLOOKUP(Dashboard!$I$27,results,ROW(A476),FALSE)</f>
        <v/>
      </c>
      <c r="C476">
        <f>IFERROR(VLOOKUP(A476,observations_series_id_PCU22112222112243_api_key_ecc133893ea92a842ee685c73424608[],2,FALSE),"")</f>
        <v>114.3</v>
      </c>
      <c r="D476" s="2">
        <f>IFERROR(VLOOKUP(A476,observations_series_id_PCU22112222112243_api_key_ecc133893ea92a842ee685c73424608[],3,FALSE),"")</f>
        <v>0.84776902887139105</v>
      </c>
      <c r="E476" t="str">
        <f>IFERROR(VLOOKUP($A476,observations_series_id_WPU0613020T_api_key_ecc133893ea92a842ee685c734246086_file[],2,FALSE),"")</f>
        <v/>
      </c>
      <c r="F476" s="2" t="str">
        <f>IFERROR(VLOOKUP($A476,observations_series_id_WPU0613020T_api_key_ecc133893ea92a842ee685c734246086_file[],3,FALSE),"")</f>
        <v/>
      </c>
      <c r="G476" t="str">
        <f>IFERROR(VLOOKUP($A476,observations_series_id_PCU22122212_api_key_ecc133893ea92a842ee685c734246086_file[],2,FALSE),"")</f>
        <v/>
      </c>
      <c r="H476" s="2" t="str">
        <f>IFERROR(VLOOKUP($A476,observations_series_id_PCU22122212_api_key_ecc133893ea92a842ee685c734246086_file[],3,FALSE),"")</f>
        <v/>
      </c>
      <c r="I476">
        <f>IFERROR(VLOOKUP($A476,observations_series_id_PCU3241913241910_api_key_ecc133893ea92a842ee685c734246086[],2,FALSE),"")</f>
        <v>160.9</v>
      </c>
      <c r="J476" s="2">
        <f>IFERROR(VLOOKUP($A476,observations_series_id_PCU3241913241910_api_key_ecc133893ea92a842ee685c734246086[],3,FALSE),"")</f>
        <v>0.68054692355500312</v>
      </c>
      <c r="K476">
        <f>IFERROR(VLOOKUP($A476,observations_series_id_EXJPUS_api_key_ecc133893ea92a842ee685c734246086_file_type[],2,FALSE),"")</f>
        <v>115.3759</v>
      </c>
      <c r="L476" s="2">
        <f>IFERROR(VLOOKUP($A476,observations_series_id_EXJPUS_api_key_ecc133893ea92a842ee685c734246086_file_type[],3,FALSE),"")</f>
        <v>-2.1030743855519218</v>
      </c>
      <c r="M476" t="str">
        <f>IFERROR(AVERAGEIFS(timeseries_access_key_fqeas14oitk235763mntlb1c0brnk9w3fenzqbk313q5kvxyf52kukw1pa[Value.LME-ZNC],timeseries_access_key_fqeas14oitk235763mntlb1c0brnk9w3fenzqbk313q5kvxyf52kukw1pa[Month],MONTH(Data!$A476),timeseries_access_key_fqeas14oitk235763mntlb1c0brnk9w3fenzqbk313q5kvxyf52kukw1pa[Year],YEAR(Data!$A476)),"")</f>
        <v/>
      </c>
      <c r="N476" s="2" t="str">
        <f>IFERROR(AVERAGEIFS(timeseries_access_key_fqeas14oitk235763mntlb1c0brnk9w3fenzqbk313q5kvxyf52kukw1pa[Column1],timeseries_access_key_fqeas14oitk235763mntlb1c0brnk9w3fenzqbk313q5kvxyf52kukw1pa[Month],MONTH(Data!$A476),timeseries_access_key_fqeas14oitk235763mntlb1c0brnk9w3fenzqbk313q5kvxyf52kukw1pa[Year],YEAR(Data!$A476)),"")</f>
        <v/>
      </c>
      <c r="O476" s="8">
        <f>IFERROR(VLOOKUP($A476,Text_1_2[[Text.1.1.3]:[Text.1.3]],2,FALSE),"")</f>
        <v>19200</v>
      </c>
      <c r="P476" s="2"/>
    </row>
    <row r="477" spans="1:16" x14ac:dyDescent="0.25">
      <c r="A477" s="1">
        <v>35643</v>
      </c>
      <c r="B477" t="str">
        <f>HLOOKUP(Dashboard!$I$27,results,ROW(A477),FALSE)</f>
        <v/>
      </c>
      <c r="C477">
        <f>IFERROR(VLOOKUP(A477,observations_series_id_PCU22112222112243_api_key_ecc133893ea92a842ee685c73424608[],2,FALSE),"")</f>
        <v>113.2</v>
      </c>
      <c r="D477" s="2">
        <f>IFERROR(VLOOKUP(A477,observations_series_id_PCU22112222112243_api_key_ecc133893ea92a842ee685c73424608[],3,FALSE),"")</f>
        <v>0.8462897526501767</v>
      </c>
      <c r="E477" t="str">
        <f>IFERROR(VLOOKUP($A477,observations_series_id_WPU0613020T_api_key_ecc133893ea92a842ee685c734246086_file[],2,FALSE),"")</f>
        <v/>
      </c>
      <c r="F477" s="2" t="str">
        <f>IFERROR(VLOOKUP($A477,observations_series_id_WPU0613020T_api_key_ecc133893ea92a842ee685c734246086_file[],3,FALSE),"")</f>
        <v/>
      </c>
      <c r="G477" t="str">
        <f>IFERROR(VLOOKUP($A477,observations_series_id_PCU22122212_api_key_ecc133893ea92a842ee685c734246086_file[],2,FALSE),"")</f>
        <v/>
      </c>
      <c r="H477" s="2" t="str">
        <f>IFERROR(VLOOKUP($A477,observations_series_id_PCU22122212_api_key_ecc133893ea92a842ee685c734246086_file[],3,FALSE),"")</f>
        <v/>
      </c>
      <c r="I477">
        <f>IFERROR(VLOOKUP($A477,observations_series_id_PCU3241913241910_api_key_ecc133893ea92a842ee685c734246086[],2,FALSE),"")</f>
        <v>160.9</v>
      </c>
      <c r="J477" s="2">
        <f>IFERROR(VLOOKUP($A477,observations_series_id_PCU3241913241910_api_key_ecc133893ea92a842ee685c734246086[],3,FALSE),"")</f>
        <v>0.68054692355500312</v>
      </c>
      <c r="K477">
        <f>IFERROR(VLOOKUP($A477,observations_series_id_EXJPUS_api_key_ecc133893ea92a842ee685c734246086_file_type[],2,FALSE),"")</f>
        <v>117.9295</v>
      </c>
      <c r="L477" s="2">
        <f>IFERROR(VLOOKUP($A477,observations_series_id_EXJPUS_api_key_ecc133893ea92a842ee685c734246086_file_type[],3,FALSE),"")</f>
        <v>-2.0358816072314387</v>
      </c>
      <c r="M477" t="str">
        <f>IFERROR(AVERAGEIFS(timeseries_access_key_fqeas14oitk235763mntlb1c0brnk9w3fenzqbk313q5kvxyf52kukw1pa[Value.LME-ZNC],timeseries_access_key_fqeas14oitk235763mntlb1c0brnk9w3fenzqbk313q5kvxyf52kukw1pa[Month],MONTH(Data!$A477),timeseries_access_key_fqeas14oitk235763mntlb1c0brnk9w3fenzqbk313q5kvxyf52kukw1pa[Year],YEAR(Data!$A477)),"")</f>
        <v/>
      </c>
      <c r="N477" s="2" t="str">
        <f>IFERROR(AVERAGEIFS(timeseries_access_key_fqeas14oitk235763mntlb1c0brnk9w3fenzqbk313q5kvxyf52kukw1pa[Column1],timeseries_access_key_fqeas14oitk235763mntlb1c0brnk9w3fenzqbk313q5kvxyf52kukw1pa[Month],MONTH(Data!$A477),timeseries_access_key_fqeas14oitk235763mntlb1c0brnk9w3fenzqbk313q5kvxyf52kukw1pa[Year],YEAR(Data!$A477)),"")</f>
        <v/>
      </c>
      <c r="O477" s="8" t="str">
        <f>IFERROR(VLOOKUP($A477,Text_1_2[[Text.1.1.3]:[Text.1.3]],2,FALSE),"")</f>
        <v/>
      </c>
      <c r="P477" s="2"/>
    </row>
    <row r="478" spans="1:16" x14ac:dyDescent="0.25">
      <c r="A478" s="1">
        <v>35674</v>
      </c>
      <c r="B478" t="str">
        <f>HLOOKUP(Dashboard!$I$27,results,ROW(A478),FALSE)</f>
        <v/>
      </c>
      <c r="C478">
        <f>IFERROR(VLOOKUP(A478,observations_series_id_PCU22112222112243_api_key_ecc133893ea92a842ee685c73424608[],2,FALSE),"")</f>
        <v>114.4</v>
      </c>
      <c r="D478" s="2">
        <f>IFERROR(VLOOKUP(A478,observations_series_id_PCU22112222112243_api_key_ecc133893ea92a842ee685c73424608[],3,FALSE),"")</f>
        <v>0.84790209790209792</v>
      </c>
      <c r="E478" t="str">
        <f>IFERROR(VLOOKUP($A478,observations_series_id_WPU0613020T_api_key_ecc133893ea92a842ee685c734246086_file[],2,FALSE),"")</f>
        <v/>
      </c>
      <c r="F478" s="2" t="str">
        <f>IFERROR(VLOOKUP($A478,observations_series_id_WPU0613020T_api_key_ecc133893ea92a842ee685c734246086_file[],3,FALSE),"")</f>
        <v/>
      </c>
      <c r="G478" t="str">
        <f>IFERROR(VLOOKUP($A478,observations_series_id_PCU22122212_api_key_ecc133893ea92a842ee685c734246086_file[],2,FALSE),"")</f>
        <v/>
      </c>
      <c r="H478" s="2" t="str">
        <f>IFERROR(VLOOKUP($A478,observations_series_id_PCU22122212_api_key_ecc133893ea92a842ee685c734246086_file[],3,FALSE),"")</f>
        <v/>
      </c>
      <c r="I478">
        <f>IFERROR(VLOOKUP($A478,observations_series_id_PCU3241913241910_api_key_ecc133893ea92a842ee685c734246086[],2,FALSE),"")</f>
        <v>161.6</v>
      </c>
      <c r="J478" s="2">
        <f>IFERROR(VLOOKUP($A478,observations_series_id_PCU3241913241910_api_key_ecc133893ea92a842ee685c734246086[],3,FALSE),"")</f>
        <v>0.68193069306930698</v>
      </c>
      <c r="K478">
        <f>IFERROR(VLOOKUP($A478,observations_series_id_EXJPUS_api_key_ecc133893ea92a842ee685c734246086_file_type[],2,FALSE),"")</f>
        <v>120.89</v>
      </c>
      <c r="L478" s="2">
        <f>IFERROR(VLOOKUP($A478,observations_series_id_EXJPUS_api_key_ecc133893ea92a842ee685c734246086_file_type[],3,FALSE),"")</f>
        <v>-1.9615352800066175</v>
      </c>
      <c r="M478" t="str">
        <f>IFERROR(AVERAGEIFS(timeseries_access_key_fqeas14oitk235763mntlb1c0brnk9w3fenzqbk313q5kvxyf52kukw1pa[Value.LME-ZNC],timeseries_access_key_fqeas14oitk235763mntlb1c0brnk9w3fenzqbk313q5kvxyf52kukw1pa[Month],MONTH(Data!$A478),timeseries_access_key_fqeas14oitk235763mntlb1c0brnk9w3fenzqbk313q5kvxyf52kukw1pa[Year],YEAR(Data!$A478)),"")</f>
        <v/>
      </c>
      <c r="N478" s="2" t="str">
        <f>IFERROR(AVERAGEIFS(timeseries_access_key_fqeas14oitk235763mntlb1c0brnk9w3fenzqbk313q5kvxyf52kukw1pa[Column1],timeseries_access_key_fqeas14oitk235763mntlb1c0brnk9w3fenzqbk313q5kvxyf52kukw1pa[Month],MONTH(Data!$A478),timeseries_access_key_fqeas14oitk235763mntlb1c0brnk9w3fenzqbk313q5kvxyf52kukw1pa[Year],YEAR(Data!$A478)),"")</f>
        <v/>
      </c>
      <c r="O478" s="8" t="str">
        <f>IFERROR(VLOOKUP($A478,Text_1_2[[Text.1.1.3]:[Text.1.3]],2,FALSE),"")</f>
        <v/>
      </c>
      <c r="P478" s="2"/>
    </row>
    <row r="479" spans="1:16" x14ac:dyDescent="0.25">
      <c r="A479" s="1">
        <v>35704</v>
      </c>
      <c r="B479" t="str">
        <f>HLOOKUP(Dashboard!$I$27,results,ROW(A479),FALSE)</f>
        <v/>
      </c>
      <c r="C479">
        <f>IFERROR(VLOOKUP(A479,observations_series_id_PCU22112222112243_api_key_ecc133893ea92a842ee685c73424608[],2,FALSE),"")</f>
        <v>109.4</v>
      </c>
      <c r="D479" s="2">
        <f>IFERROR(VLOOKUP(A479,observations_series_id_PCU22112222112243_api_key_ecc133893ea92a842ee685c73424608[],3,FALSE),"")</f>
        <v>0.84095063985374774</v>
      </c>
      <c r="E479" t="str">
        <f>IFERROR(VLOOKUP($A479,observations_series_id_WPU0613020T_api_key_ecc133893ea92a842ee685c734246086_file[],2,FALSE),"")</f>
        <v/>
      </c>
      <c r="F479" s="2" t="str">
        <f>IFERROR(VLOOKUP($A479,observations_series_id_WPU0613020T_api_key_ecc133893ea92a842ee685c734246086_file[],3,FALSE),"")</f>
        <v/>
      </c>
      <c r="G479" t="str">
        <f>IFERROR(VLOOKUP($A479,observations_series_id_PCU22122212_api_key_ecc133893ea92a842ee685c734246086_file[],2,FALSE),"")</f>
        <v/>
      </c>
      <c r="H479" s="2" t="str">
        <f>IFERROR(VLOOKUP($A479,observations_series_id_PCU22122212_api_key_ecc133893ea92a842ee685c734246086_file[],3,FALSE),"")</f>
        <v/>
      </c>
      <c r="I479">
        <f>IFERROR(VLOOKUP($A479,observations_series_id_PCU3241913241910_api_key_ecc133893ea92a842ee685c734246086[],2,FALSE),"")</f>
        <v>161.4</v>
      </c>
      <c r="J479" s="2">
        <f>IFERROR(VLOOKUP($A479,observations_series_id_PCU3241913241910_api_key_ecc133893ea92a842ee685c734246086[],3,FALSE),"")</f>
        <v>0.68153655514250311</v>
      </c>
      <c r="K479">
        <f>IFERROR(VLOOKUP($A479,observations_series_id_EXJPUS_api_key_ecc133893ea92a842ee685c734246086_file_type[],2,FALSE),"")</f>
        <v>121.0605</v>
      </c>
      <c r="L479" s="2">
        <f>IFERROR(VLOOKUP($A479,observations_series_id_EXJPUS_api_key_ecc133893ea92a842ee685c734246086_file_type[],3,FALSE),"")</f>
        <v>-1.9573642930600812</v>
      </c>
      <c r="M479" t="str">
        <f>IFERROR(AVERAGEIFS(timeseries_access_key_fqeas14oitk235763mntlb1c0brnk9w3fenzqbk313q5kvxyf52kukw1pa[Value.LME-ZNC],timeseries_access_key_fqeas14oitk235763mntlb1c0brnk9w3fenzqbk313q5kvxyf52kukw1pa[Month],MONTH(Data!$A479),timeseries_access_key_fqeas14oitk235763mntlb1c0brnk9w3fenzqbk313q5kvxyf52kukw1pa[Year],YEAR(Data!$A479)),"")</f>
        <v/>
      </c>
      <c r="N479" s="2" t="str">
        <f>IFERROR(AVERAGEIFS(timeseries_access_key_fqeas14oitk235763mntlb1c0brnk9w3fenzqbk313q5kvxyf52kukw1pa[Column1],timeseries_access_key_fqeas14oitk235763mntlb1c0brnk9w3fenzqbk313q5kvxyf52kukw1pa[Month],MONTH(Data!$A479),timeseries_access_key_fqeas14oitk235763mntlb1c0brnk9w3fenzqbk313q5kvxyf52kukw1pa[Year],YEAR(Data!$A479)),"")</f>
        <v/>
      </c>
      <c r="O479" s="8">
        <f>IFERROR(VLOOKUP($A479,Text_1_2[[Text.1.1.3]:[Text.1.3]],2,FALSE),"")</f>
        <v>20400</v>
      </c>
      <c r="P479" s="2"/>
    </row>
    <row r="480" spans="1:16" x14ac:dyDescent="0.25">
      <c r="A480" s="1">
        <v>35735</v>
      </c>
      <c r="B480" t="str">
        <f>HLOOKUP(Dashboard!$I$27,results,ROW(A480),FALSE)</f>
        <v/>
      </c>
      <c r="C480">
        <f>IFERROR(VLOOKUP(A480,observations_series_id_PCU22112222112243_api_key_ecc133893ea92a842ee685c73424608[],2,FALSE),"")</f>
        <v>107.5</v>
      </c>
      <c r="D480" s="2">
        <f>IFERROR(VLOOKUP(A480,observations_series_id_PCU22112222112243_api_key_ecc133893ea92a842ee685c73424608[],3,FALSE),"")</f>
        <v>0.83813953488372095</v>
      </c>
      <c r="E480" t="str">
        <f>IFERROR(VLOOKUP($A480,observations_series_id_WPU0613020T_api_key_ecc133893ea92a842ee685c734246086_file[],2,FALSE),"")</f>
        <v/>
      </c>
      <c r="F480" s="2" t="str">
        <f>IFERROR(VLOOKUP($A480,observations_series_id_WPU0613020T_api_key_ecc133893ea92a842ee685c734246086_file[],3,FALSE),"")</f>
        <v/>
      </c>
      <c r="G480" t="str">
        <f>IFERROR(VLOOKUP($A480,observations_series_id_PCU22122212_api_key_ecc133893ea92a842ee685c734246086_file[],2,FALSE),"")</f>
        <v/>
      </c>
      <c r="H480" s="2" t="str">
        <f>IFERROR(VLOOKUP($A480,observations_series_id_PCU22122212_api_key_ecc133893ea92a842ee685c734246086_file[],3,FALSE),"")</f>
        <v/>
      </c>
      <c r="I480">
        <f>IFERROR(VLOOKUP($A480,observations_series_id_PCU3241913241910_api_key_ecc133893ea92a842ee685c734246086[],2,FALSE),"")</f>
        <v>161.6</v>
      </c>
      <c r="J480" s="2">
        <f>IFERROR(VLOOKUP($A480,observations_series_id_PCU3241913241910_api_key_ecc133893ea92a842ee685c734246086[],3,FALSE),"")</f>
        <v>0.68193069306930698</v>
      </c>
      <c r="K480">
        <f>IFERROR(VLOOKUP($A480,observations_series_id_EXJPUS_api_key_ecc133893ea92a842ee685c734246086_file_type[],2,FALSE),"")</f>
        <v>125.3817</v>
      </c>
      <c r="L480" s="2">
        <f>IFERROR(VLOOKUP($A480,observations_series_id_EXJPUS_api_key_ecc133893ea92a842ee685c734246086_file_type[],3,FALSE),"")</f>
        <v>-1.8554406265029106</v>
      </c>
      <c r="M480" t="str">
        <f>IFERROR(AVERAGEIFS(timeseries_access_key_fqeas14oitk235763mntlb1c0brnk9w3fenzqbk313q5kvxyf52kukw1pa[Value.LME-ZNC],timeseries_access_key_fqeas14oitk235763mntlb1c0brnk9w3fenzqbk313q5kvxyf52kukw1pa[Month],MONTH(Data!$A480),timeseries_access_key_fqeas14oitk235763mntlb1c0brnk9w3fenzqbk313q5kvxyf52kukw1pa[Year],YEAR(Data!$A480)),"")</f>
        <v/>
      </c>
      <c r="N480" s="2" t="str">
        <f>IFERROR(AVERAGEIFS(timeseries_access_key_fqeas14oitk235763mntlb1c0brnk9w3fenzqbk313q5kvxyf52kukw1pa[Column1],timeseries_access_key_fqeas14oitk235763mntlb1c0brnk9w3fenzqbk313q5kvxyf52kukw1pa[Month],MONTH(Data!$A480),timeseries_access_key_fqeas14oitk235763mntlb1c0brnk9w3fenzqbk313q5kvxyf52kukw1pa[Year],YEAR(Data!$A480)),"")</f>
        <v/>
      </c>
      <c r="O480" s="8" t="str">
        <f>IFERROR(VLOOKUP($A480,Text_1_2[[Text.1.1.3]:[Text.1.3]],2,FALSE),"")</f>
        <v/>
      </c>
      <c r="P480" s="2"/>
    </row>
    <row r="481" spans="1:16" x14ac:dyDescent="0.25">
      <c r="A481" s="1">
        <v>35765</v>
      </c>
      <c r="B481" t="str">
        <f>HLOOKUP(Dashboard!$I$27,results,ROW(A481),FALSE)</f>
        <v/>
      </c>
      <c r="C481">
        <f>IFERROR(VLOOKUP(A481,observations_series_id_PCU22112222112243_api_key_ecc133893ea92a842ee685c73424608[],2,FALSE),"")</f>
        <v>107.9</v>
      </c>
      <c r="D481" s="2">
        <f>IFERROR(VLOOKUP(A481,observations_series_id_PCU22112222112243_api_key_ecc133893ea92a842ee685c73424608[],3,FALSE),"")</f>
        <v>0.83873957367933272</v>
      </c>
      <c r="E481" t="str">
        <f>IFERROR(VLOOKUP($A481,observations_series_id_WPU0613020T_api_key_ecc133893ea92a842ee685c734246086_file[],2,FALSE),"")</f>
        <v/>
      </c>
      <c r="F481" s="2" t="str">
        <f>IFERROR(VLOOKUP($A481,observations_series_id_WPU0613020T_api_key_ecc133893ea92a842ee685c734246086_file[],3,FALSE),"")</f>
        <v/>
      </c>
      <c r="G481" t="str">
        <f>IFERROR(VLOOKUP($A481,observations_series_id_PCU22122212_api_key_ecc133893ea92a842ee685c734246086_file[],2,FALSE),"")</f>
        <v/>
      </c>
      <c r="H481" s="2" t="str">
        <f>IFERROR(VLOOKUP($A481,observations_series_id_PCU22122212_api_key_ecc133893ea92a842ee685c734246086_file[],3,FALSE),"")</f>
        <v/>
      </c>
      <c r="I481">
        <f>IFERROR(VLOOKUP($A481,observations_series_id_PCU3241913241910_api_key_ecc133893ea92a842ee685c734246086[],2,FALSE),"")</f>
        <v>161.80000000000001</v>
      </c>
      <c r="J481" s="2">
        <f>IFERROR(VLOOKUP($A481,observations_series_id_PCU3241913241910_api_key_ecc133893ea92a842ee685c734246086[],3,FALSE),"")</f>
        <v>0.68232385661310269</v>
      </c>
      <c r="K481">
        <f>IFERROR(VLOOKUP($A481,observations_series_id_EXJPUS_api_key_ecc133893ea92a842ee685c734246086_file_type[],2,FALSE),"")</f>
        <v>129.73410000000001</v>
      </c>
      <c r="L481" s="2">
        <f>IFERROR(VLOOKUP($A481,observations_series_id_EXJPUS_api_key_ecc133893ea92a842ee685c734246086_file_type[],3,FALSE),"")</f>
        <v>-1.7596445344747447</v>
      </c>
      <c r="M481" t="str">
        <f>IFERROR(AVERAGEIFS(timeseries_access_key_fqeas14oitk235763mntlb1c0brnk9w3fenzqbk313q5kvxyf52kukw1pa[Value.LME-ZNC],timeseries_access_key_fqeas14oitk235763mntlb1c0brnk9w3fenzqbk313q5kvxyf52kukw1pa[Month],MONTH(Data!$A481),timeseries_access_key_fqeas14oitk235763mntlb1c0brnk9w3fenzqbk313q5kvxyf52kukw1pa[Year],YEAR(Data!$A481)),"")</f>
        <v/>
      </c>
      <c r="N481" s="2" t="str">
        <f>IFERROR(AVERAGEIFS(timeseries_access_key_fqeas14oitk235763mntlb1c0brnk9w3fenzqbk313q5kvxyf52kukw1pa[Column1],timeseries_access_key_fqeas14oitk235763mntlb1c0brnk9w3fenzqbk313q5kvxyf52kukw1pa[Month],MONTH(Data!$A481),timeseries_access_key_fqeas14oitk235763mntlb1c0brnk9w3fenzqbk313q5kvxyf52kukw1pa[Year],YEAR(Data!$A481)),"")</f>
        <v/>
      </c>
      <c r="O481" s="8" t="str">
        <f>IFERROR(VLOOKUP($A481,Text_1_2[[Text.1.1.3]:[Text.1.3]],2,FALSE),"")</f>
        <v/>
      </c>
      <c r="P481" s="2"/>
    </row>
    <row r="482" spans="1:16" x14ac:dyDescent="0.25">
      <c r="A482" s="1">
        <v>35796</v>
      </c>
      <c r="B482" t="str">
        <f>HLOOKUP(Dashboard!$I$27,results,ROW(A482),FALSE)</f>
        <v/>
      </c>
      <c r="C482">
        <f>IFERROR(VLOOKUP(A482,observations_series_id_PCU22112222112243_api_key_ecc133893ea92a842ee685c73424608[],2,FALSE),"")</f>
        <v>107.1</v>
      </c>
      <c r="D482" s="2">
        <f>IFERROR(VLOOKUP(A482,observations_series_id_PCU22112222112243_api_key_ecc133893ea92a842ee685c73424608[],3,FALSE),"")</f>
        <v>0.83753501400560226</v>
      </c>
      <c r="E482" t="str">
        <f>IFERROR(VLOOKUP($A482,observations_series_id_WPU0613020T_api_key_ecc133893ea92a842ee685c734246086_file[],2,FALSE),"")</f>
        <v/>
      </c>
      <c r="F482" s="2" t="str">
        <f>IFERROR(VLOOKUP($A482,observations_series_id_WPU0613020T_api_key_ecc133893ea92a842ee685c734246086_file[],3,FALSE),"")</f>
        <v/>
      </c>
      <c r="G482" t="str">
        <f>IFERROR(VLOOKUP($A482,observations_series_id_PCU22122212_api_key_ecc133893ea92a842ee685c734246086_file[],2,FALSE),"")</f>
        <v/>
      </c>
      <c r="H482" s="2" t="str">
        <f>IFERROR(VLOOKUP($A482,observations_series_id_PCU22122212_api_key_ecc133893ea92a842ee685c734246086_file[],3,FALSE),"")</f>
        <v/>
      </c>
      <c r="I482">
        <f>IFERROR(VLOOKUP($A482,observations_series_id_PCU3241913241910_api_key_ecc133893ea92a842ee685c734246086[],2,FALSE),"")</f>
        <v>161.80000000000001</v>
      </c>
      <c r="J482" s="2">
        <f>IFERROR(VLOOKUP($A482,observations_series_id_PCU3241913241910_api_key_ecc133893ea92a842ee685c734246086[],3,FALSE),"")</f>
        <v>0.68232385661310269</v>
      </c>
      <c r="K482">
        <f>IFERROR(VLOOKUP($A482,observations_series_id_EXJPUS_api_key_ecc133893ea92a842ee685c734246086_file_type[],2,FALSE),"")</f>
        <v>129.54750000000001</v>
      </c>
      <c r="L482" s="2">
        <f>IFERROR(VLOOKUP($A482,observations_series_id_EXJPUS_api_key_ecc133893ea92a842ee685c734246086_file_type[],3,FALSE),"")</f>
        <v>-1.7636195217970236</v>
      </c>
      <c r="M482" t="str">
        <f>IFERROR(AVERAGEIFS(timeseries_access_key_fqeas14oitk235763mntlb1c0brnk9w3fenzqbk313q5kvxyf52kukw1pa[Value.LME-ZNC],timeseries_access_key_fqeas14oitk235763mntlb1c0brnk9w3fenzqbk313q5kvxyf52kukw1pa[Month],MONTH(Data!$A482),timeseries_access_key_fqeas14oitk235763mntlb1c0brnk9w3fenzqbk313q5kvxyf52kukw1pa[Year],YEAR(Data!$A482)),"")</f>
        <v/>
      </c>
      <c r="N482" s="2" t="str">
        <f>IFERROR(AVERAGEIFS(timeseries_access_key_fqeas14oitk235763mntlb1c0brnk9w3fenzqbk313q5kvxyf52kukw1pa[Column1],timeseries_access_key_fqeas14oitk235763mntlb1c0brnk9w3fenzqbk313q5kvxyf52kukw1pa[Month],MONTH(Data!$A482),timeseries_access_key_fqeas14oitk235763mntlb1c0brnk9w3fenzqbk313q5kvxyf52kukw1pa[Year],YEAR(Data!$A482)),"")</f>
        <v/>
      </c>
      <c r="O482" s="8">
        <f>IFERROR(VLOOKUP($A482,Text_1_2[[Text.1.1.3]:[Text.1.3]],2,FALSE),"")</f>
        <v>18400</v>
      </c>
      <c r="P482" s="2"/>
    </row>
    <row r="483" spans="1:16" x14ac:dyDescent="0.25">
      <c r="A483" s="1">
        <v>35827</v>
      </c>
      <c r="B483" t="str">
        <f>HLOOKUP(Dashboard!$I$27,results,ROW(A483),FALSE)</f>
        <v/>
      </c>
      <c r="C483">
        <f>IFERROR(VLOOKUP(A483,observations_series_id_PCU22112222112243_api_key_ecc133893ea92a842ee685c73424608[],2,FALSE),"")</f>
        <v>106.9</v>
      </c>
      <c r="D483" s="2">
        <f>IFERROR(VLOOKUP(A483,observations_series_id_PCU22112222112243_api_key_ecc133893ea92a842ee685c73424608[],3,FALSE),"")</f>
        <v>0.83723105706267542</v>
      </c>
      <c r="E483" t="str">
        <f>IFERROR(VLOOKUP($A483,observations_series_id_WPU0613020T_api_key_ecc133893ea92a842ee685c734246086_file[],2,FALSE),"")</f>
        <v/>
      </c>
      <c r="F483" s="2" t="str">
        <f>IFERROR(VLOOKUP($A483,observations_series_id_WPU0613020T_api_key_ecc133893ea92a842ee685c734246086_file[],3,FALSE),"")</f>
        <v/>
      </c>
      <c r="G483" t="str">
        <f>IFERROR(VLOOKUP($A483,observations_series_id_PCU22122212_api_key_ecc133893ea92a842ee685c734246086_file[],2,FALSE),"")</f>
        <v/>
      </c>
      <c r="H483" s="2" t="str">
        <f>IFERROR(VLOOKUP($A483,observations_series_id_PCU22122212_api_key_ecc133893ea92a842ee685c734246086_file[],3,FALSE),"")</f>
        <v/>
      </c>
      <c r="I483">
        <f>IFERROR(VLOOKUP($A483,observations_series_id_PCU3241913241910_api_key_ecc133893ea92a842ee685c734246086[],2,FALSE),"")</f>
        <v>161.80000000000001</v>
      </c>
      <c r="J483" s="2">
        <f>IFERROR(VLOOKUP($A483,observations_series_id_PCU3241913241910_api_key_ecc133893ea92a842ee685c734246086[],3,FALSE),"")</f>
        <v>0.68232385661310269</v>
      </c>
      <c r="K483">
        <f>IFERROR(VLOOKUP($A483,observations_series_id_EXJPUS_api_key_ecc133893ea92a842ee685c734246086_file_type[],2,FALSE),"")</f>
        <v>125.8516</v>
      </c>
      <c r="L483" s="2">
        <f>IFERROR(VLOOKUP($A483,observations_series_id_EXJPUS_api_key_ecc133893ea92a842ee685c734246086_file_type[],3,FALSE),"")</f>
        <v>-1.8447790890223086</v>
      </c>
      <c r="M483" t="str">
        <f>IFERROR(AVERAGEIFS(timeseries_access_key_fqeas14oitk235763mntlb1c0brnk9w3fenzqbk313q5kvxyf52kukw1pa[Value.LME-ZNC],timeseries_access_key_fqeas14oitk235763mntlb1c0brnk9w3fenzqbk313q5kvxyf52kukw1pa[Month],MONTH(Data!$A483),timeseries_access_key_fqeas14oitk235763mntlb1c0brnk9w3fenzqbk313q5kvxyf52kukw1pa[Year],YEAR(Data!$A483)),"")</f>
        <v/>
      </c>
      <c r="N483" s="2" t="str">
        <f>IFERROR(AVERAGEIFS(timeseries_access_key_fqeas14oitk235763mntlb1c0brnk9w3fenzqbk313q5kvxyf52kukw1pa[Column1],timeseries_access_key_fqeas14oitk235763mntlb1c0brnk9w3fenzqbk313q5kvxyf52kukw1pa[Month],MONTH(Data!$A483),timeseries_access_key_fqeas14oitk235763mntlb1c0brnk9w3fenzqbk313q5kvxyf52kukw1pa[Year],YEAR(Data!$A483)),"")</f>
        <v/>
      </c>
      <c r="O483" s="8" t="str">
        <f>IFERROR(VLOOKUP($A483,Text_1_2[[Text.1.1.3]:[Text.1.3]],2,FALSE),"")</f>
        <v/>
      </c>
      <c r="P483" s="2"/>
    </row>
    <row r="484" spans="1:16" x14ac:dyDescent="0.25">
      <c r="A484" s="1">
        <v>35855</v>
      </c>
      <c r="B484" t="str">
        <f>HLOOKUP(Dashboard!$I$27,results,ROW(A484),FALSE)</f>
        <v/>
      </c>
      <c r="C484">
        <f>IFERROR(VLOOKUP(A484,observations_series_id_PCU22112222112243_api_key_ecc133893ea92a842ee685c73424608[],2,FALSE),"")</f>
        <v>106.5</v>
      </c>
      <c r="D484" s="2">
        <f>IFERROR(VLOOKUP(A484,observations_series_id_PCU22112222112243_api_key_ecc133893ea92a842ee685c73424608[],3,FALSE),"")</f>
        <v>0.83661971830985915</v>
      </c>
      <c r="E484" t="str">
        <f>IFERROR(VLOOKUP($A484,observations_series_id_WPU0613020T_api_key_ecc133893ea92a842ee685c734246086_file[],2,FALSE),"")</f>
        <v/>
      </c>
      <c r="F484" s="2" t="str">
        <f>IFERROR(VLOOKUP($A484,observations_series_id_WPU0613020T_api_key_ecc133893ea92a842ee685c734246086_file[],3,FALSE),"")</f>
        <v/>
      </c>
      <c r="G484" t="str">
        <f>IFERROR(VLOOKUP($A484,observations_series_id_PCU22122212_api_key_ecc133893ea92a842ee685c734246086_file[],2,FALSE),"")</f>
        <v/>
      </c>
      <c r="H484" s="2" t="str">
        <f>IFERROR(VLOOKUP($A484,observations_series_id_PCU22122212_api_key_ecc133893ea92a842ee685c734246086_file[],3,FALSE),"")</f>
        <v/>
      </c>
      <c r="I484">
        <f>IFERROR(VLOOKUP($A484,observations_series_id_PCU3241913241910_api_key_ecc133893ea92a842ee685c734246086[],2,FALSE),"")</f>
        <v>161.69999999999999</v>
      </c>
      <c r="J484" s="2">
        <f>IFERROR(VLOOKUP($A484,observations_series_id_PCU3241913241910_api_key_ecc133893ea92a842ee685c734246086[],3,FALSE),"")</f>
        <v>0.68212739641311071</v>
      </c>
      <c r="K484">
        <f>IFERROR(VLOOKUP($A484,observations_series_id_EXJPUS_api_key_ecc133893ea92a842ee685c734246086_file_type[],2,FALSE),"")</f>
        <v>129.0823</v>
      </c>
      <c r="L484" s="2">
        <f>IFERROR(VLOOKUP($A484,observations_series_id_EXJPUS_api_key_ecc133893ea92a842ee685c734246086_file_type[],3,FALSE),"")</f>
        <v>-1.7735793365937851</v>
      </c>
      <c r="M484" t="str">
        <f>IFERROR(AVERAGEIFS(timeseries_access_key_fqeas14oitk235763mntlb1c0brnk9w3fenzqbk313q5kvxyf52kukw1pa[Value.LME-ZNC],timeseries_access_key_fqeas14oitk235763mntlb1c0brnk9w3fenzqbk313q5kvxyf52kukw1pa[Month],MONTH(Data!$A484),timeseries_access_key_fqeas14oitk235763mntlb1c0brnk9w3fenzqbk313q5kvxyf52kukw1pa[Year],YEAR(Data!$A484)),"")</f>
        <v/>
      </c>
      <c r="N484" s="2" t="str">
        <f>IFERROR(AVERAGEIFS(timeseries_access_key_fqeas14oitk235763mntlb1c0brnk9w3fenzqbk313q5kvxyf52kukw1pa[Column1],timeseries_access_key_fqeas14oitk235763mntlb1c0brnk9w3fenzqbk313q5kvxyf52kukw1pa[Month],MONTH(Data!$A484),timeseries_access_key_fqeas14oitk235763mntlb1c0brnk9w3fenzqbk313q5kvxyf52kukw1pa[Year],YEAR(Data!$A484)),"")</f>
        <v/>
      </c>
      <c r="O484" s="8" t="str">
        <f>IFERROR(VLOOKUP($A484,Text_1_2[[Text.1.1.3]:[Text.1.3]],2,FALSE),"")</f>
        <v/>
      </c>
      <c r="P484" s="2"/>
    </row>
    <row r="485" spans="1:16" x14ac:dyDescent="0.25">
      <c r="A485" s="1">
        <v>35886</v>
      </c>
      <c r="B485" t="str">
        <f>HLOOKUP(Dashboard!$I$27,results,ROW(A485),FALSE)</f>
        <v/>
      </c>
      <c r="C485">
        <f>IFERROR(VLOOKUP(A485,observations_series_id_PCU22112222112243_api_key_ecc133893ea92a842ee685c73424608[],2,FALSE),"")</f>
        <v>106.2</v>
      </c>
      <c r="D485" s="2">
        <f>IFERROR(VLOOKUP(A485,observations_series_id_PCU22112222112243_api_key_ecc133893ea92a842ee685c73424608[],3,FALSE),"")</f>
        <v>0.83615819209039555</v>
      </c>
      <c r="E485" t="str">
        <f>IFERROR(VLOOKUP($A485,observations_series_id_WPU0613020T_api_key_ecc133893ea92a842ee685c734246086_file[],2,FALSE),"")</f>
        <v/>
      </c>
      <c r="F485" s="2" t="str">
        <f>IFERROR(VLOOKUP($A485,observations_series_id_WPU0613020T_api_key_ecc133893ea92a842ee685c734246086_file[],3,FALSE),"")</f>
        <v/>
      </c>
      <c r="G485" t="str">
        <f>IFERROR(VLOOKUP($A485,observations_series_id_PCU22122212_api_key_ecc133893ea92a842ee685c734246086_file[],2,FALSE),"")</f>
        <v/>
      </c>
      <c r="H485" s="2" t="str">
        <f>IFERROR(VLOOKUP($A485,observations_series_id_PCU22122212_api_key_ecc133893ea92a842ee685c734246086_file[],3,FALSE),"")</f>
        <v/>
      </c>
      <c r="I485">
        <f>IFERROR(VLOOKUP($A485,observations_series_id_PCU3241913241910_api_key_ecc133893ea92a842ee685c734246086[],2,FALSE),"")</f>
        <v>161.69999999999999</v>
      </c>
      <c r="J485" s="2">
        <f>IFERROR(VLOOKUP($A485,observations_series_id_PCU3241913241910_api_key_ecc133893ea92a842ee685c734246086[],3,FALSE),"")</f>
        <v>0.68212739641311071</v>
      </c>
      <c r="K485">
        <f>IFERROR(VLOOKUP($A485,observations_series_id_EXJPUS_api_key_ecc133893ea92a842ee685c734246086_file_type[],2,FALSE),"")</f>
        <v>131.75360000000001</v>
      </c>
      <c r="L485" s="2">
        <f>IFERROR(VLOOKUP($A485,observations_series_id_EXJPUS_api_key_ecc133893ea92a842ee685c734246086_file_type[],3,FALSE),"")</f>
        <v>-1.7173451048016903</v>
      </c>
      <c r="M485" t="str">
        <f>IFERROR(AVERAGEIFS(timeseries_access_key_fqeas14oitk235763mntlb1c0brnk9w3fenzqbk313q5kvxyf52kukw1pa[Value.LME-ZNC],timeseries_access_key_fqeas14oitk235763mntlb1c0brnk9w3fenzqbk313q5kvxyf52kukw1pa[Month],MONTH(Data!$A485),timeseries_access_key_fqeas14oitk235763mntlb1c0brnk9w3fenzqbk313q5kvxyf52kukw1pa[Year],YEAR(Data!$A485)),"")</f>
        <v/>
      </c>
      <c r="N485" s="2" t="str">
        <f>IFERROR(AVERAGEIFS(timeseries_access_key_fqeas14oitk235763mntlb1c0brnk9w3fenzqbk313q5kvxyf52kukw1pa[Column1],timeseries_access_key_fqeas14oitk235763mntlb1c0brnk9w3fenzqbk313q5kvxyf52kukw1pa[Month],MONTH(Data!$A485),timeseries_access_key_fqeas14oitk235763mntlb1c0brnk9w3fenzqbk313q5kvxyf52kukw1pa[Year],YEAR(Data!$A485)),"")</f>
        <v/>
      </c>
      <c r="O485" s="8">
        <f>IFERROR(VLOOKUP($A485,Text_1_2[[Text.1.1.3]:[Text.1.3]],2,FALSE),"")</f>
        <v>17100</v>
      </c>
      <c r="P485" s="2"/>
    </row>
    <row r="486" spans="1:16" x14ac:dyDescent="0.25">
      <c r="A486" s="1">
        <v>35916</v>
      </c>
      <c r="B486" t="str">
        <f>HLOOKUP(Dashboard!$I$27,results,ROW(A486),FALSE)</f>
        <v/>
      </c>
      <c r="C486">
        <f>IFERROR(VLOOKUP(A486,observations_series_id_PCU22112222112243_api_key_ecc133893ea92a842ee685c73424608[],2,FALSE),"")</f>
        <v>108.6</v>
      </c>
      <c r="D486" s="2">
        <f>IFERROR(VLOOKUP(A486,observations_series_id_PCU22112222112243_api_key_ecc133893ea92a842ee685c73424608[],3,FALSE),"")</f>
        <v>0.83977900552486184</v>
      </c>
      <c r="E486" t="str">
        <f>IFERROR(VLOOKUP($A486,observations_series_id_WPU0613020T_api_key_ecc133893ea92a842ee685c734246086_file[],2,FALSE),"")</f>
        <v/>
      </c>
      <c r="F486" s="2" t="str">
        <f>IFERROR(VLOOKUP($A486,observations_series_id_WPU0613020T_api_key_ecc133893ea92a842ee685c734246086_file[],3,FALSE),"")</f>
        <v/>
      </c>
      <c r="G486" t="str">
        <f>IFERROR(VLOOKUP($A486,observations_series_id_PCU22122212_api_key_ecc133893ea92a842ee685c734246086_file[],2,FALSE),"")</f>
        <v/>
      </c>
      <c r="H486" s="2" t="str">
        <f>IFERROR(VLOOKUP($A486,observations_series_id_PCU22122212_api_key_ecc133893ea92a842ee685c734246086_file[],3,FALSE),"")</f>
        <v/>
      </c>
      <c r="I486">
        <f>IFERROR(VLOOKUP($A486,observations_series_id_PCU3241913241910_api_key_ecc133893ea92a842ee685c734246086[],2,FALSE),"")</f>
        <v>161.69999999999999</v>
      </c>
      <c r="J486" s="2">
        <f>IFERROR(VLOOKUP($A486,observations_series_id_PCU3241913241910_api_key_ecc133893ea92a842ee685c734246086[],3,FALSE),"")</f>
        <v>0.68212739641311071</v>
      </c>
      <c r="K486">
        <f>IFERROR(VLOOKUP($A486,observations_series_id_EXJPUS_api_key_ecc133893ea92a842ee685c734246086_file_type[],2,FALSE),"")</f>
        <v>134.89599999999999</v>
      </c>
      <c r="L486" s="2">
        <f>IFERROR(VLOOKUP($A486,observations_series_id_EXJPUS_api_key_ecc133893ea92a842ee685c734246086_file_type[],3,FALSE),"")</f>
        <v>-1.6540445973194164</v>
      </c>
      <c r="M486" t="str">
        <f>IFERROR(AVERAGEIFS(timeseries_access_key_fqeas14oitk235763mntlb1c0brnk9w3fenzqbk313q5kvxyf52kukw1pa[Value.LME-ZNC],timeseries_access_key_fqeas14oitk235763mntlb1c0brnk9w3fenzqbk313q5kvxyf52kukw1pa[Month],MONTH(Data!$A486),timeseries_access_key_fqeas14oitk235763mntlb1c0brnk9w3fenzqbk313q5kvxyf52kukw1pa[Year],YEAR(Data!$A486)),"")</f>
        <v/>
      </c>
      <c r="N486" s="2" t="str">
        <f>IFERROR(AVERAGEIFS(timeseries_access_key_fqeas14oitk235763mntlb1c0brnk9w3fenzqbk313q5kvxyf52kukw1pa[Column1],timeseries_access_key_fqeas14oitk235763mntlb1c0brnk9w3fenzqbk313q5kvxyf52kukw1pa[Month],MONTH(Data!$A486),timeseries_access_key_fqeas14oitk235763mntlb1c0brnk9w3fenzqbk313q5kvxyf52kukw1pa[Year],YEAR(Data!$A486)),"")</f>
        <v/>
      </c>
      <c r="O486" s="8" t="str">
        <f>IFERROR(VLOOKUP($A486,Text_1_2[[Text.1.1.3]:[Text.1.3]],2,FALSE),"")</f>
        <v/>
      </c>
      <c r="P486" s="2"/>
    </row>
    <row r="487" spans="1:16" x14ac:dyDescent="0.25">
      <c r="A487" s="1">
        <v>35947</v>
      </c>
      <c r="B487" t="str">
        <f>HLOOKUP(Dashboard!$I$27,results,ROW(A487),FALSE)</f>
        <v/>
      </c>
      <c r="C487">
        <f>IFERROR(VLOOKUP(A487,observations_series_id_PCU22112222112243_api_key_ecc133893ea92a842ee685c73424608[],2,FALSE),"")</f>
        <v>112.5</v>
      </c>
      <c r="D487" s="2">
        <f>IFERROR(VLOOKUP(A487,observations_series_id_PCU22112222112243_api_key_ecc133893ea92a842ee685c73424608[],3,FALSE),"")</f>
        <v>0.84533333333333338</v>
      </c>
      <c r="E487" t="str">
        <f>IFERROR(VLOOKUP($A487,observations_series_id_WPU0613020T_api_key_ecc133893ea92a842ee685c734246086_file[],2,FALSE),"")</f>
        <v/>
      </c>
      <c r="F487" s="2" t="str">
        <f>IFERROR(VLOOKUP($A487,observations_series_id_WPU0613020T_api_key_ecc133893ea92a842ee685c734246086_file[],3,FALSE),"")</f>
        <v/>
      </c>
      <c r="G487" t="str">
        <f>IFERROR(VLOOKUP($A487,observations_series_id_PCU22122212_api_key_ecc133893ea92a842ee685c734246086_file[],2,FALSE),"")</f>
        <v/>
      </c>
      <c r="H487" s="2" t="str">
        <f>IFERROR(VLOOKUP($A487,observations_series_id_PCU22122212_api_key_ecc133893ea92a842ee685c734246086_file[],3,FALSE),"")</f>
        <v/>
      </c>
      <c r="I487">
        <f>IFERROR(VLOOKUP($A487,observations_series_id_PCU3241913241910_api_key_ecc133893ea92a842ee685c734246086[],2,FALSE),"")</f>
        <v>161.9</v>
      </c>
      <c r="J487" s="2">
        <f>IFERROR(VLOOKUP($A487,observations_series_id_PCU3241913241910_api_key_ecc133893ea92a842ee685c734246086[],3,FALSE),"")</f>
        <v>0.68252007411982707</v>
      </c>
      <c r="K487">
        <f>IFERROR(VLOOKUP($A487,observations_series_id_EXJPUS_api_key_ecc133893ea92a842ee685c734246086_file_type[],2,FALSE),"")</f>
        <v>140.3305</v>
      </c>
      <c r="L487" s="2">
        <f>IFERROR(VLOOKUP($A487,observations_series_id_EXJPUS_api_key_ecc133893ea92a842ee685c734246086_file_type[],3,FALSE),"")</f>
        <v>-1.5512629114839611</v>
      </c>
      <c r="M487" t="str">
        <f>IFERROR(AVERAGEIFS(timeseries_access_key_fqeas14oitk235763mntlb1c0brnk9w3fenzqbk313q5kvxyf52kukw1pa[Value.LME-ZNC],timeseries_access_key_fqeas14oitk235763mntlb1c0brnk9w3fenzqbk313q5kvxyf52kukw1pa[Month],MONTH(Data!$A487),timeseries_access_key_fqeas14oitk235763mntlb1c0brnk9w3fenzqbk313q5kvxyf52kukw1pa[Year],YEAR(Data!$A487)),"")</f>
        <v/>
      </c>
      <c r="N487" s="2" t="str">
        <f>IFERROR(AVERAGEIFS(timeseries_access_key_fqeas14oitk235763mntlb1c0brnk9w3fenzqbk313q5kvxyf52kukw1pa[Column1],timeseries_access_key_fqeas14oitk235763mntlb1c0brnk9w3fenzqbk313q5kvxyf52kukw1pa[Month],MONTH(Data!$A487),timeseries_access_key_fqeas14oitk235763mntlb1c0brnk9w3fenzqbk313q5kvxyf52kukw1pa[Year],YEAR(Data!$A487)),"")</f>
        <v/>
      </c>
      <c r="O487" s="8" t="str">
        <f>IFERROR(VLOOKUP($A487,Text_1_2[[Text.1.1.3]:[Text.1.3]],2,FALSE),"")</f>
        <v/>
      </c>
      <c r="P487" s="2"/>
    </row>
    <row r="488" spans="1:16" x14ac:dyDescent="0.25">
      <c r="A488" s="1">
        <v>35977</v>
      </c>
      <c r="B488" t="str">
        <f>HLOOKUP(Dashboard!$I$27,results,ROW(A488),FALSE)</f>
        <v/>
      </c>
      <c r="C488">
        <f>IFERROR(VLOOKUP(A488,observations_series_id_PCU22112222112243_api_key_ecc133893ea92a842ee685c73424608[],2,FALSE),"")</f>
        <v>113.3</v>
      </c>
      <c r="D488" s="2">
        <f>IFERROR(VLOOKUP(A488,observations_series_id_PCU22112222112243_api_key_ecc133893ea92a842ee685c73424608[],3,FALSE),"")</f>
        <v>0.84642541924095327</v>
      </c>
      <c r="E488" t="str">
        <f>IFERROR(VLOOKUP($A488,observations_series_id_WPU0613020T_api_key_ecc133893ea92a842ee685c734246086_file[],2,FALSE),"")</f>
        <v/>
      </c>
      <c r="F488" s="2" t="str">
        <f>IFERROR(VLOOKUP($A488,observations_series_id_WPU0613020T_api_key_ecc133893ea92a842ee685c734246086_file[],3,FALSE),"")</f>
        <v/>
      </c>
      <c r="G488" t="str">
        <f>IFERROR(VLOOKUP($A488,observations_series_id_PCU22122212_api_key_ecc133893ea92a842ee685c734246086_file[],2,FALSE),"")</f>
        <v/>
      </c>
      <c r="H488" s="2" t="str">
        <f>IFERROR(VLOOKUP($A488,observations_series_id_PCU22122212_api_key_ecc133893ea92a842ee685c734246086_file[],3,FALSE),"")</f>
        <v/>
      </c>
      <c r="I488">
        <f>IFERROR(VLOOKUP($A488,observations_series_id_PCU3241913241910_api_key_ecc133893ea92a842ee685c734246086[],2,FALSE),"")</f>
        <v>162.1</v>
      </c>
      <c r="J488" s="2">
        <f>IFERROR(VLOOKUP($A488,observations_series_id_PCU3241913241910_api_key_ecc133893ea92a842ee685c734246086[],3,FALSE),"")</f>
        <v>0.68291178285009257</v>
      </c>
      <c r="K488">
        <f>IFERROR(VLOOKUP($A488,observations_series_id_EXJPUS_api_key_ecc133893ea92a842ee685c734246086_file_type[],2,FALSE),"")</f>
        <v>140.78739999999999</v>
      </c>
      <c r="L488" s="2">
        <f>IFERROR(VLOOKUP($A488,observations_series_id_EXJPUS_api_key_ecc133893ea92a842ee685c734246086_file_type[],3,FALSE),"")</f>
        <v>-1.5429832499215128</v>
      </c>
      <c r="M488" t="str">
        <f>IFERROR(AVERAGEIFS(timeseries_access_key_fqeas14oitk235763mntlb1c0brnk9w3fenzqbk313q5kvxyf52kukw1pa[Value.LME-ZNC],timeseries_access_key_fqeas14oitk235763mntlb1c0brnk9w3fenzqbk313q5kvxyf52kukw1pa[Month],MONTH(Data!$A488),timeseries_access_key_fqeas14oitk235763mntlb1c0brnk9w3fenzqbk313q5kvxyf52kukw1pa[Year],YEAR(Data!$A488)),"")</f>
        <v/>
      </c>
      <c r="N488" s="2" t="str">
        <f>IFERROR(AVERAGEIFS(timeseries_access_key_fqeas14oitk235763mntlb1c0brnk9w3fenzqbk313q5kvxyf52kukw1pa[Column1],timeseries_access_key_fqeas14oitk235763mntlb1c0brnk9w3fenzqbk313q5kvxyf52kukw1pa[Month],MONTH(Data!$A488),timeseries_access_key_fqeas14oitk235763mntlb1c0brnk9w3fenzqbk313q5kvxyf52kukw1pa[Year],YEAR(Data!$A488)),"")</f>
        <v/>
      </c>
      <c r="O488" s="8">
        <f>IFERROR(VLOOKUP($A488,Text_1_2[[Text.1.1.3]:[Text.1.3]],2,FALSE),"")</f>
        <v>15900</v>
      </c>
      <c r="P488" s="2"/>
    </row>
    <row r="489" spans="1:16" x14ac:dyDescent="0.25">
      <c r="A489" s="1">
        <v>36008</v>
      </c>
      <c r="B489" t="str">
        <f>HLOOKUP(Dashboard!$I$27,results,ROW(A489),FALSE)</f>
        <v/>
      </c>
      <c r="C489">
        <f>IFERROR(VLOOKUP(A489,observations_series_id_PCU22112222112243_api_key_ecc133893ea92a842ee685c73424608[],2,FALSE),"")</f>
        <v>113.7</v>
      </c>
      <c r="D489" s="2">
        <f>IFERROR(VLOOKUP(A489,observations_series_id_PCU22112222112243_api_key_ecc133893ea92a842ee685c73424608[],3,FALSE),"")</f>
        <v>0.84696569920844333</v>
      </c>
      <c r="E489" t="str">
        <f>IFERROR(VLOOKUP($A489,observations_series_id_WPU0613020T_api_key_ecc133893ea92a842ee685c734246086_file[],2,FALSE),"")</f>
        <v/>
      </c>
      <c r="F489" s="2" t="str">
        <f>IFERROR(VLOOKUP($A489,observations_series_id_WPU0613020T_api_key_ecc133893ea92a842ee685c734246086_file[],3,FALSE),"")</f>
        <v/>
      </c>
      <c r="G489" t="str">
        <f>IFERROR(VLOOKUP($A489,observations_series_id_PCU22122212_api_key_ecc133893ea92a842ee685c734246086_file[],2,FALSE),"")</f>
        <v/>
      </c>
      <c r="H489" s="2" t="str">
        <f>IFERROR(VLOOKUP($A489,observations_series_id_PCU22122212_api_key_ecc133893ea92a842ee685c734246086_file[],3,FALSE),"")</f>
        <v/>
      </c>
      <c r="I489">
        <f>IFERROR(VLOOKUP($A489,observations_series_id_PCU3241913241910_api_key_ecc133893ea92a842ee685c734246086[],2,FALSE),"")</f>
        <v>162.1</v>
      </c>
      <c r="J489" s="2">
        <f>IFERROR(VLOOKUP($A489,observations_series_id_PCU3241913241910_api_key_ecc133893ea92a842ee685c734246086[],3,FALSE),"")</f>
        <v>0.68291178285009257</v>
      </c>
      <c r="K489">
        <f>IFERROR(VLOOKUP($A489,observations_series_id_EXJPUS_api_key_ecc133893ea92a842ee685c734246086_file_type[],2,FALSE),"")</f>
        <v>144.68</v>
      </c>
      <c r="L489" s="2">
        <f>IFERROR(VLOOKUP($A489,observations_series_id_EXJPUS_api_key_ecc133893ea92a842ee685c734246086_file_type[],3,FALSE),"")</f>
        <v>-1.4745645562620955</v>
      </c>
      <c r="M489" t="str">
        <f>IFERROR(AVERAGEIFS(timeseries_access_key_fqeas14oitk235763mntlb1c0brnk9w3fenzqbk313q5kvxyf52kukw1pa[Value.LME-ZNC],timeseries_access_key_fqeas14oitk235763mntlb1c0brnk9w3fenzqbk313q5kvxyf52kukw1pa[Month],MONTH(Data!$A489),timeseries_access_key_fqeas14oitk235763mntlb1c0brnk9w3fenzqbk313q5kvxyf52kukw1pa[Year],YEAR(Data!$A489)),"")</f>
        <v/>
      </c>
      <c r="N489" s="2" t="str">
        <f>IFERROR(AVERAGEIFS(timeseries_access_key_fqeas14oitk235763mntlb1c0brnk9w3fenzqbk313q5kvxyf52kukw1pa[Column1],timeseries_access_key_fqeas14oitk235763mntlb1c0brnk9w3fenzqbk313q5kvxyf52kukw1pa[Month],MONTH(Data!$A489),timeseries_access_key_fqeas14oitk235763mntlb1c0brnk9w3fenzqbk313q5kvxyf52kukw1pa[Year],YEAR(Data!$A489)),"")</f>
        <v/>
      </c>
      <c r="O489" s="8" t="str">
        <f>IFERROR(VLOOKUP($A489,Text_1_2[[Text.1.1.3]:[Text.1.3]],2,FALSE),"")</f>
        <v/>
      </c>
      <c r="P489" s="2"/>
    </row>
    <row r="490" spans="1:16" x14ac:dyDescent="0.25">
      <c r="A490" s="1">
        <v>36039</v>
      </c>
      <c r="B490" t="str">
        <f>HLOOKUP(Dashboard!$I$27,results,ROW(A490),FALSE)</f>
        <v/>
      </c>
      <c r="C490">
        <f>IFERROR(VLOOKUP(A490,observations_series_id_PCU22112222112243_api_key_ecc133893ea92a842ee685c73424608[],2,FALSE),"")</f>
        <v>113.7</v>
      </c>
      <c r="D490" s="2">
        <f>IFERROR(VLOOKUP(A490,observations_series_id_PCU22112222112243_api_key_ecc133893ea92a842ee685c73424608[],3,FALSE),"")</f>
        <v>0.84696569920844333</v>
      </c>
      <c r="E490" t="str">
        <f>IFERROR(VLOOKUP($A490,observations_series_id_WPU0613020T_api_key_ecc133893ea92a842ee685c734246086_file[],2,FALSE),"")</f>
        <v/>
      </c>
      <c r="F490" s="2" t="str">
        <f>IFERROR(VLOOKUP($A490,observations_series_id_WPU0613020T_api_key_ecc133893ea92a842ee685c734246086_file[],3,FALSE),"")</f>
        <v/>
      </c>
      <c r="G490" t="str">
        <f>IFERROR(VLOOKUP($A490,observations_series_id_PCU22122212_api_key_ecc133893ea92a842ee685c734246086_file[],2,FALSE),"")</f>
        <v/>
      </c>
      <c r="H490" s="2" t="str">
        <f>IFERROR(VLOOKUP($A490,observations_series_id_PCU22122212_api_key_ecc133893ea92a842ee685c734246086_file[],3,FALSE),"")</f>
        <v/>
      </c>
      <c r="I490">
        <f>IFERROR(VLOOKUP($A490,observations_series_id_PCU3241913241910_api_key_ecc133893ea92a842ee685c734246086[],2,FALSE),"")</f>
        <v>162.1</v>
      </c>
      <c r="J490" s="2">
        <f>IFERROR(VLOOKUP($A490,observations_series_id_PCU3241913241910_api_key_ecc133893ea92a842ee685c734246086[],3,FALSE),"")</f>
        <v>0.68291178285009257</v>
      </c>
      <c r="K490">
        <f>IFERROR(VLOOKUP($A490,observations_series_id_EXJPUS_api_key_ecc133893ea92a842ee685c734246086_file_type[],2,FALSE),"")</f>
        <v>134.48050000000001</v>
      </c>
      <c r="L490" s="2">
        <f>IFERROR(VLOOKUP($A490,observations_series_id_EXJPUS_api_key_ecc133893ea92a842ee685c734246086_file_type[],3,FALSE),"")</f>
        <v>-1.6622447120586252</v>
      </c>
      <c r="M490" t="str">
        <f>IFERROR(AVERAGEIFS(timeseries_access_key_fqeas14oitk235763mntlb1c0brnk9w3fenzqbk313q5kvxyf52kukw1pa[Value.LME-ZNC],timeseries_access_key_fqeas14oitk235763mntlb1c0brnk9w3fenzqbk313q5kvxyf52kukw1pa[Month],MONTH(Data!$A490),timeseries_access_key_fqeas14oitk235763mntlb1c0brnk9w3fenzqbk313q5kvxyf52kukw1pa[Year],YEAR(Data!$A490)),"")</f>
        <v/>
      </c>
      <c r="N490" s="2" t="str">
        <f>IFERROR(AVERAGEIFS(timeseries_access_key_fqeas14oitk235763mntlb1c0brnk9w3fenzqbk313q5kvxyf52kukw1pa[Column1],timeseries_access_key_fqeas14oitk235763mntlb1c0brnk9w3fenzqbk313q5kvxyf52kukw1pa[Month],MONTH(Data!$A490),timeseries_access_key_fqeas14oitk235763mntlb1c0brnk9w3fenzqbk313q5kvxyf52kukw1pa[Year],YEAR(Data!$A490)),"")</f>
        <v/>
      </c>
      <c r="O490" s="8" t="str">
        <f>IFERROR(VLOOKUP($A490,Text_1_2[[Text.1.1.3]:[Text.1.3]],2,FALSE),"")</f>
        <v/>
      </c>
      <c r="P490" s="2"/>
    </row>
    <row r="491" spans="1:16" x14ac:dyDescent="0.25">
      <c r="A491" s="1">
        <v>36069</v>
      </c>
      <c r="B491" t="str">
        <f>HLOOKUP(Dashboard!$I$27,results,ROW(A491),FALSE)</f>
        <v/>
      </c>
      <c r="C491">
        <f>IFERROR(VLOOKUP(A491,observations_series_id_PCU22112222112243_api_key_ecc133893ea92a842ee685c73424608[],2,FALSE),"")</f>
        <v>109.6</v>
      </c>
      <c r="D491" s="2">
        <f>IFERROR(VLOOKUP(A491,observations_series_id_PCU22112222112243_api_key_ecc133893ea92a842ee685c73424608[],3,FALSE),"")</f>
        <v>0.84124087591240881</v>
      </c>
      <c r="E491" t="str">
        <f>IFERROR(VLOOKUP($A491,observations_series_id_WPU0613020T_api_key_ecc133893ea92a842ee685c734246086_file[],2,FALSE),"")</f>
        <v/>
      </c>
      <c r="F491" s="2" t="str">
        <f>IFERROR(VLOOKUP($A491,observations_series_id_WPU0613020T_api_key_ecc133893ea92a842ee685c734246086_file[],3,FALSE),"")</f>
        <v/>
      </c>
      <c r="G491" t="str">
        <f>IFERROR(VLOOKUP($A491,observations_series_id_PCU22122212_api_key_ecc133893ea92a842ee685c734246086_file[],2,FALSE),"")</f>
        <v/>
      </c>
      <c r="H491" s="2" t="str">
        <f>IFERROR(VLOOKUP($A491,observations_series_id_PCU22122212_api_key_ecc133893ea92a842ee685c734246086_file[],3,FALSE),"")</f>
        <v/>
      </c>
      <c r="I491">
        <f>IFERROR(VLOOKUP($A491,observations_series_id_PCU3241913241910_api_key_ecc133893ea92a842ee685c734246086[],2,FALSE),"")</f>
        <v>161.9</v>
      </c>
      <c r="J491" s="2">
        <f>IFERROR(VLOOKUP($A491,observations_series_id_PCU3241913241910_api_key_ecc133893ea92a842ee685c734246086[],3,FALSE),"")</f>
        <v>0.68252007411982707</v>
      </c>
      <c r="K491">
        <f>IFERROR(VLOOKUP($A491,observations_series_id_EXJPUS_api_key_ecc133893ea92a842ee685c734246086_file_type[],2,FALSE),"")</f>
        <v>121.04859999999999</v>
      </c>
      <c r="L491" s="2">
        <f>IFERROR(VLOOKUP($A491,observations_series_id_EXJPUS_api_key_ecc133893ea92a842ee685c734246086_file_type[],3,FALSE),"")</f>
        <v>-1.9576550245108164</v>
      </c>
      <c r="M491" t="str">
        <f>IFERROR(AVERAGEIFS(timeseries_access_key_fqeas14oitk235763mntlb1c0brnk9w3fenzqbk313q5kvxyf52kukw1pa[Value.LME-ZNC],timeseries_access_key_fqeas14oitk235763mntlb1c0brnk9w3fenzqbk313q5kvxyf52kukw1pa[Month],MONTH(Data!$A491),timeseries_access_key_fqeas14oitk235763mntlb1c0brnk9w3fenzqbk313q5kvxyf52kukw1pa[Year],YEAR(Data!$A491)),"")</f>
        <v/>
      </c>
      <c r="N491" s="2" t="str">
        <f>IFERROR(AVERAGEIFS(timeseries_access_key_fqeas14oitk235763mntlb1c0brnk9w3fenzqbk313q5kvxyf52kukw1pa[Column1],timeseries_access_key_fqeas14oitk235763mntlb1c0brnk9w3fenzqbk313q5kvxyf52kukw1pa[Month],MONTH(Data!$A491),timeseries_access_key_fqeas14oitk235763mntlb1c0brnk9w3fenzqbk313q5kvxyf52kukw1pa[Year],YEAR(Data!$A491)),"")</f>
        <v/>
      </c>
      <c r="O491" s="8">
        <f>IFERROR(VLOOKUP($A491,Text_1_2[[Text.1.1.3]:[Text.1.3]],2,FALSE),"")</f>
        <v>14600</v>
      </c>
      <c r="P491" s="2"/>
    </row>
    <row r="492" spans="1:16" x14ac:dyDescent="0.25">
      <c r="A492" s="1">
        <v>36100</v>
      </c>
      <c r="B492" t="str">
        <f>HLOOKUP(Dashboard!$I$27,results,ROW(A492),FALSE)</f>
        <v/>
      </c>
      <c r="C492">
        <f>IFERROR(VLOOKUP(A492,observations_series_id_PCU22112222112243_api_key_ecc133893ea92a842ee685c73424608[],2,FALSE),"")</f>
        <v>107.3</v>
      </c>
      <c r="D492" s="2">
        <f>IFERROR(VLOOKUP(A492,observations_series_id_PCU22112222112243_api_key_ecc133893ea92a842ee685c73424608[],3,FALSE),"")</f>
        <v>0.83783783783783783</v>
      </c>
      <c r="E492" t="str">
        <f>IFERROR(VLOOKUP($A492,observations_series_id_WPU0613020T_api_key_ecc133893ea92a842ee685c734246086_file[],2,FALSE),"")</f>
        <v/>
      </c>
      <c r="F492" s="2" t="str">
        <f>IFERROR(VLOOKUP($A492,observations_series_id_WPU0613020T_api_key_ecc133893ea92a842ee685c734246086_file[],3,FALSE),"")</f>
        <v/>
      </c>
      <c r="G492" t="str">
        <f>IFERROR(VLOOKUP($A492,observations_series_id_PCU22122212_api_key_ecc133893ea92a842ee685c734246086_file[],2,FALSE),"")</f>
        <v/>
      </c>
      <c r="H492" s="2" t="str">
        <f>IFERROR(VLOOKUP($A492,observations_series_id_PCU22122212_api_key_ecc133893ea92a842ee685c734246086_file[],3,FALSE),"")</f>
        <v/>
      </c>
      <c r="I492">
        <f>IFERROR(VLOOKUP($A492,observations_series_id_PCU3241913241910_api_key_ecc133893ea92a842ee685c734246086[],2,FALSE),"")</f>
        <v>161.9</v>
      </c>
      <c r="J492" s="2">
        <f>IFERROR(VLOOKUP($A492,observations_series_id_PCU3241913241910_api_key_ecc133893ea92a842ee685c734246086[],3,FALSE),"")</f>
        <v>0.68252007411982707</v>
      </c>
      <c r="K492">
        <f>IFERROR(VLOOKUP($A492,observations_series_id_EXJPUS_api_key_ecc133893ea92a842ee685c734246086_file_type[],2,FALSE),"")</f>
        <v>120.2895</v>
      </c>
      <c r="L492" s="2">
        <f>IFERROR(VLOOKUP($A492,observations_series_id_EXJPUS_api_key_ecc133893ea92a842ee685c734246086_file_type[],3,FALSE),"")</f>
        <v>-1.9763196288952898</v>
      </c>
      <c r="M492" t="str">
        <f>IFERROR(AVERAGEIFS(timeseries_access_key_fqeas14oitk235763mntlb1c0brnk9w3fenzqbk313q5kvxyf52kukw1pa[Value.LME-ZNC],timeseries_access_key_fqeas14oitk235763mntlb1c0brnk9w3fenzqbk313q5kvxyf52kukw1pa[Month],MONTH(Data!$A492),timeseries_access_key_fqeas14oitk235763mntlb1c0brnk9w3fenzqbk313q5kvxyf52kukw1pa[Year],YEAR(Data!$A492)),"")</f>
        <v/>
      </c>
      <c r="N492" s="2" t="str">
        <f>IFERROR(AVERAGEIFS(timeseries_access_key_fqeas14oitk235763mntlb1c0brnk9w3fenzqbk313q5kvxyf52kukw1pa[Column1],timeseries_access_key_fqeas14oitk235763mntlb1c0brnk9w3fenzqbk313q5kvxyf52kukw1pa[Month],MONTH(Data!$A492),timeseries_access_key_fqeas14oitk235763mntlb1c0brnk9w3fenzqbk313q5kvxyf52kukw1pa[Year],YEAR(Data!$A492)),"")</f>
        <v/>
      </c>
      <c r="O492" s="8" t="str">
        <f>IFERROR(VLOOKUP($A492,Text_1_2[[Text.1.1.3]:[Text.1.3]],2,FALSE),"")</f>
        <v/>
      </c>
      <c r="P492" s="2"/>
    </row>
    <row r="493" spans="1:16" x14ac:dyDescent="0.25">
      <c r="A493" s="1">
        <v>36130</v>
      </c>
      <c r="B493" t="str">
        <f>HLOOKUP(Dashboard!$I$27,results,ROW(A493),FALSE)</f>
        <v/>
      </c>
      <c r="C493">
        <f>IFERROR(VLOOKUP(A493,observations_series_id_PCU22112222112243_api_key_ecc133893ea92a842ee685c73424608[],2,FALSE),"")</f>
        <v>106.5</v>
      </c>
      <c r="D493" s="2">
        <f>IFERROR(VLOOKUP(A493,observations_series_id_PCU22112222112243_api_key_ecc133893ea92a842ee685c73424608[],3,FALSE),"")</f>
        <v>0.83661971830985915</v>
      </c>
      <c r="E493" t="str">
        <f>IFERROR(VLOOKUP($A493,observations_series_id_WPU0613020T_api_key_ecc133893ea92a842ee685c734246086_file[],2,FALSE),"")</f>
        <v/>
      </c>
      <c r="F493" s="2" t="str">
        <f>IFERROR(VLOOKUP($A493,observations_series_id_WPU0613020T_api_key_ecc133893ea92a842ee685c734246086_file[],3,FALSE),"")</f>
        <v/>
      </c>
      <c r="G493" t="str">
        <f>IFERROR(VLOOKUP($A493,observations_series_id_PCU22122212_api_key_ecc133893ea92a842ee685c734246086_file[],2,FALSE),"")</f>
        <v/>
      </c>
      <c r="H493" s="2" t="str">
        <f>IFERROR(VLOOKUP($A493,observations_series_id_PCU22122212_api_key_ecc133893ea92a842ee685c734246086_file[],3,FALSE),"")</f>
        <v/>
      </c>
      <c r="I493">
        <f>IFERROR(VLOOKUP($A493,observations_series_id_PCU3241913241910_api_key_ecc133893ea92a842ee685c734246086[],2,FALSE),"")</f>
        <v>161.9</v>
      </c>
      <c r="J493" s="2">
        <f>IFERROR(VLOOKUP($A493,observations_series_id_PCU3241913241910_api_key_ecc133893ea92a842ee685c734246086[],3,FALSE),"")</f>
        <v>0.68252007411982707</v>
      </c>
      <c r="K493">
        <f>IFERROR(VLOOKUP($A493,observations_series_id_EXJPUS_api_key_ecc133893ea92a842ee685c734246086_file_type[],2,FALSE),"")</f>
        <v>117.07089999999999</v>
      </c>
      <c r="L493" s="2">
        <f>IFERROR(VLOOKUP($A493,observations_series_id_EXJPUS_api_key_ecc133893ea92a842ee685c734246086_file_type[],3,FALSE),"")</f>
        <v>-2.0581468153059386</v>
      </c>
      <c r="M493" t="str">
        <f>IFERROR(AVERAGEIFS(timeseries_access_key_fqeas14oitk235763mntlb1c0brnk9w3fenzqbk313q5kvxyf52kukw1pa[Value.LME-ZNC],timeseries_access_key_fqeas14oitk235763mntlb1c0brnk9w3fenzqbk313q5kvxyf52kukw1pa[Month],MONTH(Data!$A493),timeseries_access_key_fqeas14oitk235763mntlb1c0brnk9w3fenzqbk313q5kvxyf52kukw1pa[Year],YEAR(Data!$A493)),"")</f>
        <v/>
      </c>
      <c r="N493" s="2" t="str">
        <f>IFERROR(AVERAGEIFS(timeseries_access_key_fqeas14oitk235763mntlb1c0brnk9w3fenzqbk313q5kvxyf52kukw1pa[Column1],timeseries_access_key_fqeas14oitk235763mntlb1c0brnk9w3fenzqbk313q5kvxyf52kukw1pa[Month],MONTH(Data!$A493),timeseries_access_key_fqeas14oitk235763mntlb1c0brnk9w3fenzqbk313q5kvxyf52kukw1pa[Year],YEAR(Data!$A493)),"")</f>
        <v/>
      </c>
      <c r="O493" s="8" t="str">
        <f>IFERROR(VLOOKUP($A493,Text_1_2[[Text.1.1.3]:[Text.1.3]],2,FALSE),"")</f>
        <v/>
      </c>
      <c r="P493" s="2"/>
    </row>
    <row r="494" spans="1:16" x14ac:dyDescent="0.25">
      <c r="A494" s="1">
        <v>36161</v>
      </c>
      <c r="B494" t="str">
        <f>HLOOKUP(Dashboard!$I$27,results,ROW(A494),FALSE)</f>
        <v/>
      </c>
      <c r="C494">
        <f>IFERROR(VLOOKUP(A494,observations_series_id_PCU22112222112243_api_key_ecc133893ea92a842ee685c73424608[],2,FALSE),"")</f>
        <v>106</v>
      </c>
      <c r="D494" s="2">
        <f>IFERROR(VLOOKUP(A494,observations_series_id_PCU22112222112243_api_key_ecc133893ea92a842ee685c73424608[],3,FALSE),"")</f>
        <v>0.83584905660377362</v>
      </c>
      <c r="E494" t="str">
        <f>IFERROR(VLOOKUP($A494,observations_series_id_WPU0613020T_api_key_ecc133893ea92a842ee685c734246086_file[],2,FALSE),"")</f>
        <v/>
      </c>
      <c r="F494" s="2" t="str">
        <f>IFERROR(VLOOKUP($A494,observations_series_id_WPU0613020T_api_key_ecc133893ea92a842ee685c734246086_file[],3,FALSE),"")</f>
        <v/>
      </c>
      <c r="G494" t="str">
        <f>IFERROR(VLOOKUP($A494,observations_series_id_PCU22122212_api_key_ecc133893ea92a842ee685c734246086_file[],2,FALSE),"")</f>
        <v/>
      </c>
      <c r="H494" s="2" t="str">
        <f>IFERROR(VLOOKUP($A494,observations_series_id_PCU22122212_api_key_ecc133893ea92a842ee685c734246086_file[],3,FALSE),"")</f>
        <v/>
      </c>
      <c r="I494">
        <f>IFERROR(VLOOKUP($A494,observations_series_id_PCU3241913241910_api_key_ecc133893ea92a842ee685c734246086[],2,FALSE),"")</f>
        <v>162</v>
      </c>
      <c r="J494" s="2">
        <f>IFERROR(VLOOKUP($A494,observations_series_id_PCU3241913241910_api_key_ecc133893ea92a842ee685c734246086[],3,FALSE),"")</f>
        <v>0.68271604938271602</v>
      </c>
      <c r="K494">
        <f>IFERROR(VLOOKUP($A494,observations_series_id_EXJPUS_api_key_ecc133893ea92a842ee685c734246086_file_type[],2,FALSE),"")</f>
        <v>113.29</v>
      </c>
      <c r="L494" s="2">
        <f>IFERROR(VLOOKUP($A494,observations_series_id_EXJPUS_api_key_ecc133893ea92a842ee685c734246086_file_type[],3,FALSE),"")</f>
        <v>-2.1602083149439486</v>
      </c>
      <c r="M494" t="str">
        <f>IFERROR(AVERAGEIFS(timeseries_access_key_fqeas14oitk235763mntlb1c0brnk9w3fenzqbk313q5kvxyf52kukw1pa[Value.LME-ZNC],timeseries_access_key_fqeas14oitk235763mntlb1c0brnk9w3fenzqbk313q5kvxyf52kukw1pa[Month],MONTH(Data!$A494),timeseries_access_key_fqeas14oitk235763mntlb1c0brnk9w3fenzqbk313q5kvxyf52kukw1pa[Year],YEAR(Data!$A494)),"")</f>
        <v/>
      </c>
      <c r="N494" s="2" t="str">
        <f>IFERROR(AVERAGEIFS(timeseries_access_key_fqeas14oitk235763mntlb1c0brnk9w3fenzqbk313q5kvxyf52kukw1pa[Column1],timeseries_access_key_fqeas14oitk235763mntlb1c0brnk9w3fenzqbk313q5kvxyf52kukw1pa[Month],MONTH(Data!$A494),timeseries_access_key_fqeas14oitk235763mntlb1c0brnk9w3fenzqbk313q5kvxyf52kukw1pa[Year],YEAR(Data!$A494)),"")</f>
        <v/>
      </c>
      <c r="O494" s="8">
        <f>IFERROR(VLOOKUP($A494,Text_1_2[[Text.1.1.3]:[Text.1.3]],2,FALSE),"")</f>
        <v>12300</v>
      </c>
      <c r="P494" s="2"/>
    </row>
    <row r="495" spans="1:16" x14ac:dyDescent="0.25">
      <c r="A495" s="1">
        <v>36192</v>
      </c>
      <c r="B495" t="str">
        <f>HLOOKUP(Dashboard!$I$27,results,ROW(A495),FALSE)</f>
        <v/>
      </c>
      <c r="C495">
        <f>IFERROR(VLOOKUP(A495,observations_series_id_PCU22112222112243_api_key_ecc133893ea92a842ee685c73424608[],2,FALSE),"")</f>
        <v>105.5</v>
      </c>
      <c r="D495" s="2">
        <f>IFERROR(VLOOKUP(A495,observations_series_id_PCU22112222112243_api_key_ecc133893ea92a842ee685c73424608[],3,FALSE),"")</f>
        <v>0.83507109004739344</v>
      </c>
      <c r="E495" t="str">
        <f>IFERROR(VLOOKUP($A495,observations_series_id_WPU0613020T_api_key_ecc133893ea92a842ee685c734246086_file[],2,FALSE),"")</f>
        <v/>
      </c>
      <c r="F495" s="2" t="str">
        <f>IFERROR(VLOOKUP($A495,observations_series_id_WPU0613020T_api_key_ecc133893ea92a842ee685c734246086_file[],3,FALSE),"")</f>
        <v/>
      </c>
      <c r="G495" t="str">
        <f>IFERROR(VLOOKUP($A495,observations_series_id_PCU22122212_api_key_ecc133893ea92a842ee685c734246086_file[],2,FALSE),"")</f>
        <v/>
      </c>
      <c r="H495" s="2" t="str">
        <f>IFERROR(VLOOKUP($A495,observations_series_id_PCU22122212_api_key_ecc133893ea92a842ee685c734246086_file[],3,FALSE),"")</f>
        <v/>
      </c>
      <c r="I495">
        <f>IFERROR(VLOOKUP($A495,observations_series_id_PCU3241913241910_api_key_ecc133893ea92a842ee685c734246086[],2,FALSE),"")</f>
        <v>161.9</v>
      </c>
      <c r="J495" s="2">
        <f>IFERROR(VLOOKUP($A495,observations_series_id_PCU3241913241910_api_key_ecc133893ea92a842ee685c734246086[],3,FALSE),"")</f>
        <v>0.68252007411982707</v>
      </c>
      <c r="K495">
        <f>IFERROR(VLOOKUP($A495,observations_series_id_EXJPUS_api_key_ecc133893ea92a842ee685c734246086_file_type[],2,FALSE),"")</f>
        <v>116.66840000000001</v>
      </c>
      <c r="L495" s="2">
        <f>IFERROR(VLOOKUP($A495,observations_series_id_EXJPUS_api_key_ecc133893ea92a842ee685c734246086_file_type[],3,FALSE),"")</f>
        <v>-2.0686972650692046</v>
      </c>
      <c r="M495" t="str">
        <f>IFERROR(AVERAGEIFS(timeseries_access_key_fqeas14oitk235763mntlb1c0brnk9w3fenzqbk313q5kvxyf52kukw1pa[Value.LME-ZNC],timeseries_access_key_fqeas14oitk235763mntlb1c0brnk9w3fenzqbk313q5kvxyf52kukw1pa[Month],MONTH(Data!$A495),timeseries_access_key_fqeas14oitk235763mntlb1c0brnk9w3fenzqbk313q5kvxyf52kukw1pa[Year],YEAR(Data!$A495)),"")</f>
        <v/>
      </c>
      <c r="N495" s="2" t="str">
        <f>IFERROR(AVERAGEIFS(timeseries_access_key_fqeas14oitk235763mntlb1c0brnk9w3fenzqbk313q5kvxyf52kukw1pa[Column1],timeseries_access_key_fqeas14oitk235763mntlb1c0brnk9w3fenzqbk313q5kvxyf52kukw1pa[Month],MONTH(Data!$A495),timeseries_access_key_fqeas14oitk235763mntlb1c0brnk9w3fenzqbk313q5kvxyf52kukw1pa[Year],YEAR(Data!$A495)),"")</f>
        <v/>
      </c>
      <c r="O495" s="8" t="str">
        <f>IFERROR(VLOOKUP($A495,Text_1_2[[Text.1.1.3]:[Text.1.3]],2,FALSE),"")</f>
        <v/>
      </c>
      <c r="P495" s="2"/>
    </row>
    <row r="496" spans="1:16" x14ac:dyDescent="0.25">
      <c r="A496" s="1">
        <v>36220</v>
      </c>
      <c r="B496" t="str">
        <f>HLOOKUP(Dashboard!$I$27,results,ROW(A496),FALSE)</f>
        <v/>
      </c>
      <c r="C496">
        <f>IFERROR(VLOOKUP(A496,observations_series_id_PCU22112222112243_api_key_ecc133893ea92a842ee685c73424608[],2,FALSE),"")</f>
        <v>105.6</v>
      </c>
      <c r="D496" s="2">
        <f>IFERROR(VLOOKUP(A496,observations_series_id_PCU22112222112243_api_key_ecc133893ea92a842ee685c73424608[],3,FALSE),"")</f>
        <v>0.83522727272727271</v>
      </c>
      <c r="E496" t="str">
        <f>IFERROR(VLOOKUP($A496,observations_series_id_WPU0613020T_api_key_ecc133893ea92a842ee685c734246086_file[],2,FALSE),"")</f>
        <v/>
      </c>
      <c r="F496" s="2" t="str">
        <f>IFERROR(VLOOKUP($A496,observations_series_id_WPU0613020T_api_key_ecc133893ea92a842ee685c734246086_file[],3,FALSE),"")</f>
        <v/>
      </c>
      <c r="G496" t="str">
        <f>IFERROR(VLOOKUP($A496,observations_series_id_PCU22122212_api_key_ecc133893ea92a842ee685c734246086_file[],2,FALSE),"")</f>
        <v/>
      </c>
      <c r="H496" s="2" t="str">
        <f>IFERROR(VLOOKUP($A496,observations_series_id_PCU22122212_api_key_ecc133893ea92a842ee685c734246086_file[],3,FALSE),"")</f>
        <v/>
      </c>
      <c r="I496">
        <f>IFERROR(VLOOKUP($A496,observations_series_id_PCU3241913241910_api_key_ecc133893ea92a842ee685c734246086[],2,FALSE),"")</f>
        <v>162.1</v>
      </c>
      <c r="J496" s="2">
        <f>IFERROR(VLOOKUP($A496,observations_series_id_PCU3241913241910_api_key_ecc133893ea92a842ee685c734246086[],3,FALSE),"")</f>
        <v>0.68291178285009257</v>
      </c>
      <c r="K496">
        <f>IFERROR(VLOOKUP($A496,observations_series_id_EXJPUS_api_key_ecc133893ea92a842ee685c734246086_file_type[],2,FALSE),"")</f>
        <v>119.473</v>
      </c>
      <c r="L496" s="2">
        <f>IFERROR(VLOOKUP($A496,observations_series_id_EXJPUS_api_key_ecc133893ea92a842ee685c734246086_file_type[],3,FALSE),"")</f>
        <v>-1.9966603332970627</v>
      </c>
      <c r="M496" t="str">
        <f>IFERROR(AVERAGEIFS(timeseries_access_key_fqeas14oitk235763mntlb1c0brnk9w3fenzqbk313q5kvxyf52kukw1pa[Value.LME-ZNC],timeseries_access_key_fqeas14oitk235763mntlb1c0brnk9w3fenzqbk313q5kvxyf52kukw1pa[Month],MONTH(Data!$A496),timeseries_access_key_fqeas14oitk235763mntlb1c0brnk9w3fenzqbk313q5kvxyf52kukw1pa[Year],YEAR(Data!$A496)),"")</f>
        <v/>
      </c>
      <c r="N496" s="2" t="str">
        <f>IFERROR(AVERAGEIFS(timeseries_access_key_fqeas14oitk235763mntlb1c0brnk9w3fenzqbk313q5kvxyf52kukw1pa[Column1],timeseries_access_key_fqeas14oitk235763mntlb1c0brnk9w3fenzqbk313q5kvxyf52kukw1pa[Month],MONTH(Data!$A496),timeseries_access_key_fqeas14oitk235763mntlb1c0brnk9w3fenzqbk313q5kvxyf52kukw1pa[Year],YEAR(Data!$A496)),"")</f>
        <v/>
      </c>
      <c r="O496" s="8" t="str">
        <f>IFERROR(VLOOKUP($A496,Text_1_2[[Text.1.1.3]:[Text.1.3]],2,FALSE),"")</f>
        <v/>
      </c>
      <c r="P496" s="2"/>
    </row>
    <row r="497" spans="1:16" x14ac:dyDescent="0.25">
      <c r="A497" s="1">
        <v>36251</v>
      </c>
      <c r="B497" t="str">
        <f>HLOOKUP(Dashboard!$I$27,results,ROW(A497),FALSE)</f>
        <v/>
      </c>
      <c r="C497">
        <f>IFERROR(VLOOKUP(A497,observations_series_id_PCU22112222112243_api_key_ecc133893ea92a842ee685c73424608[],2,FALSE),"")</f>
        <v>105.3</v>
      </c>
      <c r="D497" s="2">
        <f>IFERROR(VLOOKUP(A497,observations_series_id_PCU22112222112243_api_key_ecc133893ea92a842ee685c73424608[],3,FALSE),"")</f>
        <v>0.83475783475783483</v>
      </c>
      <c r="E497" t="str">
        <f>IFERROR(VLOOKUP($A497,observations_series_id_WPU0613020T_api_key_ecc133893ea92a842ee685c734246086_file[],2,FALSE),"")</f>
        <v/>
      </c>
      <c r="F497" s="2" t="str">
        <f>IFERROR(VLOOKUP($A497,observations_series_id_WPU0613020T_api_key_ecc133893ea92a842ee685c734246086_file[],3,FALSE),"")</f>
        <v/>
      </c>
      <c r="G497" t="str">
        <f>IFERROR(VLOOKUP($A497,observations_series_id_PCU22122212_api_key_ecc133893ea92a842ee685c734246086_file[],2,FALSE),"")</f>
        <v/>
      </c>
      <c r="H497" s="2" t="str">
        <f>IFERROR(VLOOKUP($A497,observations_series_id_PCU22122212_api_key_ecc133893ea92a842ee685c734246086_file[],3,FALSE),"")</f>
        <v/>
      </c>
      <c r="I497">
        <f>IFERROR(VLOOKUP($A497,observations_series_id_PCU3241913241910_api_key_ecc133893ea92a842ee685c734246086[],2,FALSE),"")</f>
        <v>161.9</v>
      </c>
      <c r="J497" s="2">
        <f>IFERROR(VLOOKUP($A497,observations_series_id_PCU3241913241910_api_key_ecc133893ea92a842ee685c734246086[],3,FALSE),"")</f>
        <v>0.68252007411982707</v>
      </c>
      <c r="K497">
        <f>IFERROR(VLOOKUP($A497,observations_series_id_EXJPUS_api_key_ecc133893ea92a842ee685c734246086_file_type[],2,FALSE),"")</f>
        <v>119.7723</v>
      </c>
      <c r="L497" s="2">
        <f>IFERROR(VLOOKUP($A497,observations_series_id_EXJPUS_api_key_ecc133893ea92a842ee685c734246086_file_type[],3,FALSE),"")</f>
        <v>-1.9891719537823018</v>
      </c>
      <c r="M497" t="str">
        <f>IFERROR(AVERAGEIFS(timeseries_access_key_fqeas14oitk235763mntlb1c0brnk9w3fenzqbk313q5kvxyf52kukw1pa[Value.LME-ZNC],timeseries_access_key_fqeas14oitk235763mntlb1c0brnk9w3fenzqbk313q5kvxyf52kukw1pa[Month],MONTH(Data!$A497),timeseries_access_key_fqeas14oitk235763mntlb1c0brnk9w3fenzqbk313q5kvxyf52kukw1pa[Year],YEAR(Data!$A497)),"")</f>
        <v/>
      </c>
      <c r="N497" s="2" t="str">
        <f>IFERROR(AVERAGEIFS(timeseries_access_key_fqeas14oitk235763mntlb1c0brnk9w3fenzqbk313q5kvxyf52kukw1pa[Column1],timeseries_access_key_fqeas14oitk235763mntlb1c0brnk9w3fenzqbk313q5kvxyf52kukw1pa[Month],MONTH(Data!$A497),timeseries_access_key_fqeas14oitk235763mntlb1c0brnk9w3fenzqbk313q5kvxyf52kukw1pa[Year],YEAR(Data!$A497)),"")</f>
        <v/>
      </c>
      <c r="O497" s="8">
        <f>IFERROR(VLOOKUP($A497,Text_1_2[[Text.1.1.3]:[Text.1.3]],2,FALSE),"")</f>
        <v>14800</v>
      </c>
      <c r="P497" s="2"/>
    </row>
    <row r="498" spans="1:16" x14ac:dyDescent="0.25">
      <c r="A498" s="1">
        <v>36281</v>
      </c>
      <c r="B498" t="str">
        <f>HLOOKUP(Dashboard!$I$27,results,ROW(A498),FALSE)</f>
        <v/>
      </c>
      <c r="C498">
        <f>IFERROR(VLOOKUP(A498,observations_series_id_PCU22112222112243_api_key_ecc133893ea92a842ee685c73424608[],2,FALSE),"")</f>
        <v>107.1</v>
      </c>
      <c r="D498" s="2">
        <f>IFERROR(VLOOKUP(A498,observations_series_id_PCU22112222112243_api_key_ecc133893ea92a842ee685c73424608[],3,FALSE),"")</f>
        <v>0.83753501400560226</v>
      </c>
      <c r="E498" t="str">
        <f>IFERROR(VLOOKUP($A498,observations_series_id_WPU0613020T_api_key_ecc133893ea92a842ee685c734246086_file[],2,FALSE),"")</f>
        <v/>
      </c>
      <c r="F498" s="2" t="str">
        <f>IFERROR(VLOOKUP($A498,observations_series_id_WPU0613020T_api_key_ecc133893ea92a842ee685c734246086_file[],3,FALSE),"")</f>
        <v/>
      </c>
      <c r="G498" t="str">
        <f>IFERROR(VLOOKUP($A498,observations_series_id_PCU22122212_api_key_ecc133893ea92a842ee685c734246086_file[],2,FALSE),"")</f>
        <v/>
      </c>
      <c r="H498" s="2" t="str">
        <f>IFERROR(VLOOKUP($A498,observations_series_id_PCU22122212_api_key_ecc133893ea92a842ee685c734246086_file[],3,FALSE),"")</f>
        <v/>
      </c>
      <c r="I498">
        <f>IFERROR(VLOOKUP($A498,observations_series_id_PCU3241913241910_api_key_ecc133893ea92a842ee685c734246086[],2,FALSE),"")</f>
        <v>161.1</v>
      </c>
      <c r="J498" s="2">
        <f>IFERROR(VLOOKUP($A498,observations_series_id_PCU3241913241910_api_key_ecc133893ea92a842ee685c734246086[],3,FALSE),"")</f>
        <v>0.68094351334574799</v>
      </c>
      <c r="K498">
        <f>IFERROR(VLOOKUP($A498,observations_series_id_EXJPUS_api_key_ecc133893ea92a842ee685c734246086_file_type[],2,FALSE),"")</f>
        <v>121.9995</v>
      </c>
      <c r="L498" s="2">
        <f>IFERROR(VLOOKUP($A498,observations_series_id_EXJPUS_api_key_ecc133893ea92a842ee685c734246086_file_type[],3,FALSE),"")</f>
        <v>-1.9346021909925861</v>
      </c>
      <c r="M498" t="str">
        <f>IFERROR(AVERAGEIFS(timeseries_access_key_fqeas14oitk235763mntlb1c0brnk9w3fenzqbk313q5kvxyf52kukw1pa[Value.LME-ZNC],timeseries_access_key_fqeas14oitk235763mntlb1c0brnk9w3fenzqbk313q5kvxyf52kukw1pa[Month],MONTH(Data!$A498),timeseries_access_key_fqeas14oitk235763mntlb1c0brnk9w3fenzqbk313q5kvxyf52kukw1pa[Year],YEAR(Data!$A498)),"")</f>
        <v/>
      </c>
      <c r="N498" s="2" t="str">
        <f>IFERROR(AVERAGEIFS(timeseries_access_key_fqeas14oitk235763mntlb1c0brnk9w3fenzqbk313q5kvxyf52kukw1pa[Column1],timeseries_access_key_fqeas14oitk235763mntlb1c0brnk9w3fenzqbk313q5kvxyf52kukw1pa[Month],MONTH(Data!$A498),timeseries_access_key_fqeas14oitk235763mntlb1c0brnk9w3fenzqbk313q5kvxyf52kukw1pa[Year],YEAR(Data!$A498)),"")</f>
        <v/>
      </c>
      <c r="O498" s="8" t="str">
        <f>IFERROR(VLOOKUP($A498,Text_1_2[[Text.1.1.3]:[Text.1.3]],2,FALSE),"")</f>
        <v/>
      </c>
      <c r="P498" s="2"/>
    </row>
    <row r="499" spans="1:16" x14ac:dyDescent="0.25">
      <c r="A499" s="1">
        <v>36312</v>
      </c>
      <c r="B499" t="str">
        <f>HLOOKUP(Dashboard!$I$27,results,ROW(A499),FALSE)</f>
        <v/>
      </c>
      <c r="C499">
        <f>IFERROR(VLOOKUP(A499,observations_series_id_PCU22112222112243_api_key_ecc133893ea92a842ee685c73424608[],2,FALSE),"")</f>
        <v>110.7</v>
      </c>
      <c r="D499" s="2">
        <f>IFERROR(VLOOKUP(A499,observations_series_id_PCU22112222112243_api_key_ecc133893ea92a842ee685c73424608[],3,FALSE),"")</f>
        <v>0.84281842818428188</v>
      </c>
      <c r="E499" t="str">
        <f>IFERROR(VLOOKUP($A499,observations_series_id_WPU0613020T_api_key_ecc133893ea92a842ee685c734246086_file[],2,FALSE),"")</f>
        <v/>
      </c>
      <c r="F499" s="2" t="str">
        <f>IFERROR(VLOOKUP($A499,observations_series_id_WPU0613020T_api_key_ecc133893ea92a842ee685c734246086_file[],3,FALSE),"")</f>
        <v/>
      </c>
      <c r="G499" t="str">
        <f>IFERROR(VLOOKUP($A499,observations_series_id_PCU22122212_api_key_ecc133893ea92a842ee685c734246086_file[],2,FALSE),"")</f>
        <v/>
      </c>
      <c r="H499" s="2" t="str">
        <f>IFERROR(VLOOKUP($A499,observations_series_id_PCU22122212_api_key_ecc133893ea92a842ee685c734246086_file[],3,FALSE),"")</f>
        <v/>
      </c>
      <c r="I499">
        <f>IFERROR(VLOOKUP($A499,observations_series_id_PCU3241913241910_api_key_ecc133893ea92a842ee685c734246086[],2,FALSE),"")</f>
        <v>162.6</v>
      </c>
      <c r="J499" s="2">
        <f>IFERROR(VLOOKUP($A499,observations_series_id_PCU3241913241910_api_key_ecc133893ea92a842ee685c734246086[],3,FALSE),"")</f>
        <v>0.68388683886838875</v>
      </c>
      <c r="K499">
        <f>IFERROR(VLOOKUP($A499,observations_series_id_EXJPUS_api_key_ecc133893ea92a842ee685c734246086_file_type[],2,FALSE),"")</f>
        <v>120.72450000000001</v>
      </c>
      <c r="L499" s="2">
        <f>IFERROR(VLOOKUP($A499,observations_series_id_EXJPUS_api_key_ecc133893ea92a842ee685c734246086_file_type[],3,FALSE),"")</f>
        <v>-1.9655952188660955</v>
      </c>
      <c r="M499" t="str">
        <f>IFERROR(AVERAGEIFS(timeseries_access_key_fqeas14oitk235763mntlb1c0brnk9w3fenzqbk313q5kvxyf52kukw1pa[Value.LME-ZNC],timeseries_access_key_fqeas14oitk235763mntlb1c0brnk9w3fenzqbk313q5kvxyf52kukw1pa[Month],MONTH(Data!$A499),timeseries_access_key_fqeas14oitk235763mntlb1c0brnk9w3fenzqbk313q5kvxyf52kukw1pa[Year],YEAR(Data!$A499)),"")</f>
        <v/>
      </c>
      <c r="N499" s="2" t="str">
        <f>IFERROR(AVERAGEIFS(timeseries_access_key_fqeas14oitk235763mntlb1c0brnk9w3fenzqbk313q5kvxyf52kukw1pa[Column1],timeseries_access_key_fqeas14oitk235763mntlb1c0brnk9w3fenzqbk313q5kvxyf52kukw1pa[Month],MONTH(Data!$A499),timeseries_access_key_fqeas14oitk235763mntlb1c0brnk9w3fenzqbk313q5kvxyf52kukw1pa[Year],YEAR(Data!$A499)),"")</f>
        <v/>
      </c>
      <c r="O499" s="8" t="str">
        <f>IFERROR(VLOOKUP($A499,Text_1_2[[Text.1.1.3]:[Text.1.3]],2,FALSE),"")</f>
        <v/>
      </c>
      <c r="P499" s="2"/>
    </row>
    <row r="500" spans="1:16" x14ac:dyDescent="0.25">
      <c r="A500" s="1">
        <v>36342</v>
      </c>
      <c r="B500" t="str">
        <f>HLOOKUP(Dashboard!$I$27,results,ROW(A500),FALSE)</f>
        <v/>
      </c>
      <c r="C500">
        <f>IFERROR(VLOOKUP(A500,observations_series_id_PCU22112222112243_api_key_ecc133893ea92a842ee685c73424608[],2,FALSE),"")</f>
        <v>112.6</v>
      </c>
      <c r="D500" s="2">
        <f>IFERROR(VLOOKUP(A500,observations_series_id_PCU22112222112243_api_key_ecc133893ea92a842ee685c73424608[],3,FALSE),"")</f>
        <v>0.84547069271758435</v>
      </c>
      <c r="E500" t="str">
        <f>IFERROR(VLOOKUP($A500,observations_series_id_WPU0613020T_api_key_ecc133893ea92a842ee685c734246086_file[],2,FALSE),"")</f>
        <v/>
      </c>
      <c r="F500" s="2" t="str">
        <f>IFERROR(VLOOKUP($A500,observations_series_id_WPU0613020T_api_key_ecc133893ea92a842ee685c734246086_file[],3,FALSE),"")</f>
        <v/>
      </c>
      <c r="G500" t="str">
        <f>IFERROR(VLOOKUP($A500,observations_series_id_PCU22122212_api_key_ecc133893ea92a842ee685c734246086_file[],2,FALSE),"")</f>
        <v/>
      </c>
      <c r="H500" s="2" t="str">
        <f>IFERROR(VLOOKUP($A500,observations_series_id_PCU22122212_api_key_ecc133893ea92a842ee685c734246086_file[],3,FALSE),"")</f>
        <v/>
      </c>
      <c r="I500">
        <f>IFERROR(VLOOKUP($A500,observations_series_id_PCU3241913241910_api_key_ecc133893ea92a842ee685c734246086[],2,FALSE),"")</f>
        <v>163.69999999999999</v>
      </c>
      <c r="J500" s="2">
        <f>IFERROR(VLOOKUP($A500,observations_series_id_PCU3241913241910_api_key_ecc133893ea92a842ee685c734246086[],3,FALSE),"")</f>
        <v>0.68601099572388513</v>
      </c>
      <c r="K500">
        <f>IFERROR(VLOOKUP($A500,observations_series_id_EXJPUS_api_key_ecc133893ea92a842ee685c734246086_file_type[],2,FALSE),"")</f>
        <v>119.3305</v>
      </c>
      <c r="L500" s="2">
        <f>IFERROR(VLOOKUP($A500,observations_series_id_EXJPUS_api_key_ecc133893ea92a842ee685c734246086_file_type[],3,FALSE),"")</f>
        <v>-2.0002388324862461</v>
      </c>
      <c r="M500" t="str">
        <f>IFERROR(AVERAGEIFS(timeseries_access_key_fqeas14oitk235763mntlb1c0brnk9w3fenzqbk313q5kvxyf52kukw1pa[Value.LME-ZNC],timeseries_access_key_fqeas14oitk235763mntlb1c0brnk9w3fenzqbk313q5kvxyf52kukw1pa[Month],MONTH(Data!$A500),timeseries_access_key_fqeas14oitk235763mntlb1c0brnk9w3fenzqbk313q5kvxyf52kukw1pa[Year],YEAR(Data!$A500)),"")</f>
        <v/>
      </c>
      <c r="N500" s="2" t="str">
        <f>IFERROR(AVERAGEIFS(timeseries_access_key_fqeas14oitk235763mntlb1c0brnk9w3fenzqbk313q5kvxyf52kukw1pa[Column1],timeseries_access_key_fqeas14oitk235763mntlb1c0brnk9w3fenzqbk313q5kvxyf52kukw1pa[Month],MONTH(Data!$A500),timeseries_access_key_fqeas14oitk235763mntlb1c0brnk9w3fenzqbk313q5kvxyf52kukw1pa[Year],YEAR(Data!$A500)),"")</f>
        <v/>
      </c>
      <c r="O500" s="8">
        <f>IFERROR(VLOOKUP($A500,Text_1_2[[Text.1.1.3]:[Text.1.3]],2,FALSE),"")</f>
        <v>17700</v>
      </c>
      <c r="P500" s="2"/>
    </row>
    <row r="501" spans="1:16" x14ac:dyDescent="0.25">
      <c r="A501" s="1">
        <v>36373</v>
      </c>
      <c r="B501" t="str">
        <f>HLOOKUP(Dashboard!$I$27,results,ROW(A501),FALSE)</f>
        <v/>
      </c>
      <c r="C501">
        <f>IFERROR(VLOOKUP(A501,observations_series_id_PCU22112222112243_api_key_ecc133893ea92a842ee685c73424608[],2,FALSE),"")</f>
        <v>112.6</v>
      </c>
      <c r="D501" s="2">
        <f>IFERROR(VLOOKUP(A501,observations_series_id_PCU22112222112243_api_key_ecc133893ea92a842ee685c73424608[],3,FALSE),"")</f>
        <v>0.84547069271758435</v>
      </c>
      <c r="E501" t="str">
        <f>IFERROR(VLOOKUP($A501,observations_series_id_WPU0613020T_api_key_ecc133893ea92a842ee685c734246086_file[],2,FALSE),"")</f>
        <v/>
      </c>
      <c r="F501" s="2" t="str">
        <f>IFERROR(VLOOKUP($A501,observations_series_id_WPU0613020T_api_key_ecc133893ea92a842ee685c734246086_file[],3,FALSE),"")</f>
        <v/>
      </c>
      <c r="G501" t="str">
        <f>IFERROR(VLOOKUP($A501,observations_series_id_PCU22122212_api_key_ecc133893ea92a842ee685c734246086_file[],2,FALSE),"")</f>
        <v/>
      </c>
      <c r="H501" s="2" t="str">
        <f>IFERROR(VLOOKUP($A501,observations_series_id_PCU22122212_api_key_ecc133893ea92a842ee685c734246086_file[],3,FALSE),"")</f>
        <v/>
      </c>
      <c r="I501">
        <f>IFERROR(VLOOKUP($A501,observations_series_id_PCU3241913241910_api_key_ecc133893ea92a842ee685c734246086[],2,FALSE),"")</f>
        <v>163.69999999999999</v>
      </c>
      <c r="J501" s="2">
        <f>IFERROR(VLOOKUP($A501,observations_series_id_PCU3241913241910_api_key_ecc133893ea92a842ee685c734246086[],3,FALSE),"")</f>
        <v>0.68601099572388513</v>
      </c>
      <c r="K501">
        <f>IFERROR(VLOOKUP($A501,observations_series_id_EXJPUS_api_key_ecc133893ea92a842ee685c734246086_file_type[],2,FALSE),"")</f>
        <v>113.2268</v>
      </c>
      <c r="L501" s="2">
        <f>IFERROR(VLOOKUP($A501,observations_series_id_EXJPUS_api_key_ecc133893ea92a842ee685c734246086_file_type[],3,FALSE),"")</f>
        <v>-2.1619722539186834</v>
      </c>
      <c r="M501" t="str">
        <f>IFERROR(AVERAGEIFS(timeseries_access_key_fqeas14oitk235763mntlb1c0brnk9w3fenzqbk313q5kvxyf52kukw1pa[Value.LME-ZNC],timeseries_access_key_fqeas14oitk235763mntlb1c0brnk9w3fenzqbk313q5kvxyf52kukw1pa[Month],MONTH(Data!$A501),timeseries_access_key_fqeas14oitk235763mntlb1c0brnk9w3fenzqbk313q5kvxyf52kukw1pa[Year],YEAR(Data!$A501)),"")</f>
        <v/>
      </c>
      <c r="N501" s="2" t="str">
        <f>IFERROR(AVERAGEIFS(timeseries_access_key_fqeas14oitk235763mntlb1c0brnk9w3fenzqbk313q5kvxyf52kukw1pa[Column1],timeseries_access_key_fqeas14oitk235763mntlb1c0brnk9w3fenzqbk313q5kvxyf52kukw1pa[Month],MONTH(Data!$A501),timeseries_access_key_fqeas14oitk235763mntlb1c0brnk9w3fenzqbk313q5kvxyf52kukw1pa[Year],YEAR(Data!$A501)),"")</f>
        <v/>
      </c>
      <c r="O501" s="8" t="str">
        <f>IFERROR(VLOOKUP($A501,Text_1_2[[Text.1.1.3]:[Text.1.3]],2,FALSE),"")</f>
        <v/>
      </c>
      <c r="P501" s="2"/>
    </row>
    <row r="502" spans="1:16" x14ac:dyDescent="0.25">
      <c r="A502" s="1">
        <v>36404</v>
      </c>
      <c r="B502" t="str">
        <f>HLOOKUP(Dashboard!$I$27,results,ROW(A502),FALSE)</f>
        <v/>
      </c>
      <c r="C502">
        <f>IFERROR(VLOOKUP(A502,observations_series_id_PCU22112222112243_api_key_ecc133893ea92a842ee685c73424608[],2,FALSE),"")</f>
        <v>112.7</v>
      </c>
      <c r="D502" s="2">
        <f>IFERROR(VLOOKUP(A502,observations_series_id_PCU22112222112243_api_key_ecc133893ea92a842ee685c73424608[],3,FALSE),"")</f>
        <v>0.84560780834072757</v>
      </c>
      <c r="E502" t="str">
        <f>IFERROR(VLOOKUP($A502,observations_series_id_WPU0613020T_api_key_ecc133893ea92a842ee685c734246086_file[],2,FALSE),"")</f>
        <v/>
      </c>
      <c r="F502" s="2" t="str">
        <f>IFERROR(VLOOKUP($A502,observations_series_id_WPU0613020T_api_key_ecc133893ea92a842ee685c734246086_file[],3,FALSE),"")</f>
        <v/>
      </c>
      <c r="G502" t="str">
        <f>IFERROR(VLOOKUP($A502,observations_series_id_PCU22122212_api_key_ecc133893ea92a842ee685c734246086_file[],2,FALSE),"")</f>
        <v/>
      </c>
      <c r="H502" s="2" t="str">
        <f>IFERROR(VLOOKUP($A502,observations_series_id_PCU22122212_api_key_ecc133893ea92a842ee685c734246086_file[],3,FALSE),"")</f>
        <v/>
      </c>
      <c r="I502">
        <f>IFERROR(VLOOKUP($A502,observations_series_id_PCU3241913241910_api_key_ecc133893ea92a842ee685c734246086[],2,FALSE),"")</f>
        <v>164.5</v>
      </c>
      <c r="J502" s="2">
        <f>IFERROR(VLOOKUP($A502,observations_series_id_PCU3241913241910_api_key_ecc133893ea92a842ee685c734246086[],3,FALSE),"")</f>
        <v>0.6875379939209727</v>
      </c>
      <c r="K502">
        <f>IFERROR(VLOOKUP($A502,observations_series_id_EXJPUS_api_key_ecc133893ea92a842ee685c734246086_file_type[],2,FALSE),"")</f>
        <v>106.87520000000001</v>
      </c>
      <c r="L502" s="2">
        <f>IFERROR(VLOOKUP($A502,observations_series_id_EXJPUS_api_key_ecc133893ea92a842ee685c734246086_file_type[],3,FALSE),"")</f>
        <v>-2.3498884680449716</v>
      </c>
      <c r="M502" t="str">
        <f>IFERROR(AVERAGEIFS(timeseries_access_key_fqeas14oitk235763mntlb1c0brnk9w3fenzqbk313q5kvxyf52kukw1pa[Value.LME-ZNC],timeseries_access_key_fqeas14oitk235763mntlb1c0brnk9w3fenzqbk313q5kvxyf52kukw1pa[Month],MONTH(Data!$A502),timeseries_access_key_fqeas14oitk235763mntlb1c0brnk9w3fenzqbk313q5kvxyf52kukw1pa[Year],YEAR(Data!$A502)),"")</f>
        <v/>
      </c>
      <c r="N502" s="2" t="str">
        <f>IFERROR(AVERAGEIFS(timeseries_access_key_fqeas14oitk235763mntlb1c0brnk9w3fenzqbk313q5kvxyf52kukw1pa[Column1],timeseries_access_key_fqeas14oitk235763mntlb1c0brnk9w3fenzqbk313q5kvxyf52kukw1pa[Month],MONTH(Data!$A502),timeseries_access_key_fqeas14oitk235763mntlb1c0brnk9w3fenzqbk313q5kvxyf52kukw1pa[Year],YEAR(Data!$A502)),"")</f>
        <v/>
      </c>
      <c r="O502" s="8" t="str">
        <f>IFERROR(VLOOKUP($A502,Text_1_2[[Text.1.1.3]:[Text.1.3]],2,FALSE),"")</f>
        <v/>
      </c>
      <c r="P502" s="2"/>
    </row>
    <row r="503" spans="1:16" x14ac:dyDescent="0.25">
      <c r="A503" s="1">
        <v>36434</v>
      </c>
      <c r="B503" t="str">
        <f>HLOOKUP(Dashboard!$I$27,results,ROW(A503),FALSE)</f>
        <v/>
      </c>
      <c r="C503">
        <f>IFERROR(VLOOKUP(A503,observations_series_id_PCU22112222112243_api_key_ecc133893ea92a842ee685c73424608[],2,FALSE),"")</f>
        <v>108.9</v>
      </c>
      <c r="D503" s="2">
        <f>IFERROR(VLOOKUP(A503,observations_series_id_PCU22112222112243_api_key_ecc133893ea92a842ee685c73424608[],3,FALSE),"")</f>
        <v>0.84022038567493118</v>
      </c>
      <c r="E503" t="str">
        <f>IFERROR(VLOOKUP($A503,observations_series_id_WPU0613020T_api_key_ecc133893ea92a842ee685c734246086_file[],2,FALSE),"")</f>
        <v/>
      </c>
      <c r="F503" s="2" t="str">
        <f>IFERROR(VLOOKUP($A503,observations_series_id_WPU0613020T_api_key_ecc133893ea92a842ee685c734246086_file[],3,FALSE),"")</f>
        <v/>
      </c>
      <c r="G503" t="str">
        <f>IFERROR(VLOOKUP($A503,observations_series_id_PCU22122212_api_key_ecc133893ea92a842ee685c734246086_file[],2,FALSE),"")</f>
        <v/>
      </c>
      <c r="H503" s="2" t="str">
        <f>IFERROR(VLOOKUP($A503,observations_series_id_PCU22122212_api_key_ecc133893ea92a842ee685c734246086_file[],3,FALSE),"")</f>
        <v/>
      </c>
      <c r="I503">
        <f>IFERROR(VLOOKUP($A503,observations_series_id_PCU3241913241910_api_key_ecc133893ea92a842ee685c734246086[],2,FALSE),"")</f>
        <v>165.4</v>
      </c>
      <c r="J503" s="2">
        <f>IFERROR(VLOOKUP($A503,observations_series_id_PCU3241913241910_api_key_ecc133893ea92a842ee685c734246086[],3,FALSE),"")</f>
        <v>0.68923821039903266</v>
      </c>
      <c r="K503">
        <f>IFERROR(VLOOKUP($A503,observations_series_id_EXJPUS_api_key_ecc133893ea92a842ee685c734246086_file_type[],2,FALSE),"")</f>
        <v>105.965</v>
      </c>
      <c r="L503" s="2">
        <f>IFERROR(VLOOKUP($A503,observations_series_id_EXJPUS_api_key_ecc133893ea92a842ee685c734246086_file_type[],3,FALSE),"")</f>
        <v>-2.3786627660076438</v>
      </c>
      <c r="M503" t="str">
        <f>IFERROR(AVERAGEIFS(timeseries_access_key_fqeas14oitk235763mntlb1c0brnk9w3fenzqbk313q5kvxyf52kukw1pa[Value.LME-ZNC],timeseries_access_key_fqeas14oitk235763mntlb1c0brnk9w3fenzqbk313q5kvxyf52kukw1pa[Month],MONTH(Data!$A503),timeseries_access_key_fqeas14oitk235763mntlb1c0brnk9w3fenzqbk313q5kvxyf52kukw1pa[Year],YEAR(Data!$A503)),"")</f>
        <v/>
      </c>
      <c r="N503" s="2" t="str">
        <f>IFERROR(AVERAGEIFS(timeseries_access_key_fqeas14oitk235763mntlb1c0brnk9w3fenzqbk313q5kvxyf52kukw1pa[Column1],timeseries_access_key_fqeas14oitk235763mntlb1c0brnk9w3fenzqbk313q5kvxyf52kukw1pa[Month],MONTH(Data!$A503),timeseries_access_key_fqeas14oitk235763mntlb1c0brnk9w3fenzqbk313q5kvxyf52kukw1pa[Year],YEAR(Data!$A503)),"")</f>
        <v/>
      </c>
      <c r="O503" s="8">
        <f>IFERROR(VLOOKUP($A503,Text_1_2[[Text.1.1.3]:[Text.1.3]],2,FALSE),"")</f>
        <v>19100</v>
      </c>
      <c r="P503" s="2"/>
    </row>
    <row r="504" spans="1:16" x14ac:dyDescent="0.25">
      <c r="A504" s="1">
        <v>36465</v>
      </c>
      <c r="B504" t="str">
        <f>HLOOKUP(Dashboard!$I$27,results,ROW(A504),FALSE)</f>
        <v/>
      </c>
      <c r="C504">
        <f>IFERROR(VLOOKUP(A504,observations_series_id_PCU22112222112243_api_key_ecc133893ea92a842ee685c73424608[],2,FALSE),"")</f>
        <v>107.2</v>
      </c>
      <c r="D504" s="2">
        <f>IFERROR(VLOOKUP(A504,observations_series_id_PCU22112222112243_api_key_ecc133893ea92a842ee685c73424608[],3,FALSE),"")</f>
        <v>0.83768656716417911</v>
      </c>
      <c r="E504" t="str">
        <f>IFERROR(VLOOKUP($A504,observations_series_id_WPU0613020T_api_key_ecc133893ea92a842ee685c734246086_file[],2,FALSE),"")</f>
        <v/>
      </c>
      <c r="F504" s="2" t="str">
        <f>IFERROR(VLOOKUP($A504,observations_series_id_WPU0613020T_api_key_ecc133893ea92a842ee685c734246086_file[],3,FALSE),"")</f>
        <v/>
      </c>
      <c r="G504" t="str">
        <f>IFERROR(VLOOKUP($A504,observations_series_id_PCU22122212_api_key_ecc133893ea92a842ee685c734246086_file[],2,FALSE),"")</f>
        <v/>
      </c>
      <c r="H504" s="2" t="str">
        <f>IFERROR(VLOOKUP($A504,observations_series_id_PCU22122212_api_key_ecc133893ea92a842ee685c734246086_file[],3,FALSE),"")</f>
        <v/>
      </c>
      <c r="I504">
        <f>IFERROR(VLOOKUP($A504,observations_series_id_PCU3241913241910_api_key_ecc133893ea92a842ee685c734246086[],2,FALSE),"")</f>
        <v>165.6</v>
      </c>
      <c r="J504" s="2">
        <f>IFERROR(VLOOKUP($A504,observations_series_id_PCU3241913241910_api_key_ecc133893ea92a842ee685c734246086[],3,FALSE),"")</f>
        <v>0.68961352657004826</v>
      </c>
      <c r="K504">
        <f>IFERROR(VLOOKUP($A504,observations_series_id_EXJPUS_api_key_ecc133893ea92a842ee685c734246086_file_type[],2,FALSE),"")</f>
        <v>104.6485</v>
      </c>
      <c r="L504" s="2">
        <f>IFERROR(VLOOKUP($A504,observations_series_id_EXJPUS_api_key_ecc133893ea92a842ee685c734246086_file_type[],3,FALSE),"")</f>
        <v>-2.4211670496949309</v>
      </c>
      <c r="M504" t="str">
        <f>IFERROR(AVERAGEIFS(timeseries_access_key_fqeas14oitk235763mntlb1c0brnk9w3fenzqbk313q5kvxyf52kukw1pa[Value.LME-ZNC],timeseries_access_key_fqeas14oitk235763mntlb1c0brnk9w3fenzqbk313q5kvxyf52kukw1pa[Month],MONTH(Data!$A504),timeseries_access_key_fqeas14oitk235763mntlb1c0brnk9w3fenzqbk313q5kvxyf52kukw1pa[Year],YEAR(Data!$A504)),"")</f>
        <v/>
      </c>
      <c r="N504" s="2" t="str">
        <f>IFERROR(AVERAGEIFS(timeseries_access_key_fqeas14oitk235763mntlb1c0brnk9w3fenzqbk313q5kvxyf52kukw1pa[Column1],timeseries_access_key_fqeas14oitk235763mntlb1c0brnk9w3fenzqbk313q5kvxyf52kukw1pa[Month],MONTH(Data!$A504),timeseries_access_key_fqeas14oitk235763mntlb1c0brnk9w3fenzqbk313q5kvxyf52kukw1pa[Year],YEAR(Data!$A504)),"")</f>
        <v/>
      </c>
      <c r="O504" s="8" t="str">
        <f>IFERROR(VLOOKUP($A504,Text_1_2[[Text.1.1.3]:[Text.1.3]],2,FALSE),"")</f>
        <v/>
      </c>
      <c r="P504" s="2"/>
    </row>
    <row r="505" spans="1:16" x14ac:dyDescent="0.25">
      <c r="A505" s="1">
        <v>36495</v>
      </c>
      <c r="B505" t="str">
        <f>HLOOKUP(Dashboard!$I$27,results,ROW(A505),FALSE)</f>
        <v/>
      </c>
      <c r="C505">
        <f>IFERROR(VLOOKUP(A505,observations_series_id_PCU22112222112243_api_key_ecc133893ea92a842ee685c73424608[],2,FALSE),"")</f>
        <v>106.4</v>
      </c>
      <c r="D505" s="2">
        <f>IFERROR(VLOOKUP(A505,observations_series_id_PCU22112222112243_api_key_ecc133893ea92a842ee685c73424608[],3,FALSE),"")</f>
        <v>0.83646616541353391</v>
      </c>
      <c r="E505" t="str">
        <f>IFERROR(VLOOKUP($A505,observations_series_id_WPU0613020T_api_key_ecc133893ea92a842ee685c734246086_file[],2,FALSE),"")</f>
        <v/>
      </c>
      <c r="F505" s="2" t="str">
        <f>IFERROR(VLOOKUP($A505,observations_series_id_WPU0613020T_api_key_ecc133893ea92a842ee685c734246086_file[],3,FALSE),"")</f>
        <v/>
      </c>
      <c r="G505" t="str">
        <f>IFERROR(VLOOKUP($A505,observations_series_id_PCU22122212_api_key_ecc133893ea92a842ee685c734246086_file[],2,FALSE),"")</f>
        <v/>
      </c>
      <c r="H505" s="2" t="str">
        <f>IFERROR(VLOOKUP($A505,observations_series_id_PCU22122212_api_key_ecc133893ea92a842ee685c734246086_file[],3,FALSE),"")</f>
        <v/>
      </c>
      <c r="I505">
        <f>IFERROR(VLOOKUP($A505,observations_series_id_PCU3241913241910_api_key_ecc133893ea92a842ee685c734246086[],2,FALSE),"")</f>
        <v>165.6</v>
      </c>
      <c r="J505" s="2">
        <f>IFERROR(VLOOKUP($A505,observations_series_id_PCU3241913241910_api_key_ecc133893ea92a842ee685c734246086[],3,FALSE),"")</f>
        <v>0.68961352657004826</v>
      </c>
      <c r="K505">
        <f>IFERROR(VLOOKUP($A505,observations_series_id_EXJPUS_api_key_ecc133893ea92a842ee685c734246086_file_type[],2,FALSE),"")</f>
        <v>102.5843</v>
      </c>
      <c r="L505" s="2">
        <f>IFERROR(VLOOKUP($A505,observations_series_id_EXJPUS_api_key_ecc133893ea92a842ee685c734246086_file_type[],3,FALSE),"")</f>
        <v>-2.4900077302277248</v>
      </c>
      <c r="M505" t="str">
        <f>IFERROR(AVERAGEIFS(timeseries_access_key_fqeas14oitk235763mntlb1c0brnk9w3fenzqbk313q5kvxyf52kukw1pa[Value.LME-ZNC],timeseries_access_key_fqeas14oitk235763mntlb1c0brnk9w3fenzqbk313q5kvxyf52kukw1pa[Month],MONTH(Data!$A505),timeseries_access_key_fqeas14oitk235763mntlb1c0brnk9w3fenzqbk313q5kvxyf52kukw1pa[Year],YEAR(Data!$A505)),"")</f>
        <v/>
      </c>
      <c r="N505" s="2" t="str">
        <f>IFERROR(AVERAGEIFS(timeseries_access_key_fqeas14oitk235763mntlb1c0brnk9w3fenzqbk313q5kvxyf52kukw1pa[Column1],timeseries_access_key_fqeas14oitk235763mntlb1c0brnk9w3fenzqbk313q5kvxyf52kukw1pa[Month],MONTH(Data!$A505),timeseries_access_key_fqeas14oitk235763mntlb1c0brnk9w3fenzqbk313q5kvxyf52kukw1pa[Year],YEAR(Data!$A505)),"")</f>
        <v/>
      </c>
      <c r="O505" s="8" t="str">
        <f>IFERROR(VLOOKUP($A505,Text_1_2[[Text.1.1.3]:[Text.1.3]],2,FALSE),"")</f>
        <v/>
      </c>
      <c r="P505" s="2"/>
    </row>
    <row r="506" spans="1:16" x14ac:dyDescent="0.25">
      <c r="A506" s="1">
        <v>36526</v>
      </c>
      <c r="B506" t="str">
        <f>HLOOKUP(Dashboard!$I$27,results,ROW(A506),FALSE)</f>
        <v/>
      </c>
      <c r="C506">
        <f>IFERROR(VLOOKUP(A506,observations_series_id_PCU22112222112243_api_key_ecc133893ea92a842ee685c73424608[],2,FALSE),"")</f>
        <v>106.6</v>
      </c>
      <c r="D506" s="2">
        <f>IFERROR(VLOOKUP(A506,observations_series_id_PCU22112222112243_api_key_ecc133893ea92a842ee685c73424608[],3,FALSE),"")</f>
        <v>0.83677298311444659</v>
      </c>
      <c r="E506" t="str">
        <f>IFERROR(VLOOKUP($A506,observations_series_id_WPU0613020T_api_key_ecc133893ea92a842ee685c734246086_file[],2,FALSE),"")</f>
        <v/>
      </c>
      <c r="F506" s="2" t="str">
        <f>IFERROR(VLOOKUP($A506,observations_series_id_WPU0613020T_api_key_ecc133893ea92a842ee685c734246086_file[],3,FALSE),"")</f>
        <v/>
      </c>
      <c r="G506" t="str">
        <f>IFERROR(VLOOKUP($A506,observations_series_id_PCU22122212_api_key_ecc133893ea92a842ee685c734246086_file[],2,FALSE),"")</f>
        <v/>
      </c>
      <c r="H506" s="2" t="str">
        <f>IFERROR(VLOOKUP($A506,observations_series_id_PCU22122212_api_key_ecc133893ea92a842ee685c734246086_file[],3,FALSE),"")</f>
        <v/>
      </c>
      <c r="I506">
        <f>IFERROR(VLOOKUP($A506,observations_series_id_PCU3241913241910_api_key_ecc133893ea92a842ee685c734246086[],2,FALSE),"")</f>
        <v>165.7</v>
      </c>
      <c r="J506" s="2">
        <f>IFERROR(VLOOKUP($A506,observations_series_id_PCU3241913241910_api_key_ecc133893ea92a842ee685c734246086[],3,FALSE),"")</f>
        <v>0.68980084490042248</v>
      </c>
      <c r="K506">
        <f>IFERROR(VLOOKUP($A506,observations_series_id_EXJPUS_api_key_ecc133893ea92a842ee685c734246086_file_type[],2,FALSE),"")</f>
        <v>105.29600000000001</v>
      </c>
      <c r="L506" s="2">
        <f>IFERROR(VLOOKUP($A506,observations_series_id_EXJPUS_api_key_ecc133893ea92a842ee685c734246086_file_type[],3,FALSE),"")</f>
        <v>-2.4001291597021726</v>
      </c>
      <c r="M506" t="str">
        <f>IFERROR(AVERAGEIFS(timeseries_access_key_fqeas14oitk235763mntlb1c0brnk9w3fenzqbk313q5kvxyf52kukw1pa[Value.LME-ZNC],timeseries_access_key_fqeas14oitk235763mntlb1c0brnk9w3fenzqbk313q5kvxyf52kukw1pa[Month],MONTH(Data!$A506),timeseries_access_key_fqeas14oitk235763mntlb1c0brnk9w3fenzqbk313q5kvxyf52kukw1pa[Year],YEAR(Data!$A506)),"")</f>
        <v/>
      </c>
      <c r="N506" s="2" t="str">
        <f>IFERROR(AVERAGEIFS(timeseries_access_key_fqeas14oitk235763mntlb1c0brnk9w3fenzqbk313q5kvxyf52kukw1pa[Column1],timeseries_access_key_fqeas14oitk235763mntlb1c0brnk9w3fenzqbk313q5kvxyf52kukw1pa[Month],MONTH(Data!$A506),timeseries_access_key_fqeas14oitk235763mntlb1c0brnk9w3fenzqbk313q5kvxyf52kukw1pa[Year],YEAR(Data!$A506)),"")</f>
        <v/>
      </c>
      <c r="O506" s="8">
        <f>IFERROR(VLOOKUP($A506,Text_1_2[[Text.1.1.3]:[Text.1.3]],2,FALSE),"")</f>
        <v>20200</v>
      </c>
      <c r="P506" s="2"/>
    </row>
    <row r="507" spans="1:16" x14ac:dyDescent="0.25">
      <c r="A507" s="1">
        <v>36557</v>
      </c>
      <c r="B507" t="str">
        <f>HLOOKUP(Dashboard!$I$27,results,ROW(A507),FALSE)</f>
        <v/>
      </c>
      <c r="C507">
        <f>IFERROR(VLOOKUP(A507,observations_series_id_PCU22112222112243_api_key_ecc133893ea92a842ee685c73424608[],2,FALSE),"")</f>
        <v>106.5</v>
      </c>
      <c r="D507" s="2">
        <f>IFERROR(VLOOKUP(A507,observations_series_id_PCU22112222112243_api_key_ecc133893ea92a842ee685c73424608[],3,FALSE),"")</f>
        <v>0.83661971830985915</v>
      </c>
      <c r="E507" t="str">
        <f>IFERROR(VLOOKUP($A507,observations_series_id_WPU0613020T_api_key_ecc133893ea92a842ee685c734246086_file[],2,FALSE),"")</f>
        <v/>
      </c>
      <c r="F507" s="2" t="str">
        <f>IFERROR(VLOOKUP($A507,observations_series_id_WPU0613020T_api_key_ecc133893ea92a842ee685c734246086_file[],3,FALSE),"")</f>
        <v/>
      </c>
      <c r="G507" t="str">
        <f>IFERROR(VLOOKUP($A507,observations_series_id_PCU22122212_api_key_ecc133893ea92a842ee685c734246086_file[],2,FALSE),"")</f>
        <v/>
      </c>
      <c r="H507" s="2" t="str">
        <f>IFERROR(VLOOKUP($A507,observations_series_id_PCU22122212_api_key_ecc133893ea92a842ee685c734246086_file[],3,FALSE),"")</f>
        <v/>
      </c>
      <c r="I507">
        <f>IFERROR(VLOOKUP($A507,observations_series_id_PCU3241913241910_api_key_ecc133893ea92a842ee685c734246086[],2,FALSE),"")</f>
        <v>167.2</v>
      </c>
      <c r="J507" s="2">
        <f>IFERROR(VLOOKUP($A507,observations_series_id_PCU3241913241910_api_key_ecc133893ea92a842ee685c734246086[],3,FALSE),"")</f>
        <v>0.69258373205741619</v>
      </c>
      <c r="K507">
        <f>IFERROR(VLOOKUP($A507,observations_series_id_EXJPUS_api_key_ecc133893ea92a842ee685c734246086_file_type[],2,FALSE),"")</f>
        <v>109.38849999999999</v>
      </c>
      <c r="L507" s="2">
        <f>IFERROR(VLOOKUP($A507,observations_series_id_EXJPUS_api_key_ecc133893ea92a842ee685c734246086_file_type[],3,FALSE),"")</f>
        <v>-2.2729217422306731</v>
      </c>
      <c r="M507" t="str">
        <f>IFERROR(AVERAGEIFS(timeseries_access_key_fqeas14oitk235763mntlb1c0brnk9w3fenzqbk313q5kvxyf52kukw1pa[Value.LME-ZNC],timeseries_access_key_fqeas14oitk235763mntlb1c0brnk9w3fenzqbk313q5kvxyf52kukw1pa[Month],MONTH(Data!$A507),timeseries_access_key_fqeas14oitk235763mntlb1c0brnk9w3fenzqbk313q5kvxyf52kukw1pa[Year],YEAR(Data!$A507)),"")</f>
        <v/>
      </c>
      <c r="N507" s="2" t="str">
        <f>IFERROR(AVERAGEIFS(timeseries_access_key_fqeas14oitk235763mntlb1c0brnk9w3fenzqbk313q5kvxyf52kukw1pa[Column1],timeseries_access_key_fqeas14oitk235763mntlb1c0brnk9w3fenzqbk313q5kvxyf52kukw1pa[Month],MONTH(Data!$A507),timeseries_access_key_fqeas14oitk235763mntlb1c0brnk9w3fenzqbk313q5kvxyf52kukw1pa[Year],YEAR(Data!$A507)),"")</f>
        <v/>
      </c>
      <c r="O507" s="8" t="str">
        <f>IFERROR(VLOOKUP($A507,Text_1_2[[Text.1.1.3]:[Text.1.3]],2,FALSE),"")</f>
        <v/>
      </c>
      <c r="P507" s="2"/>
    </row>
    <row r="508" spans="1:16" x14ac:dyDescent="0.25">
      <c r="A508" s="1">
        <v>36586</v>
      </c>
      <c r="B508" t="str">
        <f>HLOOKUP(Dashboard!$I$27,results,ROW(A508),FALSE)</f>
        <v/>
      </c>
      <c r="C508">
        <f>IFERROR(VLOOKUP(A508,observations_series_id_PCU22112222112243_api_key_ecc133893ea92a842ee685c73424608[],2,FALSE),"")</f>
        <v>106.5</v>
      </c>
      <c r="D508" s="2">
        <f>IFERROR(VLOOKUP(A508,observations_series_id_PCU22112222112243_api_key_ecc133893ea92a842ee685c73424608[],3,FALSE),"")</f>
        <v>0.83661971830985915</v>
      </c>
      <c r="E508" t="str">
        <f>IFERROR(VLOOKUP($A508,observations_series_id_WPU0613020T_api_key_ecc133893ea92a842ee685c734246086_file[],2,FALSE),"")</f>
        <v/>
      </c>
      <c r="F508" s="2" t="str">
        <f>IFERROR(VLOOKUP($A508,observations_series_id_WPU0613020T_api_key_ecc133893ea92a842ee685c734246086_file[],3,FALSE),"")</f>
        <v/>
      </c>
      <c r="G508" t="str">
        <f>IFERROR(VLOOKUP($A508,observations_series_id_PCU22122212_api_key_ecc133893ea92a842ee685c734246086_file[],2,FALSE),"")</f>
        <v/>
      </c>
      <c r="H508" s="2" t="str">
        <f>IFERROR(VLOOKUP($A508,observations_series_id_PCU22122212_api_key_ecc133893ea92a842ee685c734246086_file[],3,FALSE),"")</f>
        <v/>
      </c>
      <c r="I508">
        <f>IFERROR(VLOOKUP($A508,observations_series_id_PCU3241913241910_api_key_ecc133893ea92a842ee685c734246086[],2,FALSE),"")</f>
        <v>169.3</v>
      </c>
      <c r="J508" s="2">
        <f>IFERROR(VLOOKUP($A508,observations_series_id_PCU3241913241910_api_key_ecc133893ea92a842ee685c734246086[],3,FALSE),"")</f>
        <v>0.69639692852923807</v>
      </c>
      <c r="K508">
        <f>IFERROR(VLOOKUP($A508,observations_series_id_EXJPUS_api_key_ecc133893ea92a842ee685c734246086_file_type[],2,FALSE),"")</f>
        <v>106.3074</v>
      </c>
      <c r="L508" s="2">
        <f>IFERROR(VLOOKUP($A508,observations_series_id_EXJPUS_api_key_ecc133893ea92a842ee685c734246086_file_type[],3,FALSE),"")</f>
        <v>-2.3677806060537647</v>
      </c>
      <c r="M508" t="str">
        <f>IFERROR(AVERAGEIFS(timeseries_access_key_fqeas14oitk235763mntlb1c0brnk9w3fenzqbk313q5kvxyf52kukw1pa[Value.LME-ZNC],timeseries_access_key_fqeas14oitk235763mntlb1c0brnk9w3fenzqbk313q5kvxyf52kukw1pa[Month],MONTH(Data!$A508),timeseries_access_key_fqeas14oitk235763mntlb1c0brnk9w3fenzqbk313q5kvxyf52kukw1pa[Year],YEAR(Data!$A508)),"")</f>
        <v/>
      </c>
      <c r="N508" s="2" t="str">
        <f>IFERROR(AVERAGEIFS(timeseries_access_key_fqeas14oitk235763mntlb1c0brnk9w3fenzqbk313q5kvxyf52kukw1pa[Column1],timeseries_access_key_fqeas14oitk235763mntlb1c0brnk9w3fenzqbk313q5kvxyf52kukw1pa[Month],MONTH(Data!$A508),timeseries_access_key_fqeas14oitk235763mntlb1c0brnk9w3fenzqbk313q5kvxyf52kukw1pa[Year],YEAR(Data!$A508)),"")</f>
        <v/>
      </c>
      <c r="O508" s="8" t="str">
        <f>IFERROR(VLOOKUP($A508,Text_1_2[[Text.1.1.3]:[Text.1.3]],2,FALSE),"")</f>
        <v/>
      </c>
      <c r="P508" s="2"/>
    </row>
    <row r="509" spans="1:16" x14ac:dyDescent="0.25">
      <c r="A509" s="1">
        <v>36617</v>
      </c>
      <c r="B509" t="str">
        <f>HLOOKUP(Dashboard!$I$27,results,ROW(A509),FALSE)</f>
        <v/>
      </c>
      <c r="C509">
        <f>IFERROR(VLOOKUP(A509,observations_series_id_PCU22112222112243_api_key_ecc133893ea92a842ee685c73424608[],2,FALSE),"")</f>
        <v>106.6</v>
      </c>
      <c r="D509" s="2">
        <f>IFERROR(VLOOKUP(A509,observations_series_id_PCU22112222112243_api_key_ecc133893ea92a842ee685c73424608[],3,FALSE),"")</f>
        <v>0.83677298311444659</v>
      </c>
      <c r="E509" t="str">
        <f>IFERROR(VLOOKUP($A509,observations_series_id_WPU0613020T_api_key_ecc133893ea92a842ee685c734246086_file[],2,FALSE),"")</f>
        <v/>
      </c>
      <c r="F509" s="2" t="str">
        <f>IFERROR(VLOOKUP($A509,observations_series_id_WPU0613020T_api_key_ecc133893ea92a842ee685c734246086_file[],3,FALSE),"")</f>
        <v/>
      </c>
      <c r="G509" t="str">
        <f>IFERROR(VLOOKUP($A509,observations_series_id_PCU22122212_api_key_ecc133893ea92a842ee685c734246086_file[],2,FALSE),"")</f>
        <v/>
      </c>
      <c r="H509" s="2" t="str">
        <f>IFERROR(VLOOKUP($A509,observations_series_id_PCU22122212_api_key_ecc133893ea92a842ee685c734246086_file[],3,FALSE),"")</f>
        <v/>
      </c>
      <c r="I509">
        <f>IFERROR(VLOOKUP($A509,observations_series_id_PCU3241913241910_api_key_ecc133893ea92a842ee685c734246086[],2,FALSE),"")</f>
        <v>171.5</v>
      </c>
      <c r="J509" s="2">
        <f>IFERROR(VLOOKUP($A509,observations_series_id_PCU3241913241910_api_key_ecc133893ea92a842ee685c734246086[],3,FALSE),"")</f>
        <v>0.70029154518950443</v>
      </c>
      <c r="K509">
        <f>IFERROR(VLOOKUP($A509,observations_series_id_EXJPUS_api_key_ecc133893ea92a842ee685c734246086_file_type[],2,FALSE),"")</f>
        <v>105.627</v>
      </c>
      <c r="L509" s="2">
        <f>IFERROR(VLOOKUP($A509,observations_series_id_EXJPUS_api_key_ecc133893ea92a842ee685c734246086_file_type[],3,FALSE),"")</f>
        <v>-2.38947428214377</v>
      </c>
      <c r="M509" t="str">
        <f>IFERROR(AVERAGEIFS(timeseries_access_key_fqeas14oitk235763mntlb1c0brnk9w3fenzqbk313q5kvxyf52kukw1pa[Value.LME-ZNC],timeseries_access_key_fqeas14oitk235763mntlb1c0brnk9w3fenzqbk313q5kvxyf52kukw1pa[Month],MONTH(Data!$A509),timeseries_access_key_fqeas14oitk235763mntlb1c0brnk9w3fenzqbk313q5kvxyf52kukw1pa[Year],YEAR(Data!$A509)),"")</f>
        <v/>
      </c>
      <c r="N509" s="2" t="str">
        <f>IFERROR(AVERAGEIFS(timeseries_access_key_fqeas14oitk235763mntlb1c0brnk9w3fenzqbk313q5kvxyf52kukw1pa[Column1],timeseries_access_key_fqeas14oitk235763mntlb1c0brnk9w3fenzqbk313q5kvxyf52kukw1pa[Month],MONTH(Data!$A509),timeseries_access_key_fqeas14oitk235763mntlb1c0brnk9w3fenzqbk313q5kvxyf52kukw1pa[Year],YEAR(Data!$A509)),"")</f>
        <v/>
      </c>
      <c r="O509" s="8">
        <f>IFERROR(VLOOKUP($A509,Text_1_2[[Text.1.1.3]:[Text.1.3]],2,FALSE),"")</f>
        <v>21700</v>
      </c>
      <c r="P509" s="2"/>
    </row>
    <row r="510" spans="1:16" x14ac:dyDescent="0.25">
      <c r="A510" s="1">
        <v>36647</v>
      </c>
      <c r="B510" t="str">
        <f>HLOOKUP(Dashboard!$I$27,results,ROW(A510),FALSE)</f>
        <v/>
      </c>
      <c r="C510">
        <f>IFERROR(VLOOKUP(A510,observations_series_id_PCU22112222112243_api_key_ecc133893ea92a842ee685c73424608[],2,FALSE),"")</f>
        <v>108.1</v>
      </c>
      <c r="D510" s="2">
        <f>IFERROR(VLOOKUP(A510,observations_series_id_PCU22112222112243_api_key_ecc133893ea92a842ee685c73424608[],3,FALSE),"")</f>
        <v>0.8390379278445883</v>
      </c>
      <c r="E510" t="str">
        <f>IFERROR(VLOOKUP($A510,observations_series_id_WPU0613020T_api_key_ecc133893ea92a842ee685c734246086_file[],2,FALSE),"")</f>
        <v/>
      </c>
      <c r="F510" s="2" t="str">
        <f>IFERROR(VLOOKUP($A510,observations_series_id_WPU0613020T_api_key_ecc133893ea92a842ee685c734246086_file[],3,FALSE),"")</f>
        <v/>
      </c>
      <c r="G510" t="str">
        <f>IFERROR(VLOOKUP($A510,observations_series_id_PCU22122212_api_key_ecc133893ea92a842ee685c734246086_file[],2,FALSE),"")</f>
        <v/>
      </c>
      <c r="H510" s="2" t="str">
        <f>IFERROR(VLOOKUP($A510,observations_series_id_PCU22122212_api_key_ecc133893ea92a842ee685c734246086_file[],3,FALSE),"")</f>
        <v/>
      </c>
      <c r="I510">
        <f>IFERROR(VLOOKUP($A510,observations_series_id_PCU3241913241910_api_key_ecc133893ea92a842ee685c734246086[],2,FALSE),"")</f>
        <v>176.1</v>
      </c>
      <c r="J510" s="2">
        <f>IFERROR(VLOOKUP($A510,observations_series_id_PCU3241913241910_api_key_ecc133893ea92a842ee685c734246086[],3,FALSE),"")</f>
        <v>0.70812038614423622</v>
      </c>
      <c r="K510">
        <f>IFERROR(VLOOKUP($A510,observations_series_id_EXJPUS_api_key_ecc133893ea92a842ee685c734246086_file_type[],2,FALSE),"")</f>
        <v>108.3205</v>
      </c>
      <c r="L510" s="2">
        <f>IFERROR(VLOOKUP($A510,observations_series_id_EXJPUS_api_key_ecc133893ea92a842ee685c734246086_file_type[],3,FALSE),"")</f>
        <v>-2.3051915380745105</v>
      </c>
      <c r="M510" t="str">
        <f>IFERROR(AVERAGEIFS(timeseries_access_key_fqeas14oitk235763mntlb1c0brnk9w3fenzqbk313q5kvxyf52kukw1pa[Value.LME-ZNC],timeseries_access_key_fqeas14oitk235763mntlb1c0brnk9w3fenzqbk313q5kvxyf52kukw1pa[Month],MONTH(Data!$A510),timeseries_access_key_fqeas14oitk235763mntlb1c0brnk9w3fenzqbk313q5kvxyf52kukw1pa[Year],YEAR(Data!$A510)),"")</f>
        <v/>
      </c>
      <c r="N510" s="2" t="str">
        <f>IFERROR(AVERAGEIFS(timeseries_access_key_fqeas14oitk235763mntlb1c0brnk9w3fenzqbk313q5kvxyf52kukw1pa[Column1],timeseries_access_key_fqeas14oitk235763mntlb1c0brnk9w3fenzqbk313q5kvxyf52kukw1pa[Month],MONTH(Data!$A510),timeseries_access_key_fqeas14oitk235763mntlb1c0brnk9w3fenzqbk313q5kvxyf52kukw1pa[Year],YEAR(Data!$A510)),"")</f>
        <v/>
      </c>
      <c r="O510" s="8" t="str">
        <f>IFERROR(VLOOKUP($A510,Text_1_2[[Text.1.1.3]:[Text.1.3]],2,FALSE),"")</f>
        <v/>
      </c>
      <c r="P510" s="2"/>
    </row>
    <row r="511" spans="1:16" x14ac:dyDescent="0.25">
      <c r="A511" s="1">
        <v>36678</v>
      </c>
      <c r="B511" t="str">
        <f>HLOOKUP(Dashboard!$I$27,results,ROW(A511),FALSE)</f>
        <v/>
      </c>
      <c r="C511">
        <f>IFERROR(VLOOKUP(A511,observations_series_id_PCU22112222112243_api_key_ecc133893ea92a842ee685c73424608[],2,FALSE),"")</f>
        <v>112.3</v>
      </c>
      <c r="D511" s="2">
        <f>IFERROR(VLOOKUP(A511,observations_series_id_PCU22112222112243_api_key_ecc133893ea92a842ee685c73424608[],3,FALSE),"")</f>
        <v>0.84505788067675869</v>
      </c>
      <c r="E511" t="str">
        <f>IFERROR(VLOOKUP($A511,observations_series_id_WPU0613020T_api_key_ecc133893ea92a842ee685c734246086_file[],2,FALSE),"")</f>
        <v/>
      </c>
      <c r="F511" s="2" t="str">
        <f>IFERROR(VLOOKUP($A511,observations_series_id_WPU0613020T_api_key_ecc133893ea92a842ee685c734246086_file[],3,FALSE),"")</f>
        <v/>
      </c>
      <c r="G511" t="str">
        <f>IFERROR(VLOOKUP($A511,observations_series_id_PCU22122212_api_key_ecc133893ea92a842ee685c734246086_file[],2,FALSE),"")</f>
        <v/>
      </c>
      <c r="H511" s="2" t="str">
        <f>IFERROR(VLOOKUP($A511,observations_series_id_PCU22122212_api_key_ecc133893ea92a842ee685c734246086_file[],3,FALSE),"")</f>
        <v/>
      </c>
      <c r="I511">
        <f>IFERROR(VLOOKUP($A511,observations_series_id_PCU3241913241910_api_key_ecc133893ea92a842ee685c734246086[],2,FALSE),"")</f>
        <v>176.2</v>
      </c>
      <c r="J511" s="2">
        <f>IFERROR(VLOOKUP($A511,observations_series_id_PCU3241913241910_api_key_ecc133893ea92a842ee685c734246086[],3,FALSE),"")</f>
        <v>0.70828603859250849</v>
      </c>
      <c r="K511">
        <f>IFERROR(VLOOKUP($A511,observations_series_id_EXJPUS_api_key_ecc133893ea92a842ee685c734246086_file_type[],2,FALSE),"")</f>
        <v>106.1255</v>
      </c>
      <c r="L511" s="2">
        <f>IFERROR(VLOOKUP($A511,observations_series_id_EXJPUS_api_key_ecc133893ea92a842ee685c734246086_file_type[],3,FALSE),"")</f>
        <v>-2.3735530103509523</v>
      </c>
      <c r="M511" t="str">
        <f>IFERROR(AVERAGEIFS(timeseries_access_key_fqeas14oitk235763mntlb1c0brnk9w3fenzqbk313q5kvxyf52kukw1pa[Value.LME-ZNC],timeseries_access_key_fqeas14oitk235763mntlb1c0brnk9w3fenzqbk313q5kvxyf52kukw1pa[Month],MONTH(Data!$A511),timeseries_access_key_fqeas14oitk235763mntlb1c0brnk9w3fenzqbk313q5kvxyf52kukw1pa[Year],YEAR(Data!$A511)),"")</f>
        <v/>
      </c>
      <c r="N511" s="2" t="str">
        <f>IFERROR(AVERAGEIFS(timeseries_access_key_fqeas14oitk235763mntlb1c0brnk9w3fenzqbk313q5kvxyf52kukw1pa[Column1],timeseries_access_key_fqeas14oitk235763mntlb1c0brnk9w3fenzqbk313q5kvxyf52kukw1pa[Month],MONTH(Data!$A511),timeseries_access_key_fqeas14oitk235763mntlb1c0brnk9w3fenzqbk313q5kvxyf52kukw1pa[Year],YEAR(Data!$A511)),"")</f>
        <v/>
      </c>
      <c r="O511" s="8" t="str">
        <f>IFERROR(VLOOKUP($A511,Text_1_2[[Text.1.1.3]:[Text.1.3]],2,FALSE),"")</f>
        <v/>
      </c>
      <c r="P511" s="2"/>
    </row>
    <row r="512" spans="1:16" x14ac:dyDescent="0.25">
      <c r="A512" s="1">
        <v>36708</v>
      </c>
      <c r="B512" t="str">
        <f>HLOOKUP(Dashboard!$I$27,results,ROW(A512),FALSE)</f>
        <v/>
      </c>
      <c r="C512">
        <f>IFERROR(VLOOKUP(A512,observations_series_id_PCU22112222112243_api_key_ecc133893ea92a842ee685c73424608[],2,FALSE),"")</f>
        <v>114.5</v>
      </c>
      <c r="D512" s="2">
        <f>IFERROR(VLOOKUP(A512,observations_series_id_PCU22112222112243_api_key_ecc133893ea92a842ee685c73424608[],3,FALSE),"")</f>
        <v>0.84803493449781664</v>
      </c>
      <c r="E512" t="str">
        <f>IFERROR(VLOOKUP($A512,observations_series_id_WPU0613020T_api_key_ecc133893ea92a842ee685c734246086_file[],2,FALSE),"")</f>
        <v/>
      </c>
      <c r="F512" s="2" t="str">
        <f>IFERROR(VLOOKUP($A512,observations_series_id_WPU0613020T_api_key_ecc133893ea92a842ee685c734246086_file[],3,FALSE),"")</f>
        <v/>
      </c>
      <c r="G512" t="str">
        <f>IFERROR(VLOOKUP($A512,observations_series_id_PCU22122212_api_key_ecc133893ea92a842ee685c734246086_file[],2,FALSE),"")</f>
        <v/>
      </c>
      <c r="H512" s="2" t="str">
        <f>IFERROR(VLOOKUP($A512,observations_series_id_PCU22122212_api_key_ecc133893ea92a842ee685c734246086_file[],3,FALSE),"")</f>
        <v/>
      </c>
      <c r="I512">
        <f>IFERROR(VLOOKUP($A512,observations_series_id_PCU3241913241910_api_key_ecc133893ea92a842ee685c734246086[],2,FALSE),"")</f>
        <v>176.3</v>
      </c>
      <c r="J512" s="2">
        <f>IFERROR(VLOOKUP($A512,observations_series_id_PCU3241913241910_api_key_ecc133893ea92a842ee685c734246086[],3,FALSE),"")</f>
        <v>0.70845150311968241</v>
      </c>
      <c r="K512">
        <f>IFERROR(VLOOKUP($A512,observations_series_id_EXJPUS_api_key_ecc133893ea92a842ee685c734246086_file_type[],2,FALSE),"")</f>
        <v>108.2115</v>
      </c>
      <c r="L512" s="2">
        <f>IFERROR(VLOOKUP($A512,observations_series_id_EXJPUS_api_key_ecc133893ea92a842ee685c734246086_file_type[],3,FALSE),"")</f>
        <v>-2.3085208134070778</v>
      </c>
      <c r="M512" t="str">
        <f>IFERROR(AVERAGEIFS(timeseries_access_key_fqeas14oitk235763mntlb1c0brnk9w3fenzqbk313q5kvxyf52kukw1pa[Value.LME-ZNC],timeseries_access_key_fqeas14oitk235763mntlb1c0brnk9w3fenzqbk313q5kvxyf52kukw1pa[Month],MONTH(Data!$A512),timeseries_access_key_fqeas14oitk235763mntlb1c0brnk9w3fenzqbk313q5kvxyf52kukw1pa[Year],YEAR(Data!$A512)),"")</f>
        <v/>
      </c>
      <c r="N512" s="2" t="str">
        <f>IFERROR(AVERAGEIFS(timeseries_access_key_fqeas14oitk235763mntlb1c0brnk9w3fenzqbk313q5kvxyf52kukw1pa[Column1],timeseries_access_key_fqeas14oitk235763mntlb1c0brnk9w3fenzqbk313q5kvxyf52kukw1pa[Month],MONTH(Data!$A512),timeseries_access_key_fqeas14oitk235763mntlb1c0brnk9w3fenzqbk313q5kvxyf52kukw1pa[Year],YEAR(Data!$A512)),"")</f>
        <v/>
      </c>
      <c r="O512" s="8">
        <f>IFERROR(VLOOKUP($A512,Text_1_2[[Text.1.1.3]:[Text.1.3]],2,FALSE),"")</f>
        <v>22700</v>
      </c>
      <c r="P512" s="2"/>
    </row>
    <row r="513" spans="1:16" x14ac:dyDescent="0.25">
      <c r="A513" s="1">
        <v>36739</v>
      </c>
      <c r="B513" t="str">
        <f>HLOOKUP(Dashboard!$I$27,results,ROW(A513),FALSE)</f>
        <v/>
      </c>
      <c r="C513">
        <f>IFERROR(VLOOKUP(A513,observations_series_id_PCU22112222112243_api_key_ecc133893ea92a842ee685c73424608[],2,FALSE),"")</f>
        <v>115.5</v>
      </c>
      <c r="D513" s="2">
        <f>IFERROR(VLOOKUP(A513,observations_series_id_PCU22112222112243_api_key_ecc133893ea92a842ee685c73424608[],3,FALSE),"")</f>
        <v>0.8493506493506493</v>
      </c>
      <c r="E513" t="str">
        <f>IFERROR(VLOOKUP($A513,observations_series_id_WPU0613020T_api_key_ecc133893ea92a842ee685c734246086_file[],2,FALSE),"")</f>
        <v/>
      </c>
      <c r="F513" s="2" t="str">
        <f>IFERROR(VLOOKUP($A513,observations_series_id_WPU0613020T_api_key_ecc133893ea92a842ee685c734246086_file[],3,FALSE),"")</f>
        <v/>
      </c>
      <c r="G513" t="str">
        <f>IFERROR(VLOOKUP($A513,observations_series_id_PCU22122212_api_key_ecc133893ea92a842ee685c734246086_file[],2,FALSE),"")</f>
        <v/>
      </c>
      <c r="H513" s="2" t="str">
        <f>IFERROR(VLOOKUP($A513,observations_series_id_PCU22122212_api_key_ecc133893ea92a842ee685c734246086_file[],3,FALSE),"")</f>
        <v/>
      </c>
      <c r="I513">
        <f>IFERROR(VLOOKUP($A513,observations_series_id_PCU3241913241910_api_key_ecc133893ea92a842ee685c734246086[],2,FALSE),"")</f>
        <v>176.8</v>
      </c>
      <c r="J513" s="2">
        <f>IFERROR(VLOOKUP($A513,observations_series_id_PCU3241913241910_api_key_ecc133893ea92a842ee685c734246086[],3,FALSE),"")</f>
        <v>0.70927601809954754</v>
      </c>
      <c r="K513">
        <f>IFERROR(VLOOKUP($A513,observations_series_id_EXJPUS_api_key_ecc133893ea92a842ee685c734246086_file_type[],2,FALSE),"")</f>
        <v>108.0804</v>
      </c>
      <c r="L513" s="2">
        <f>IFERROR(VLOOKUP($A513,observations_series_id_EXJPUS_api_key_ecc133893ea92a842ee685c734246086_file_type[],3,FALSE),"")</f>
        <v>-2.3125340024648318</v>
      </c>
      <c r="M513" t="str">
        <f>IFERROR(AVERAGEIFS(timeseries_access_key_fqeas14oitk235763mntlb1c0brnk9w3fenzqbk313q5kvxyf52kukw1pa[Value.LME-ZNC],timeseries_access_key_fqeas14oitk235763mntlb1c0brnk9w3fenzqbk313q5kvxyf52kukw1pa[Month],MONTH(Data!$A513),timeseries_access_key_fqeas14oitk235763mntlb1c0brnk9w3fenzqbk313q5kvxyf52kukw1pa[Year],YEAR(Data!$A513)),"")</f>
        <v/>
      </c>
      <c r="N513" s="2" t="str">
        <f>IFERROR(AVERAGEIFS(timeseries_access_key_fqeas14oitk235763mntlb1c0brnk9w3fenzqbk313q5kvxyf52kukw1pa[Column1],timeseries_access_key_fqeas14oitk235763mntlb1c0brnk9w3fenzqbk313q5kvxyf52kukw1pa[Month],MONTH(Data!$A513),timeseries_access_key_fqeas14oitk235763mntlb1c0brnk9w3fenzqbk313q5kvxyf52kukw1pa[Year],YEAR(Data!$A513)),"")</f>
        <v/>
      </c>
      <c r="O513" s="8" t="str">
        <f>IFERROR(VLOOKUP($A513,Text_1_2[[Text.1.1.3]:[Text.1.3]],2,FALSE),"")</f>
        <v/>
      </c>
      <c r="P513" s="2"/>
    </row>
    <row r="514" spans="1:16" x14ac:dyDescent="0.25">
      <c r="A514" s="1">
        <v>36770</v>
      </c>
      <c r="B514" t="str">
        <f>HLOOKUP(Dashboard!$I$27,results,ROW(A514),FALSE)</f>
        <v/>
      </c>
      <c r="C514">
        <f>IFERROR(VLOOKUP(A514,observations_series_id_PCU22112222112243_api_key_ecc133893ea92a842ee685c73424608[],2,FALSE),"")</f>
        <v>115.8</v>
      </c>
      <c r="D514" s="2">
        <f>IFERROR(VLOOKUP(A514,observations_series_id_PCU22112222112243_api_key_ecc133893ea92a842ee685c73424608[],3,FALSE),"")</f>
        <v>0.84974093264248707</v>
      </c>
      <c r="E514" t="str">
        <f>IFERROR(VLOOKUP($A514,observations_series_id_WPU0613020T_api_key_ecc133893ea92a842ee685c734246086_file[],2,FALSE),"")</f>
        <v/>
      </c>
      <c r="F514" s="2" t="str">
        <f>IFERROR(VLOOKUP($A514,observations_series_id_WPU0613020T_api_key_ecc133893ea92a842ee685c734246086_file[],3,FALSE),"")</f>
        <v/>
      </c>
      <c r="G514" t="str">
        <f>IFERROR(VLOOKUP($A514,observations_series_id_PCU22122212_api_key_ecc133893ea92a842ee685c734246086_file[],2,FALSE),"")</f>
        <v/>
      </c>
      <c r="H514" s="2" t="str">
        <f>IFERROR(VLOOKUP($A514,observations_series_id_PCU22122212_api_key_ecc133893ea92a842ee685c734246086_file[],3,FALSE),"")</f>
        <v/>
      </c>
      <c r="I514">
        <f>IFERROR(VLOOKUP($A514,observations_series_id_PCU3241913241910_api_key_ecc133893ea92a842ee685c734246086[],2,FALSE),"")</f>
        <v>177.2</v>
      </c>
      <c r="J514" s="2">
        <f>IFERROR(VLOOKUP($A514,observations_series_id_PCU3241913241910_api_key_ecc133893ea92a842ee685c734246086[],3,FALSE),"")</f>
        <v>0.70993227990970653</v>
      </c>
      <c r="K514">
        <f>IFERROR(VLOOKUP($A514,observations_series_id_EXJPUS_api_key_ecc133893ea92a842ee685c734246086_file_type[],2,FALSE),"")</f>
        <v>106.83750000000001</v>
      </c>
      <c r="L514" s="2">
        <f>IFERROR(VLOOKUP($A514,observations_series_id_EXJPUS_api_key_ecc133893ea92a842ee685c734246086_file_type[],3,FALSE),"")</f>
        <v>-2.3510705510705505</v>
      </c>
      <c r="M514" t="str">
        <f>IFERROR(AVERAGEIFS(timeseries_access_key_fqeas14oitk235763mntlb1c0brnk9w3fenzqbk313q5kvxyf52kukw1pa[Value.LME-ZNC],timeseries_access_key_fqeas14oitk235763mntlb1c0brnk9w3fenzqbk313q5kvxyf52kukw1pa[Month],MONTH(Data!$A514),timeseries_access_key_fqeas14oitk235763mntlb1c0brnk9w3fenzqbk313q5kvxyf52kukw1pa[Year],YEAR(Data!$A514)),"")</f>
        <v/>
      </c>
      <c r="N514" s="2" t="str">
        <f>IFERROR(AVERAGEIFS(timeseries_access_key_fqeas14oitk235763mntlb1c0brnk9w3fenzqbk313q5kvxyf52kukw1pa[Column1],timeseries_access_key_fqeas14oitk235763mntlb1c0brnk9w3fenzqbk313q5kvxyf52kukw1pa[Month],MONTH(Data!$A514),timeseries_access_key_fqeas14oitk235763mntlb1c0brnk9w3fenzqbk313q5kvxyf52kukw1pa[Year],YEAR(Data!$A514)),"")</f>
        <v/>
      </c>
      <c r="O514" s="8" t="str">
        <f>IFERROR(VLOOKUP($A514,Text_1_2[[Text.1.1.3]:[Text.1.3]],2,FALSE),"")</f>
        <v/>
      </c>
      <c r="P514" s="2"/>
    </row>
    <row r="515" spans="1:16" x14ac:dyDescent="0.25">
      <c r="A515" s="1">
        <v>36800</v>
      </c>
      <c r="B515" t="str">
        <f>HLOOKUP(Dashboard!$I$27,results,ROW(A515),FALSE)</f>
        <v/>
      </c>
      <c r="C515">
        <f>IFERROR(VLOOKUP(A515,observations_series_id_PCU22112222112243_api_key_ecc133893ea92a842ee685c73424608[],2,FALSE),"")</f>
        <v>112.7</v>
      </c>
      <c r="D515" s="2">
        <f>IFERROR(VLOOKUP(A515,observations_series_id_PCU22112222112243_api_key_ecc133893ea92a842ee685c73424608[],3,FALSE),"")</f>
        <v>0.84560780834072757</v>
      </c>
      <c r="E515" t="str">
        <f>IFERROR(VLOOKUP($A515,observations_series_id_WPU0613020T_api_key_ecc133893ea92a842ee685c734246086_file[],2,FALSE),"")</f>
        <v/>
      </c>
      <c r="F515" s="2" t="str">
        <f>IFERROR(VLOOKUP($A515,observations_series_id_WPU0613020T_api_key_ecc133893ea92a842ee685c734246086_file[],3,FALSE),"")</f>
        <v/>
      </c>
      <c r="G515" t="str">
        <f>IFERROR(VLOOKUP($A515,observations_series_id_PCU22122212_api_key_ecc133893ea92a842ee685c734246086_file[],2,FALSE),"")</f>
        <v/>
      </c>
      <c r="H515" s="2" t="str">
        <f>IFERROR(VLOOKUP($A515,observations_series_id_PCU22122212_api_key_ecc133893ea92a842ee685c734246086_file[],3,FALSE),"")</f>
        <v/>
      </c>
      <c r="I515">
        <f>IFERROR(VLOOKUP($A515,observations_series_id_PCU3241913241910_api_key_ecc133893ea92a842ee685c734246086[],2,FALSE),"")</f>
        <v>178.1</v>
      </c>
      <c r="J515" s="2">
        <f>IFERROR(VLOOKUP($A515,observations_series_id_PCU3241913241910_api_key_ecc133893ea92a842ee685c734246086[],3,FALSE),"")</f>
        <v>0.71139809096013473</v>
      </c>
      <c r="K515">
        <f>IFERROR(VLOOKUP($A515,observations_series_id_EXJPUS_api_key_ecc133893ea92a842ee685c734246086_file_type[],2,FALSE),"")</f>
        <v>108.44289999999999</v>
      </c>
      <c r="L515" s="2">
        <f>IFERROR(VLOOKUP($A515,observations_series_id_EXJPUS_api_key_ecc133893ea92a842ee685c734246086_file_type[],3,FALSE),"")</f>
        <v>-2.301460953183657</v>
      </c>
      <c r="M515" t="str">
        <f>IFERROR(AVERAGEIFS(timeseries_access_key_fqeas14oitk235763mntlb1c0brnk9w3fenzqbk313q5kvxyf52kukw1pa[Value.LME-ZNC],timeseries_access_key_fqeas14oitk235763mntlb1c0brnk9w3fenzqbk313q5kvxyf52kukw1pa[Month],MONTH(Data!$A515),timeseries_access_key_fqeas14oitk235763mntlb1c0brnk9w3fenzqbk313q5kvxyf52kukw1pa[Year],YEAR(Data!$A515)),"")</f>
        <v/>
      </c>
      <c r="N515" s="2" t="str">
        <f>IFERROR(AVERAGEIFS(timeseries_access_key_fqeas14oitk235763mntlb1c0brnk9w3fenzqbk313q5kvxyf52kukw1pa[Column1],timeseries_access_key_fqeas14oitk235763mntlb1c0brnk9w3fenzqbk313q5kvxyf52kukw1pa[Month],MONTH(Data!$A515),timeseries_access_key_fqeas14oitk235763mntlb1c0brnk9w3fenzqbk313q5kvxyf52kukw1pa[Year],YEAR(Data!$A515)),"")</f>
        <v/>
      </c>
      <c r="O515" s="8">
        <f>IFERROR(VLOOKUP($A515,Text_1_2[[Text.1.1.3]:[Text.1.3]],2,FALSE),"")</f>
        <v>25700</v>
      </c>
      <c r="P515" s="2"/>
    </row>
    <row r="516" spans="1:16" x14ac:dyDescent="0.25">
      <c r="A516" s="1">
        <v>36831</v>
      </c>
      <c r="B516" t="str">
        <f>HLOOKUP(Dashboard!$I$27,results,ROW(A516),FALSE)</f>
        <v/>
      </c>
      <c r="C516">
        <f>IFERROR(VLOOKUP(A516,observations_series_id_PCU22112222112243_api_key_ecc133893ea92a842ee685c73424608[],2,FALSE),"")</f>
        <v>110</v>
      </c>
      <c r="D516" s="2">
        <f>IFERROR(VLOOKUP(A516,observations_series_id_PCU22112222112243_api_key_ecc133893ea92a842ee685c73424608[],3,FALSE),"")</f>
        <v>0.8418181818181818</v>
      </c>
      <c r="E516" t="str">
        <f>IFERROR(VLOOKUP($A516,observations_series_id_WPU0613020T_api_key_ecc133893ea92a842ee685c734246086_file[],2,FALSE),"")</f>
        <v/>
      </c>
      <c r="F516" s="2" t="str">
        <f>IFERROR(VLOOKUP($A516,observations_series_id_WPU0613020T_api_key_ecc133893ea92a842ee685c734246086_file[],3,FALSE),"")</f>
        <v/>
      </c>
      <c r="G516" t="str">
        <f>IFERROR(VLOOKUP($A516,observations_series_id_PCU22122212_api_key_ecc133893ea92a842ee685c734246086_file[],2,FALSE),"")</f>
        <v/>
      </c>
      <c r="H516" s="2" t="str">
        <f>IFERROR(VLOOKUP($A516,observations_series_id_PCU22122212_api_key_ecc133893ea92a842ee685c734246086_file[],3,FALSE),"")</f>
        <v/>
      </c>
      <c r="I516">
        <f>IFERROR(VLOOKUP($A516,observations_series_id_PCU3241913241910_api_key_ecc133893ea92a842ee685c734246086[],2,FALSE),"")</f>
        <v>181.1</v>
      </c>
      <c r="J516" s="2">
        <f>IFERROR(VLOOKUP($A516,observations_series_id_PCU3241913241910_api_key_ecc133893ea92a842ee685c734246086[],3,FALSE),"")</f>
        <v>0.7161789066813915</v>
      </c>
      <c r="K516">
        <f>IFERROR(VLOOKUP($A516,observations_series_id_EXJPUS_api_key_ecc133893ea92a842ee685c734246086_file_type[],2,FALSE),"")</f>
        <v>109.0095</v>
      </c>
      <c r="L516" s="2">
        <f>IFERROR(VLOOKUP($A516,observations_series_id_EXJPUS_api_key_ecc133893ea92a842ee685c734246086_file_type[],3,FALSE),"")</f>
        <v>-2.2843009095537541</v>
      </c>
      <c r="M516" t="str">
        <f>IFERROR(AVERAGEIFS(timeseries_access_key_fqeas14oitk235763mntlb1c0brnk9w3fenzqbk313q5kvxyf52kukw1pa[Value.LME-ZNC],timeseries_access_key_fqeas14oitk235763mntlb1c0brnk9w3fenzqbk313q5kvxyf52kukw1pa[Month],MONTH(Data!$A516),timeseries_access_key_fqeas14oitk235763mntlb1c0brnk9w3fenzqbk313q5kvxyf52kukw1pa[Year],YEAR(Data!$A516)),"")</f>
        <v/>
      </c>
      <c r="N516" s="2" t="str">
        <f>IFERROR(AVERAGEIFS(timeseries_access_key_fqeas14oitk235763mntlb1c0brnk9w3fenzqbk313q5kvxyf52kukw1pa[Column1],timeseries_access_key_fqeas14oitk235763mntlb1c0brnk9w3fenzqbk313q5kvxyf52kukw1pa[Month],MONTH(Data!$A516),timeseries_access_key_fqeas14oitk235763mntlb1c0brnk9w3fenzqbk313q5kvxyf52kukw1pa[Year],YEAR(Data!$A516)),"")</f>
        <v/>
      </c>
      <c r="O516" s="8" t="str">
        <f>IFERROR(VLOOKUP($A516,Text_1_2[[Text.1.1.3]:[Text.1.3]],2,FALSE),"")</f>
        <v/>
      </c>
      <c r="P516" s="2"/>
    </row>
    <row r="517" spans="1:16" x14ac:dyDescent="0.25">
      <c r="A517" s="1">
        <v>36861</v>
      </c>
      <c r="B517" t="str">
        <f>HLOOKUP(Dashboard!$I$27,results,ROW(A517),FALSE)</f>
        <v/>
      </c>
      <c r="C517">
        <f>IFERROR(VLOOKUP(A517,observations_series_id_PCU22112222112243_api_key_ecc133893ea92a842ee685c73424608[],2,FALSE),"")</f>
        <v>111.6</v>
      </c>
      <c r="D517" s="2">
        <f>IFERROR(VLOOKUP(A517,observations_series_id_PCU22112222112243_api_key_ecc133893ea92a842ee685c73424608[],3,FALSE),"")</f>
        <v>0.84408602150537637</v>
      </c>
      <c r="E517" t="str">
        <f>IFERROR(VLOOKUP($A517,observations_series_id_WPU0613020T_api_key_ecc133893ea92a842ee685c734246086_file[],2,FALSE),"")</f>
        <v/>
      </c>
      <c r="F517" s="2" t="str">
        <f>IFERROR(VLOOKUP($A517,observations_series_id_WPU0613020T_api_key_ecc133893ea92a842ee685c734246086_file[],3,FALSE),"")</f>
        <v/>
      </c>
      <c r="G517" t="str">
        <f>IFERROR(VLOOKUP($A517,observations_series_id_PCU22122212_api_key_ecc133893ea92a842ee685c734246086_file[],2,FALSE),"")</f>
        <v/>
      </c>
      <c r="H517" s="2" t="str">
        <f>IFERROR(VLOOKUP($A517,observations_series_id_PCU22122212_api_key_ecc133893ea92a842ee685c734246086_file[],3,FALSE),"")</f>
        <v/>
      </c>
      <c r="I517">
        <f>IFERROR(VLOOKUP($A517,observations_series_id_PCU3241913241910_api_key_ecc133893ea92a842ee685c734246086[],2,FALSE),"")</f>
        <v>181.7</v>
      </c>
      <c r="J517" s="2">
        <f>IFERROR(VLOOKUP($A517,observations_series_id_PCU3241913241910_api_key_ecc133893ea92a842ee685c734246086[],3,FALSE),"")</f>
        <v>0.717116125481563</v>
      </c>
      <c r="K517">
        <f>IFERROR(VLOOKUP($A517,observations_series_id_EXJPUS_api_key_ecc133893ea92a842ee685c734246086_file_type[],2,FALSE),"")</f>
        <v>112.209</v>
      </c>
      <c r="L517" s="2">
        <f>IFERROR(VLOOKUP($A517,observations_series_id_EXJPUS_api_key_ecc133893ea92a842ee685c734246086_file_type[],3,FALSE),"")</f>
        <v>-2.1906531561639437</v>
      </c>
      <c r="M517" t="str">
        <f>IFERROR(AVERAGEIFS(timeseries_access_key_fqeas14oitk235763mntlb1c0brnk9w3fenzqbk313q5kvxyf52kukw1pa[Value.LME-ZNC],timeseries_access_key_fqeas14oitk235763mntlb1c0brnk9w3fenzqbk313q5kvxyf52kukw1pa[Month],MONTH(Data!$A517),timeseries_access_key_fqeas14oitk235763mntlb1c0brnk9w3fenzqbk313q5kvxyf52kukw1pa[Year],YEAR(Data!$A517)),"")</f>
        <v/>
      </c>
      <c r="N517" s="2" t="str">
        <f>IFERROR(AVERAGEIFS(timeseries_access_key_fqeas14oitk235763mntlb1c0brnk9w3fenzqbk313q5kvxyf52kukw1pa[Column1],timeseries_access_key_fqeas14oitk235763mntlb1c0brnk9w3fenzqbk313q5kvxyf52kukw1pa[Month],MONTH(Data!$A517),timeseries_access_key_fqeas14oitk235763mntlb1c0brnk9w3fenzqbk313q5kvxyf52kukw1pa[Year],YEAR(Data!$A517)),"")</f>
        <v/>
      </c>
      <c r="O517" s="8" t="str">
        <f>IFERROR(VLOOKUP($A517,Text_1_2[[Text.1.1.3]:[Text.1.3]],2,FALSE),"")</f>
        <v/>
      </c>
      <c r="P517" s="2"/>
    </row>
    <row r="518" spans="1:16" x14ac:dyDescent="0.25">
      <c r="A518" s="1">
        <v>36892</v>
      </c>
      <c r="B518" t="str">
        <f>HLOOKUP(Dashboard!$I$27,results,ROW(A518),FALSE)</f>
        <v/>
      </c>
      <c r="C518">
        <f>IFERROR(VLOOKUP(A518,observations_series_id_PCU22112222112243_api_key_ecc133893ea92a842ee685c73424608[],2,FALSE),"")</f>
        <v>114.7</v>
      </c>
      <c r="D518" s="2">
        <f>IFERROR(VLOOKUP(A518,observations_series_id_PCU22112222112243_api_key_ecc133893ea92a842ee685c73424608[],3,FALSE),"")</f>
        <v>0.84829991281604189</v>
      </c>
      <c r="E518" t="str">
        <f>IFERROR(VLOOKUP($A518,observations_series_id_WPU0613020T_api_key_ecc133893ea92a842ee685c734246086_file[],2,FALSE),"")</f>
        <v/>
      </c>
      <c r="F518" s="2" t="str">
        <f>IFERROR(VLOOKUP($A518,observations_series_id_WPU0613020T_api_key_ecc133893ea92a842ee685c734246086_file[],3,FALSE),"")</f>
        <v/>
      </c>
      <c r="G518" t="str">
        <f>IFERROR(VLOOKUP($A518,observations_series_id_PCU22122212_api_key_ecc133893ea92a842ee685c734246086_file[],2,FALSE),"")</f>
        <v/>
      </c>
      <c r="H518" s="2" t="str">
        <f>IFERROR(VLOOKUP($A518,observations_series_id_PCU22122212_api_key_ecc133893ea92a842ee685c734246086_file[],3,FALSE),"")</f>
        <v/>
      </c>
      <c r="I518">
        <f>IFERROR(VLOOKUP($A518,observations_series_id_PCU3241913241910_api_key_ecc133893ea92a842ee685c734246086[],2,FALSE),"")</f>
        <v>181.7</v>
      </c>
      <c r="J518" s="2">
        <f>IFERROR(VLOOKUP($A518,observations_series_id_PCU3241913241910_api_key_ecc133893ea92a842ee685c734246086[],3,FALSE),"")</f>
        <v>0.717116125481563</v>
      </c>
      <c r="K518">
        <f>IFERROR(VLOOKUP($A518,observations_series_id_EXJPUS_api_key_ecc133893ea92a842ee685c734246086_file_type[],2,FALSE),"")</f>
        <v>116.67189999999999</v>
      </c>
      <c r="L518" s="2">
        <f>IFERROR(VLOOKUP($A518,observations_series_id_EXJPUS_api_key_ecc133893ea92a842ee685c734246086_file_type[],3,FALSE),"")</f>
        <v>-2.068605208280657</v>
      </c>
      <c r="M518" t="str">
        <f>IFERROR(AVERAGEIFS(timeseries_access_key_fqeas14oitk235763mntlb1c0brnk9w3fenzqbk313q5kvxyf52kukw1pa[Value.LME-ZNC],timeseries_access_key_fqeas14oitk235763mntlb1c0brnk9w3fenzqbk313q5kvxyf52kukw1pa[Month],MONTH(Data!$A518),timeseries_access_key_fqeas14oitk235763mntlb1c0brnk9w3fenzqbk313q5kvxyf52kukw1pa[Year],YEAR(Data!$A518)),"")</f>
        <v/>
      </c>
      <c r="N518" s="2" t="str">
        <f>IFERROR(AVERAGEIFS(timeseries_access_key_fqeas14oitk235763mntlb1c0brnk9w3fenzqbk313q5kvxyf52kukw1pa[Column1],timeseries_access_key_fqeas14oitk235763mntlb1c0brnk9w3fenzqbk313q5kvxyf52kukw1pa[Month],MONTH(Data!$A518),timeseries_access_key_fqeas14oitk235763mntlb1c0brnk9w3fenzqbk313q5kvxyf52kukw1pa[Year],YEAR(Data!$A518)),"")</f>
        <v/>
      </c>
      <c r="O518" s="8">
        <f>IFERROR(VLOOKUP($A518,Text_1_2[[Text.1.1.3]:[Text.1.3]],2,FALSE),"")</f>
        <v>24000</v>
      </c>
      <c r="P518" s="2"/>
    </row>
    <row r="519" spans="1:16" x14ac:dyDescent="0.25">
      <c r="A519" s="1">
        <v>36923</v>
      </c>
      <c r="B519" t="str">
        <f>HLOOKUP(Dashboard!$I$27,results,ROW(A519),FALSE)</f>
        <v/>
      </c>
      <c r="C519">
        <f>IFERROR(VLOOKUP(A519,observations_series_id_PCU22112222112243_api_key_ecc133893ea92a842ee685c73424608[],2,FALSE),"")</f>
        <v>114.7</v>
      </c>
      <c r="D519" s="2">
        <f>IFERROR(VLOOKUP(A519,observations_series_id_PCU22112222112243_api_key_ecc133893ea92a842ee685c73424608[],3,FALSE),"")</f>
        <v>0.84829991281604189</v>
      </c>
      <c r="E519" t="str">
        <f>IFERROR(VLOOKUP($A519,observations_series_id_WPU0613020T_api_key_ecc133893ea92a842ee685c734246086_file[],2,FALSE),"")</f>
        <v/>
      </c>
      <c r="F519" s="2" t="str">
        <f>IFERROR(VLOOKUP($A519,observations_series_id_WPU0613020T_api_key_ecc133893ea92a842ee685c734246086_file[],3,FALSE),"")</f>
        <v/>
      </c>
      <c r="G519" t="str">
        <f>IFERROR(VLOOKUP($A519,observations_series_id_PCU22122212_api_key_ecc133893ea92a842ee685c734246086_file[],2,FALSE),"")</f>
        <v/>
      </c>
      <c r="H519" s="2" t="str">
        <f>IFERROR(VLOOKUP($A519,observations_series_id_PCU22122212_api_key_ecc133893ea92a842ee685c734246086_file[],3,FALSE),"")</f>
        <v/>
      </c>
      <c r="I519">
        <f>IFERROR(VLOOKUP($A519,observations_series_id_PCU3241913241910_api_key_ecc133893ea92a842ee685c734246086[],2,FALSE),"")</f>
        <v>182.6</v>
      </c>
      <c r="J519" s="2">
        <f>IFERROR(VLOOKUP($A519,observations_series_id_PCU3241913241910_api_key_ecc133893ea92a842ee685c734246086[],3,FALSE),"")</f>
        <v>0.71851040525739318</v>
      </c>
      <c r="K519">
        <f>IFERROR(VLOOKUP($A519,observations_series_id_EXJPUS_api_key_ecc133893ea92a842ee685c734246086_file_type[],2,FALSE),"")</f>
        <v>116.2337</v>
      </c>
      <c r="L519" s="2">
        <f>IFERROR(VLOOKUP($A519,observations_series_id_EXJPUS_api_key_ecc133893ea92a842ee685c734246086_file_type[],3,FALSE),"")</f>
        <v>-2.0801738222219543</v>
      </c>
      <c r="M519" t="str">
        <f>IFERROR(AVERAGEIFS(timeseries_access_key_fqeas14oitk235763mntlb1c0brnk9w3fenzqbk313q5kvxyf52kukw1pa[Value.LME-ZNC],timeseries_access_key_fqeas14oitk235763mntlb1c0brnk9w3fenzqbk313q5kvxyf52kukw1pa[Month],MONTH(Data!$A519),timeseries_access_key_fqeas14oitk235763mntlb1c0brnk9w3fenzqbk313q5kvxyf52kukw1pa[Year],YEAR(Data!$A519)),"")</f>
        <v/>
      </c>
      <c r="N519" s="2" t="str">
        <f>IFERROR(AVERAGEIFS(timeseries_access_key_fqeas14oitk235763mntlb1c0brnk9w3fenzqbk313q5kvxyf52kukw1pa[Column1],timeseries_access_key_fqeas14oitk235763mntlb1c0brnk9w3fenzqbk313q5kvxyf52kukw1pa[Month],MONTH(Data!$A519),timeseries_access_key_fqeas14oitk235763mntlb1c0brnk9w3fenzqbk313q5kvxyf52kukw1pa[Year],YEAR(Data!$A519)),"")</f>
        <v/>
      </c>
      <c r="O519" s="8" t="str">
        <f>IFERROR(VLOOKUP($A519,Text_1_2[[Text.1.1.3]:[Text.1.3]],2,FALSE),"")</f>
        <v/>
      </c>
      <c r="P519" s="2"/>
    </row>
    <row r="520" spans="1:16" x14ac:dyDescent="0.25">
      <c r="A520" s="1">
        <v>36951</v>
      </c>
      <c r="B520" t="str">
        <f>HLOOKUP(Dashboard!$I$27,results,ROW(A520),FALSE)</f>
        <v/>
      </c>
      <c r="C520">
        <f>IFERROR(VLOOKUP(A520,observations_series_id_PCU22112222112243_api_key_ecc133893ea92a842ee685c73424608[],2,FALSE),"")</f>
        <v>114.8</v>
      </c>
      <c r="D520" s="2">
        <f>IFERROR(VLOOKUP(A520,observations_series_id_PCU22112222112243_api_key_ecc133893ea92a842ee685c73424608[],3,FALSE),"")</f>
        <v>0.84843205574912894</v>
      </c>
      <c r="E520" t="str">
        <f>IFERROR(VLOOKUP($A520,observations_series_id_WPU0613020T_api_key_ecc133893ea92a842ee685c734246086_file[],2,FALSE),"")</f>
        <v/>
      </c>
      <c r="F520" s="2" t="str">
        <f>IFERROR(VLOOKUP($A520,observations_series_id_WPU0613020T_api_key_ecc133893ea92a842ee685c734246086_file[],3,FALSE),"")</f>
        <v/>
      </c>
      <c r="G520" t="str">
        <f>IFERROR(VLOOKUP($A520,observations_series_id_PCU22122212_api_key_ecc133893ea92a842ee685c734246086_file[],2,FALSE),"")</f>
        <v/>
      </c>
      <c r="H520" s="2" t="str">
        <f>IFERROR(VLOOKUP($A520,observations_series_id_PCU22122212_api_key_ecc133893ea92a842ee685c734246086_file[],3,FALSE),"")</f>
        <v/>
      </c>
      <c r="I520">
        <f>IFERROR(VLOOKUP($A520,observations_series_id_PCU3241913241910_api_key_ecc133893ea92a842ee685c734246086[],2,FALSE),"")</f>
        <v>183.4</v>
      </c>
      <c r="J520" s="2">
        <f>IFERROR(VLOOKUP($A520,observations_series_id_PCU3241913241910_api_key_ecc133893ea92a842ee685c734246086[],3,FALSE),"")</f>
        <v>0.71973827699018544</v>
      </c>
      <c r="K520">
        <f>IFERROR(VLOOKUP($A520,observations_series_id_EXJPUS_api_key_ecc133893ea92a842ee685c734246086_file_type[],2,FALSE),"")</f>
        <v>121.505</v>
      </c>
      <c r="L520" s="2">
        <f>IFERROR(VLOOKUP($A520,observations_series_id_EXJPUS_api_key_ecc133893ea92a842ee685c734246086_file_type[],3,FALSE),"")</f>
        <v>-1.9465454096539236</v>
      </c>
      <c r="M520" t="str">
        <f>IFERROR(AVERAGEIFS(timeseries_access_key_fqeas14oitk235763mntlb1c0brnk9w3fenzqbk313q5kvxyf52kukw1pa[Value.LME-ZNC],timeseries_access_key_fqeas14oitk235763mntlb1c0brnk9w3fenzqbk313q5kvxyf52kukw1pa[Month],MONTH(Data!$A520),timeseries_access_key_fqeas14oitk235763mntlb1c0brnk9w3fenzqbk313q5kvxyf52kukw1pa[Year],YEAR(Data!$A520)),"")</f>
        <v/>
      </c>
      <c r="N520" s="2" t="str">
        <f>IFERROR(AVERAGEIFS(timeseries_access_key_fqeas14oitk235763mntlb1c0brnk9w3fenzqbk313q5kvxyf52kukw1pa[Column1],timeseries_access_key_fqeas14oitk235763mntlb1c0brnk9w3fenzqbk313q5kvxyf52kukw1pa[Month],MONTH(Data!$A520),timeseries_access_key_fqeas14oitk235763mntlb1c0brnk9w3fenzqbk313q5kvxyf52kukw1pa[Year],YEAR(Data!$A520)),"")</f>
        <v/>
      </c>
      <c r="O520" s="8" t="str">
        <f>IFERROR(VLOOKUP($A520,Text_1_2[[Text.1.1.3]:[Text.1.3]],2,FALSE),"")</f>
        <v/>
      </c>
      <c r="P520" s="2"/>
    </row>
    <row r="521" spans="1:16" x14ac:dyDescent="0.25">
      <c r="A521" s="1">
        <v>36982</v>
      </c>
      <c r="B521" t="str">
        <f>HLOOKUP(Dashboard!$I$27,results,ROW(A521),FALSE)</f>
        <v/>
      </c>
      <c r="C521">
        <f>IFERROR(VLOOKUP(A521,observations_series_id_PCU22112222112243_api_key_ecc133893ea92a842ee685c73424608[],2,FALSE),"")</f>
        <v>113.6</v>
      </c>
      <c r="D521" s="2">
        <f>IFERROR(VLOOKUP(A521,observations_series_id_PCU22112222112243_api_key_ecc133893ea92a842ee685c73424608[],3,FALSE),"")</f>
        <v>0.846830985915493</v>
      </c>
      <c r="E521" t="str">
        <f>IFERROR(VLOOKUP($A521,observations_series_id_WPU0613020T_api_key_ecc133893ea92a842ee685c734246086_file[],2,FALSE),"")</f>
        <v/>
      </c>
      <c r="F521" s="2" t="str">
        <f>IFERROR(VLOOKUP($A521,observations_series_id_WPU0613020T_api_key_ecc133893ea92a842ee685c734246086_file[],3,FALSE),"")</f>
        <v/>
      </c>
      <c r="G521" t="str">
        <f>IFERROR(VLOOKUP($A521,observations_series_id_PCU22122212_api_key_ecc133893ea92a842ee685c734246086_file[],2,FALSE),"")</f>
        <v/>
      </c>
      <c r="H521" s="2" t="str">
        <f>IFERROR(VLOOKUP($A521,observations_series_id_PCU22122212_api_key_ecc133893ea92a842ee685c734246086_file[],3,FALSE),"")</f>
        <v/>
      </c>
      <c r="I521">
        <f>IFERROR(VLOOKUP($A521,observations_series_id_PCU3241913241910_api_key_ecc133893ea92a842ee685c734246086[],2,FALSE),"")</f>
        <v>184.6</v>
      </c>
      <c r="J521" s="2">
        <f>IFERROR(VLOOKUP($A521,observations_series_id_PCU3241913241910_api_key_ecc133893ea92a842ee685c734246086[],3,FALSE),"")</f>
        <v>0.7215601300108343</v>
      </c>
      <c r="K521">
        <f>IFERROR(VLOOKUP($A521,observations_series_id_EXJPUS_api_key_ecc133893ea92a842ee685c734246086_file_type[],2,FALSE),"")</f>
        <v>123.771</v>
      </c>
      <c r="L521" s="2">
        <f>IFERROR(VLOOKUP($A521,observations_series_id_EXJPUS_api_key_ecc133893ea92a842ee685c734246086_file_type[],3,FALSE),"")</f>
        <v>-1.8926000436289598</v>
      </c>
      <c r="M521" t="str">
        <f>IFERROR(AVERAGEIFS(timeseries_access_key_fqeas14oitk235763mntlb1c0brnk9w3fenzqbk313q5kvxyf52kukw1pa[Value.LME-ZNC],timeseries_access_key_fqeas14oitk235763mntlb1c0brnk9w3fenzqbk313q5kvxyf52kukw1pa[Month],MONTH(Data!$A521),timeseries_access_key_fqeas14oitk235763mntlb1c0brnk9w3fenzqbk313q5kvxyf52kukw1pa[Year],YEAR(Data!$A521)),"")</f>
        <v/>
      </c>
      <c r="N521" s="2" t="str">
        <f>IFERROR(AVERAGEIFS(timeseries_access_key_fqeas14oitk235763mntlb1c0brnk9w3fenzqbk313q5kvxyf52kukw1pa[Column1],timeseries_access_key_fqeas14oitk235763mntlb1c0brnk9w3fenzqbk313q5kvxyf52kukw1pa[Month],MONTH(Data!$A521),timeseries_access_key_fqeas14oitk235763mntlb1c0brnk9w3fenzqbk313q5kvxyf52kukw1pa[Year],YEAR(Data!$A521)),"")</f>
        <v/>
      </c>
      <c r="O521" s="8">
        <f>IFERROR(VLOOKUP($A521,Text_1_2[[Text.1.1.3]:[Text.1.3]],2,FALSE),"")</f>
        <v>25300</v>
      </c>
      <c r="P521" s="2"/>
    </row>
    <row r="522" spans="1:16" x14ac:dyDescent="0.25">
      <c r="A522" s="1">
        <v>37012</v>
      </c>
      <c r="B522" t="str">
        <f>HLOOKUP(Dashboard!$I$27,results,ROW(A522),FALSE)</f>
        <v/>
      </c>
      <c r="C522">
        <f>IFERROR(VLOOKUP(A522,observations_series_id_PCU22112222112243_api_key_ecc133893ea92a842ee685c73424608[],2,FALSE),"")</f>
        <v>114.5</v>
      </c>
      <c r="D522" s="2">
        <f>IFERROR(VLOOKUP(A522,observations_series_id_PCU22112222112243_api_key_ecc133893ea92a842ee685c73424608[],3,FALSE),"")</f>
        <v>0.84803493449781664</v>
      </c>
      <c r="E522" t="str">
        <f>IFERROR(VLOOKUP($A522,observations_series_id_WPU0613020T_api_key_ecc133893ea92a842ee685c734246086_file[],2,FALSE),"")</f>
        <v/>
      </c>
      <c r="F522" s="2" t="str">
        <f>IFERROR(VLOOKUP($A522,observations_series_id_WPU0613020T_api_key_ecc133893ea92a842ee685c734246086_file[],3,FALSE),"")</f>
        <v/>
      </c>
      <c r="G522" t="str">
        <f>IFERROR(VLOOKUP($A522,observations_series_id_PCU22122212_api_key_ecc133893ea92a842ee685c734246086_file[],2,FALSE),"")</f>
        <v/>
      </c>
      <c r="H522" s="2" t="str">
        <f>IFERROR(VLOOKUP($A522,observations_series_id_PCU22122212_api_key_ecc133893ea92a842ee685c734246086_file[],3,FALSE),"")</f>
        <v/>
      </c>
      <c r="I522">
        <f>IFERROR(VLOOKUP($A522,observations_series_id_PCU3241913241910_api_key_ecc133893ea92a842ee685c734246086[],2,FALSE),"")</f>
        <v>184.6</v>
      </c>
      <c r="J522" s="2">
        <f>IFERROR(VLOOKUP($A522,observations_series_id_PCU3241913241910_api_key_ecc133893ea92a842ee685c734246086[],3,FALSE),"")</f>
        <v>0.7215601300108343</v>
      </c>
      <c r="K522">
        <f>IFERROR(VLOOKUP($A522,observations_series_id_EXJPUS_api_key_ecc133893ea92a842ee685c734246086_file_type[],2,FALSE),"")</f>
        <v>121.76819999999999</v>
      </c>
      <c r="L522" s="2">
        <f>IFERROR(VLOOKUP($A522,observations_series_id_EXJPUS_api_key_ecc133893ea92a842ee685c734246086_file_type[],3,FALSE),"")</f>
        <v>-1.9401764992830639</v>
      </c>
      <c r="M522" t="str">
        <f>IFERROR(AVERAGEIFS(timeseries_access_key_fqeas14oitk235763mntlb1c0brnk9w3fenzqbk313q5kvxyf52kukw1pa[Value.LME-ZNC],timeseries_access_key_fqeas14oitk235763mntlb1c0brnk9w3fenzqbk313q5kvxyf52kukw1pa[Month],MONTH(Data!$A522),timeseries_access_key_fqeas14oitk235763mntlb1c0brnk9w3fenzqbk313q5kvxyf52kukw1pa[Year],YEAR(Data!$A522)),"")</f>
        <v/>
      </c>
      <c r="N522" s="2" t="str">
        <f>IFERROR(AVERAGEIFS(timeseries_access_key_fqeas14oitk235763mntlb1c0brnk9w3fenzqbk313q5kvxyf52kukw1pa[Column1],timeseries_access_key_fqeas14oitk235763mntlb1c0brnk9w3fenzqbk313q5kvxyf52kukw1pa[Month],MONTH(Data!$A522),timeseries_access_key_fqeas14oitk235763mntlb1c0brnk9w3fenzqbk313q5kvxyf52kukw1pa[Year],YEAR(Data!$A522)),"")</f>
        <v/>
      </c>
      <c r="O522" s="8" t="str">
        <f>IFERROR(VLOOKUP($A522,Text_1_2[[Text.1.1.3]:[Text.1.3]],2,FALSE),"")</f>
        <v/>
      </c>
      <c r="P522" s="2"/>
    </row>
    <row r="523" spans="1:16" x14ac:dyDescent="0.25">
      <c r="A523" s="1">
        <v>37043</v>
      </c>
      <c r="B523" t="str">
        <f>HLOOKUP(Dashboard!$I$27,results,ROW(A523),FALSE)</f>
        <v/>
      </c>
      <c r="C523">
        <f>IFERROR(VLOOKUP(A523,observations_series_id_PCU22112222112243_api_key_ecc133893ea92a842ee685c73424608[],2,FALSE),"")</f>
        <v>124.8</v>
      </c>
      <c r="D523" s="2">
        <f>IFERROR(VLOOKUP(A523,observations_series_id_PCU22112222112243_api_key_ecc133893ea92a842ee685c73424608[],3,FALSE),"")</f>
        <v>0.86057692307692313</v>
      </c>
      <c r="E523" t="str">
        <f>IFERROR(VLOOKUP($A523,observations_series_id_WPU0613020T_api_key_ecc133893ea92a842ee685c734246086_file[],2,FALSE),"")</f>
        <v/>
      </c>
      <c r="F523" s="2" t="str">
        <f>IFERROR(VLOOKUP($A523,observations_series_id_WPU0613020T_api_key_ecc133893ea92a842ee685c734246086_file[],3,FALSE),"")</f>
        <v/>
      </c>
      <c r="G523" t="str">
        <f>IFERROR(VLOOKUP($A523,observations_series_id_PCU22122212_api_key_ecc133893ea92a842ee685c734246086_file[],2,FALSE),"")</f>
        <v/>
      </c>
      <c r="H523" s="2" t="str">
        <f>IFERROR(VLOOKUP($A523,observations_series_id_PCU22122212_api_key_ecc133893ea92a842ee685c734246086_file[],3,FALSE),"")</f>
        <v/>
      </c>
      <c r="I523">
        <f>IFERROR(VLOOKUP($A523,observations_series_id_PCU3241913241910_api_key_ecc133893ea92a842ee685c734246086[],2,FALSE),"")</f>
        <v>184.8</v>
      </c>
      <c r="J523" s="2">
        <f>IFERROR(VLOOKUP($A523,observations_series_id_PCU3241913241910_api_key_ecc133893ea92a842ee685c734246086[],3,FALSE),"")</f>
        <v>0.72186147186147187</v>
      </c>
      <c r="K523">
        <f>IFERROR(VLOOKUP($A523,observations_series_id_EXJPUS_api_key_ecc133893ea92a842ee685c734246086_file_type[],2,FALSE),"")</f>
        <v>122.351</v>
      </c>
      <c r="L523" s="2">
        <f>IFERROR(VLOOKUP($A523,observations_series_id_EXJPUS_api_key_ecc133893ea92a842ee685c734246086_file_type[],3,FALSE),"")</f>
        <v>-1.9261714248351054</v>
      </c>
      <c r="M523" t="str">
        <f>IFERROR(AVERAGEIFS(timeseries_access_key_fqeas14oitk235763mntlb1c0brnk9w3fenzqbk313q5kvxyf52kukw1pa[Value.LME-ZNC],timeseries_access_key_fqeas14oitk235763mntlb1c0brnk9w3fenzqbk313q5kvxyf52kukw1pa[Month],MONTH(Data!$A523),timeseries_access_key_fqeas14oitk235763mntlb1c0brnk9w3fenzqbk313q5kvxyf52kukw1pa[Year],YEAR(Data!$A523)),"")</f>
        <v/>
      </c>
      <c r="N523" s="2" t="str">
        <f>IFERROR(AVERAGEIFS(timeseries_access_key_fqeas14oitk235763mntlb1c0brnk9w3fenzqbk313q5kvxyf52kukw1pa[Column1],timeseries_access_key_fqeas14oitk235763mntlb1c0brnk9w3fenzqbk313q5kvxyf52kukw1pa[Month],MONTH(Data!$A523),timeseries_access_key_fqeas14oitk235763mntlb1c0brnk9w3fenzqbk313q5kvxyf52kukw1pa[Year],YEAR(Data!$A523)),"")</f>
        <v/>
      </c>
      <c r="O523" s="8" t="str">
        <f>IFERROR(VLOOKUP($A523,Text_1_2[[Text.1.1.3]:[Text.1.3]],2,FALSE),"")</f>
        <v/>
      </c>
      <c r="P523" s="2"/>
    </row>
    <row r="524" spans="1:16" x14ac:dyDescent="0.25">
      <c r="A524" s="1">
        <v>37073</v>
      </c>
      <c r="B524" t="str">
        <f>HLOOKUP(Dashboard!$I$27,results,ROW(A524),FALSE)</f>
        <v/>
      </c>
      <c r="C524">
        <f>IFERROR(VLOOKUP(A524,observations_series_id_PCU22112222112243_api_key_ecc133893ea92a842ee685c73424608[],2,FALSE),"")</f>
        <v>125.7</v>
      </c>
      <c r="D524" s="2">
        <f>IFERROR(VLOOKUP(A524,observations_series_id_PCU22112222112243_api_key_ecc133893ea92a842ee685c73424608[],3,FALSE),"")</f>
        <v>0.86157517899761338</v>
      </c>
      <c r="E524" t="str">
        <f>IFERROR(VLOOKUP($A524,observations_series_id_WPU0613020T_api_key_ecc133893ea92a842ee685c734246086_file[],2,FALSE),"")</f>
        <v/>
      </c>
      <c r="F524" s="2" t="str">
        <f>IFERROR(VLOOKUP($A524,observations_series_id_WPU0613020T_api_key_ecc133893ea92a842ee685c734246086_file[],3,FALSE),"")</f>
        <v/>
      </c>
      <c r="G524" t="str">
        <f>IFERROR(VLOOKUP($A524,observations_series_id_PCU22122212_api_key_ecc133893ea92a842ee685c734246086_file[],2,FALSE),"")</f>
        <v/>
      </c>
      <c r="H524" s="2" t="str">
        <f>IFERROR(VLOOKUP($A524,observations_series_id_PCU22122212_api_key_ecc133893ea92a842ee685c734246086_file[],3,FALSE),"")</f>
        <v/>
      </c>
      <c r="I524">
        <f>IFERROR(VLOOKUP($A524,observations_series_id_PCU3241913241910_api_key_ecc133893ea92a842ee685c734246086[],2,FALSE),"")</f>
        <v>186.6</v>
      </c>
      <c r="J524" s="2">
        <f>IFERROR(VLOOKUP($A524,observations_series_id_PCU3241913241910_api_key_ecc133893ea92a842ee685c734246086[],3,FALSE),"")</f>
        <v>0.72454448017148976</v>
      </c>
      <c r="K524">
        <f>IFERROR(VLOOKUP($A524,observations_series_id_EXJPUS_api_key_ecc133893ea92a842ee685c734246086_file_type[],2,FALSE),"")</f>
        <v>124.49809999999999</v>
      </c>
      <c r="L524" s="2">
        <f>IFERROR(VLOOKUP($A524,observations_series_id_EXJPUS_api_key_ecc133893ea92a842ee685c734246086_file_type[],3,FALSE),"")</f>
        <v>-1.8757065368869084</v>
      </c>
      <c r="M524" t="str">
        <f>IFERROR(AVERAGEIFS(timeseries_access_key_fqeas14oitk235763mntlb1c0brnk9w3fenzqbk313q5kvxyf52kukw1pa[Value.LME-ZNC],timeseries_access_key_fqeas14oitk235763mntlb1c0brnk9w3fenzqbk313q5kvxyf52kukw1pa[Month],MONTH(Data!$A524),timeseries_access_key_fqeas14oitk235763mntlb1c0brnk9w3fenzqbk313q5kvxyf52kukw1pa[Year],YEAR(Data!$A524)),"")</f>
        <v/>
      </c>
      <c r="N524" s="2" t="str">
        <f>IFERROR(AVERAGEIFS(timeseries_access_key_fqeas14oitk235763mntlb1c0brnk9w3fenzqbk313q5kvxyf52kukw1pa[Column1],timeseries_access_key_fqeas14oitk235763mntlb1c0brnk9w3fenzqbk313q5kvxyf52kukw1pa[Month],MONTH(Data!$A524),timeseries_access_key_fqeas14oitk235763mntlb1c0brnk9w3fenzqbk313q5kvxyf52kukw1pa[Year],YEAR(Data!$A524)),"")</f>
        <v/>
      </c>
      <c r="O524" s="8">
        <f>IFERROR(VLOOKUP($A524,Text_1_2[[Text.1.1.3]:[Text.1.3]],2,FALSE),"")</f>
        <v>23600</v>
      </c>
      <c r="P524" s="2"/>
    </row>
    <row r="525" spans="1:16" x14ac:dyDescent="0.25">
      <c r="A525" s="1">
        <v>37104</v>
      </c>
      <c r="B525" t="str">
        <f>HLOOKUP(Dashboard!$I$27,results,ROW(A525),FALSE)</f>
        <v/>
      </c>
      <c r="C525">
        <f>IFERROR(VLOOKUP(A525,observations_series_id_PCU22112222112243_api_key_ecc133893ea92a842ee685c73424608[],2,FALSE),"")</f>
        <v>125.2</v>
      </c>
      <c r="D525" s="2">
        <f>IFERROR(VLOOKUP(A525,observations_series_id_PCU22112222112243_api_key_ecc133893ea92a842ee685c73424608[],3,FALSE),"")</f>
        <v>0.86102236421725242</v>
      </c>
      <c r="E525" t="str">
        <f>IFERROR(VLOOKUP($A525,observations_series_id_WPU0613020T_api_key_ecc133893ea92a842ee685c734246086_file[],2,FALSE),"")</f>
        <v/>
      </c>
      <c r="F525" s="2" t="str">
        <f>IFERROR(VLOOKUP($A525,observations_series_id_WPU0613020T_api_key_ecc133893ea92a842ee685c734246086_file[],3,FALSE),"")</f>
        <v/>
      </c>
      <c r="G525" t="str">
        <f>IFERROR(VLOOKUP($A525,observations_series_id_PCU22122212_api_key_ecc133893ea92a842ee685c734246086_file[],2,FALSE),"")</f>
        <v/>
      </c>
      <c r="H525" s="2" t="str">
        <f>IFERROR(VLOOKUP($A525,observations_series_id_PCU22122212_api_key_ecc133893ea92a842ee685c734246086_file[],3,FALSE),"")</f>
        <v/>
      </c>
      <c r="I525">
        <f>IFERROR(VLOOKUP($A525,observations_series_id_PCU3241913241910_api_key_ecc133893ea92a842ee685c734246086[],2,FALSE),"")</f>
        <v>187.6</v>
      </c>
      <c r="J525" s="2">
        <f>IFERROR(VLOOKUP($A525,observations_series_id_PCU3241913241910_api_key_ecc133893ea92a842ee685c734246086[],3,FALSE),"")</f>
        <v>0.7260127931769722</v>
      </c>
      <c r="K525">
        <f>IFERROR(VLOOKUP($A525,observations_series_id_EXJPUS_api_key_ecc133893ea92a842ee685c734246086_file_type[],2,FALSE),"")</f>
        <v>121.367</v>
      </c>
      <c r="L525" s="2">
        <f>IFERROR(VLOOKUP($A525,observations_series_id_EXJPUS_api_key_ecc133893ea92a842ee685c734246086_file_type[],3,FALSE),"")</f>
        <v>-1.9498957706790145</v>
      </c>
      <c r="M525" t="str">
        <f>IFERROR(AVERAGEIFS(timeseries_access_key_fqeas14oitk235763mntlb1c0brnk9w3fenzqbk313q5kvxyf52kukw1pa[Value.LME-ZNC],timeseries_access_key_fqeas14oitk235763mntlb1c0brnk9w3fenzqbk313q5kvxyf52kukw1pa[Month],MONTH(Data!$A525),timeseries_access_key_fqeas14oitk235763mntlb1c0brnk9w3fenzqbk313q5kvxyf52kukw1pa[Year],YEAR(Data!$A525)),"")</f>
        <v/>
      </c>
      <c r="N525" s="2" t="str">
        <f>IFERROR(AVERAGEIFS(timeseries_access_key_fqeas14oitk235763mntlb1c0brnk9w3fenzqbk313q5kvxyf52kukw1pa[Column1],timeseries_access_key_fqeas14oitk235763mntlb1c0brnk9w3fenzqbk313q5kvxyf52kukw1pa[Month],MONTH(Data!$A525),timeseries_access_key_fqeas14oitk235763mntlb1c0brnk9w3fenzqbk313q5kvxyf52kukw1pa[Year],YEAR(Data!$A525)),"")</f>
        <v/>
      </c>
      <c r="O525" s="8" t="str">
        <f>IFERROR(VLOOKUP($A525,Text_1_2[[Text.1.1.3]:[Text.1.3]],2,FALSE),"")</f>
        <v/>
      </c>
      <c r="P525" s="2"/>
    </row>
    <row r="526" spans="1:16" x14ac:dyDescent="0.25">
      <c r="A526" s="1">
        <v>37135</v>
      </c>
      <c r="B526" t="str">
        <f>HLOOKUP(Dashboard!$I$27,results,ROW(A526),FALSE)</f>
        <v/>
      </c>
      <c r="C526">
        <f>IFERROR(VLOOKUP(A526,observations_series_id_PCU22112222112243_api_key_ecc133893ea92a842ee685c73424608[],2,FALSE),"")</f>
        <v>124.7</v>
      </c>
      <c r="D526" s="2">
        <f>IFERROR(VLOOKUP(A526,observations_series_id_PCU22112222112243_api_key_ecc133893ea92a842ee685c73424608[],3,FALSE),"")</f>
        <v>0.86046511627906974</v>
      </c>
      <c r="E526" t="str">
        <f>IFERROR(VLOOKUP($A526,observations_series_id_WPU0613020T_api_key_ecc133893ea92a842ee685c734246086_file[],2,FALSE),"")</f>
        <v/>
      </c>
      <c r="F526" s="2" t="str">
        <f>IFERROR(VLOOKUP($A526,observations_series_id_WPU0613020T_api_key_ecc133893ea92a842ee685c734246086_file[],3,FALSE),"")</f>
        <v/>
      </c>
      <c r="G526" t="str">
        <f>IFERROR(VLOOKUP($A526,observations_series_id_PCU22122212_api_key_ecc133893ea92a842ee685c734246086_file[],2,FALSE),"")</f>
        <v/>
      </c>
      <c r="H526" s="2" t="str">
        <f>IFERROR(VLOOKUP($A526,observations_series_id_PCU22122212_api_key_ecc133893ea92a842ee685c734246086_file[],3,FALSE),"")</f>
        <v/>
      </c>
      <c r="I526">
        <f>IFERROR(VLOOKUP($A526,observations_series_id_PCU3241913241910_api_key_ecc133893ea92a842ee685c734246086[],2,FALSE),"")</f>
        <v>188.1</v>
      </c>
      <c r="J526" s="2">
        <f>IFERROR(VLOOKUP($A526,observations_series_id_PCU3241913241910_api_key_ecc133893ea92a842ee685c734246086[],3,FALSE),"")</f>
        <v>0.7267410951621478</v>
      </c>
      <c r="K526">
        <f>IFERROR(VLOOKUP($A526,observations_series_id_EXJPUS_api_key_ecc133893ea92a842ee685c734246086_file_type[],2,FALSE),"")</f>
        <v>118.6117</v>
      </c>
      <c r="L526" s="2">
        <f>IFERROR(VLOOKUP($A526,observations_series_id_EXJPUS_api_key_ecc133893ea92a842ee685c734246086_file_type[],3,FALSE),"")</f>
        <v>-2.0184206111201508</v>
      </c>
      <c r="M526" t="str">
        <f>IFERROR(AVERAGEIFS(timeseries_access_key_fqeas14oitk235763mntlb1c0brnk9w3fenzqbk313q5kvxyf52kukw1pa[Value.LME-ZNC],timeseries_access_key_fqeas14oitk235763mntlb1c0brnk9w3fenzqbk313q5kvxyf52kukw1pa[Month],MONTH(Data!$A526),timeseries_access_key_fqeas14oitk235763mntlb1c0brnk9w3fenzqbk313q5kvxyf52kukw1pa[Year],YEAR(Data!$A526)),"")</f>
        <v/>
      </c>
      <c r="N526" s="2" t="str">
        <f>IFERROR(AVERAGEIFS(timeseries_access_key_fqeas14oitk235763mntlb1c0brnk9w3fenzqbk313q5kvxyf52kukw1pa[Column1],timeseries_access_key_fqeas14oitk235763mntlb1c0brnk9w3fenzqbk313q5kvxyf52kukw1pa[Month],MONTH(Data!$A526),timeseries_access_key_fqeas14oitk235763mntlb1c0brnk9w3fenzqbk313q5kvxyf52kukw1pa[Year],YEAR(Data!$A526)),"")</f>
        <v/>
      </c>
      <c r="O526" s="8" t="str">
        <f>IFERROR(VLOOKUP($A526,Text_1_2[[Text.1.1.3]:[Text.1.3]],2,FALSE),"")</f>
        <v/>
      </c>
      <c r="P526" s="2"/>
    </row>
    <row r="527" spans="1:16" x14ac:dyDescent="0.25">
      <c r="A527" s="1">
        <v>37165</v>
      </c>
      <c r="B527" t="str">
        <f>HLOOKUP(Dashboard!$I$27,results,ROW(A527),FALSE)</f>
        <v/>
      </c>
      <c r="C527">
        <f>IFERROR(VLOOKUP(A527,observations_series_id_PCU22112222112243_api_key_ecc133893ea92a842ee685c73424608[],2,FALSE),"")</f>
        <v>120.9</v>
      </c>
      <c r="D527" s="2">
        <f>IFERROR(VLOOKUP(A527,observations_series_id_PCU22112222112243_api_key_ecc133893ea92a842ee685c73424608[],3,FALSE),"")</f>
        <v>0.85607940446650121</v>
      </c>
      <c r="E527" t="str">
        <f>IFERROR(VLOOKUP($A527,observations_series_id_WPU0613020T_api_key_ecc133893ea92a842ee685c734246086_file[],2,FALSE),"")</f>
        <v/>
      </c>
      <c r="F527" s="2" t="str">
        <f>IFERROR(VLOOKUP($A527,observations_series_id_WPU0613020T_api_key_ecc133893ea92a842ee685c734246086_file[],3,FALSE),"")</f>
        <v/>
      </c>
      <c r="G527" t="str">
        <f>IFERROR(VLOOKUP($A527,observations_series_id_PCU22122212_api_key_ecc133893ea92a842ee685c734246086_file[],2,FALSE),"")</f>
        <v/>
      </c>
      <c r="H527" s="2" t="str">
        <f>IFERROR(VLOOKUP($A527,observations_series_id_PCU22122212_api_key_ecc133893ea92a842ee685c734246086_file[],3,FALSE),"")</f>
        <v/>
      </c>
      <c r="I527">
        <f>IFERROR(VLOOKUP($A527,observations_series_id_PCU3241913241910_api_key_ecc133893ea92a842ee685c734246086[],2,FALSE),"")</f>
        <v>188.2</v>
      </c>
      <c r="J527" s="2">
        <f>IFERROR(VLOOKUP($A527,observations_series_id_PCU3241913241910_api_key_ecc133893ea92a842ee685c734246086[],3,FALSE),"")</f>
        <v>0.72688629117959613</v>
      </c>
      <c r="K527">
        <f>IFERROR(VLOOKUP($A527,observations_series_id_EXJPUS_api_key_ecc133893ea92a842ee685c734246086_file_type[],2,FALSE),"")</f>
        <v>121.45359999999999</v>
      </c>
      <c r="L527" s="2">
        <f>IFERROR(VLOOKUP($A527,observations_series_id_EXJPUS_api_key_ecc133893ea92a842ee685c734246086_file_type[],3,FALSE),"")</f>
        <v>-1.9477924079648523</v>
      </c>
      <c r="M527" t="str">
        <f>IFERROR(AVERAGEIFS(timeseries_access_key_fqeas14oitk235763mntlb1c0brnk9w3fenzqbk313q5kvxyf52kukw1pa[Value.LME-ZNC],timeseries_access_key_fqeas14oitk235763mntlb1c0brnk9w3fenzqbk313q5kvxyf52kukw1pa[Month],MONTH(Data!$A527),timeseries_access_key_fqeas14oitk235763mntlb1c0brnk9w3fenzqbk313q5kvxyf52kukw1pa[Year],YEAR(Data!$A527)),"")</f>
        <v/>
      </c>
      <c r="N527" s="2" t="str">
        <f>IFERROR(AVERAGEIFS(timeseries_access_key_fqeas14oitk235763mntlb1c0brnk9w3fenzqbk313q5kvxyf52kukw1pa[Column1],timeseries_access_key_fqeas14oitk235763mntlb1c0brnk9w3fenzqbk313q5kvxyf52kukw1pa[Month],MONTH(Data!$A527),timeseries_access_key_fqeas14oitk235763mntlb1c0brnk9w3fenzqbk313q5kvxyf52kukw1pa[Year],YEAR(Data!$A527)),"")</f>
        <v/>
      </c>
      <c r="O527" s="8">
        <f>IFERROR(VLOOKUP($A527,Text_1_2[[Text.1.1.3]:[Text.1.3]],2,FALSE),"")</f>
        <v>20000</v>
      </c>
      <c r="P527" s="2"/>
    </row>
    <row r="528" spans="1:16" x14ac:dyDescent="0.25">
      <c r="A528" s="1">
        <v>37196</v>
      </c>
      <c r="B528" t="str">
        <f>HLOOKUP(Dashboard!$I$27,results,ROW(A528),FALSE)</f>
        <v/>
      </c>
      <c r="C528">
        <f>IFERROR(VLOOKUP(A528,observations_series_id_PCU22112222112243_api_key_ecc133893ea92a842ee685c73424608[],2,FALSE),"")</f>
        <v>115.5</v>
      </c>
      <c r="D528" s="2">
        <f>IFERROR(VLOOKUP(A528,observations_series_id_PCU22112222112243_api_key_ecc133893ea92a842ee685c73424608[],3,FALSE),"")</f>
        <v>0.8493506493506493</v>
      </c>
      <c r="E528" t="str">
        <f>IFERROR(VLOOKUP($A528,observations_series_id_WPU0613020T_api_key_ecc133893ea92a842ee685c734246086_file[],2,FALSE),"")</f>
        <v/>
      </c>
      <c r="F528" s="2" t="str">
        <f>IFERROR(VLOOKUP($A528,observations_series_id_WPU0613020T_api_key_ecc133893ea92a842ee685c734246086_file[],3,FALSE),"")</f>
        <v/>
      </c>
      <c r="G528" t="str">
        <f>IFERROR(VLOOKUP($A528,observations_series_id_PCU22122212_api_key_ecc133893ea92a842ee685c734246086_file[],2,FALSE),"")</f>
        <v/>
      </c>
      <c r="H528" s="2" t="str">
        <f>IFERROR(VLOOKUP($A528,observations_series_id_PCU22122212_api_key_ecc133893ea92a842ee685c734246086_file[],3,FALSE),"")</f>
        <v/>
      </c>
      <c r="I528">
        <f>IFERROR(VLOOKUP($A528,observations_series_id_PCU3241913241910_api_key_ecc133893ea92a842ee685c734246086[],2,FALSE),"")</f>
        <v>188.2</v>
      </c>
      <c r="J528" s="2">
        <f>IFERROR(VLOOKUP($A528,observations_series_id_PCU3241913241910_api_key_ecc133893ea92a842ee685c734246086[],3,FALSE),"")</f>
        <v>0.72688629117959613</v>
      </c>
      <c r="K528">
        <f>IFERROR(VLOOKUP($A528,observations_series_id_EXJPUS_api_key_ecc133893ea92a842ee685c734246086_file_type[],2,FALSE),"")</f>
        <v>122.4055</v>
      </c>
      <c r="L528" s="2">
        <f>IFERROR(VLOOKUP($A528,observations_series_id_EXJPUS_api_key_ecc133893ea92a842ee685c734246086_file_type[],3,FALSE),"")</f>
        <v>-1.9248685720821368</v>
      </c>
      <c r="M528" t="str">
        <f>IFERROR(AVERAGEIFS(timeseries_access_key_fqeas14oitk235763mntlb1c0brnk9w3fenzqbk313q5kvxyf52kukw1pa[Value.LME-ZNC],timeseries_access_key_fqeas14oitk235763mntlb1c0brnk9w3fenzqbk313q5kvxyf52kukw1pa[Month],MONTH(Data!$A528),timeseries_access_key_fqeas14oitk235763mntlb1c0brnk9w3fenzqbk313q5kvxyf52kukw1pa[Year],YEAR(Data!$A528)),"")</f>
        <v/>
      </c>
      <c r="N528" s="2" t="str">
        <f>IFERROR(AVERAGEIFS(timeseries_access_key_fqeas14oitk235763mntlb1c0brnk9w3fenzqbk313q5kvxyf52kukw1pa[Column1],timeseries_access_key_fqeas14oitk235763mntlb1c0brnk9w3fenzqbk313q5kvxyf52kukw1pa[Month],MONTH(Data!$A528),timeseries_access_key_fqeas14oitk235763mntlb1c0brnk9w3fenzqbk313q5kvxyf52kukw1pa[Year],YEAR(Data!$A528)),"")</f>
        <v/>
      </c>
      <c r="O528" s="8" t="str">
        <f>IFERROR(VLOOKUP($A528,Text_1_2[[Text.1.1.3]:[Text.1.3]],2,FALSE),"")</f>
        <v/>
      </c>
      <c r="P528" s="2"/>
    </row>
    <row r="529" spans="1:16" x14ac:dyDescent="0.25">
      <c r="A529" s="1">
        <v>37226</v>
      </c>
      <c r="B529" t="str">
        <f>HLOOKUP(Dashboard!$I$27,results,ROW(A529),FALSE)</f>
        <v/>
      </c>
      <c r="C529">
        <f>IFERROR(VLOOKUP(A529,observations_series_id_PCU22112222112243_api_key_ecc133893ea92a842ee685c73424608[],2,FALSE),"")</f>
        <v>115.1</v>
      </c>
      <c r="D529" s="2">
        <f>IFERROR(VLOOKUP(A529,observations_series_id_PCU22112222112243_api_key_ecc133893ea92a842ee685c73424608[],3,FALSE),"")</f>
        <v>0.84882710686359686</v>
      </c>
      <c r="E529" t="str">
        <f>IFERROR(VLOOKUP($A529,observations_series_id_WPU0613020T_api_key_ecc133893ea92a842ee685c734246086_file[],2,FALSE),"")</f>
        <v/>
      </c>
      <c r="F529" s="2" t="str">
        <f>IFERROR(VLOOKUP($A529,observations_series_id_WPU0613020T_api_key_ecc133893ea92a842ee685c734246086_file[],3,FALSE),"")</f>
        <v/>
      </c>
      <c r="G529" t="str">
        <f>IFERROR(VLOOKUP($A529,observations_series_id_PCU22122212_api_key_ecc133893ea92a842ee685c734246086_file[],2,FALSE),"")</f>
        <v/>
      </c>
      <c r="H529" s="2" t="str">
        <f>IFERROR(VLOOKUP($A529,observations_series_id_PCU22122212_api_key_ecc133893ea92a842ee685c734246086_file[],3,FALSE),"")</f>
        <v/>
      </c>
      <c r="I529">
        <f>IFERROR(VLOOKUP($A529,observations_series_id_PCU3241913241910_api_key_ecc133893ea92a842ee685c734246086[],2,FALSE),"")</f>
        <v>188.1</v>
      </c>
      <c r="J529" s="2">
        <f>IFERROR(VLOOKUP($A529,observations_series_id_PCU3241913241910_api_key_ecc133893ea92a842ee685c734246086[],3,FALSE),"")</f>
        <v>0.7267410951621478</v>
      </c>
      <c r="K529">
        <f>IFERROR(VLOOKUP($A529,observations_series_id_EXJPUS_api_key_ecc133893ea92a842ee685c734246086_file_type[],2,FALSE),"")</f>
        <v>127.5945</v>
      </c>
      <c r="L529" s="2">
        <f>IFERROR(VLOOKUP($A529,observations_series_id_EXJPUS_api_key_ecc133893ea92a842ee685c734246086_file_type[],3,FALSE),"")</f>
        <v>-1.8059203178820402</v>
      </c>
      <c r="M529" t="str">
        <f>IFERROR(AVERAGEIFS(timeseries_access_key_fqeas14oitk235763mntlb1c0brnk9w3fenzqbk313q5kvxyf52kukw1pa[Value.LME-ZNC],timeseries_access_key_fqeas14oitk235763mntlb1c0brnk9w3fenzqbk313q5kvxyf52kukw1pa[Month],MONTH(Data!$A529),timeseries_access_key_fqeas14oitk235763mntlb1c0brnk9w3fenzqbk313q5kvxyf52kukw1pa[Year],YEAR(Data!$A529)),"")</f>
        <v/>
      </c>
      <c r="N529" s="2" t="str">
        <f>IFERROR(AVERAGEIFS(timeseries_access_key_fqeas14oitk235763mntlb1c0brnk9w3fenzqbk313q5kvxyf52kukw1pa[Column1],timeseries_access_key_fqeas14oitk235763mntlb1c0brnk9w3fenzqbk313q5kvxyf52kukw1pa[Month],MONTH(Data!$A529),timeseries_access_key_fqeas14oitk235763mntlb1c0brnk9w3fenzqbk313q5kvxyf52kukw1pa[Year],YEAR(Data!$A529)),"")</f>
        <v/>
      </c>
      <c r="O529" s="8" t="str">
        <f>IFERROR(VLOOKUP($A529,Text_1_2[[Text.1.1.3]:[Text.1.3]],2,FALSE),"")</f>
        <v/>
      </c>
      <c r="P529" s="2"/>
    </row>
    <row r="530" spans="1:16" x14ac:dyDescent="0.25">
      <c r="A530" s="1">
        <v>37257</v>
      </c>
      <c r="B530" t="str">
        <f>HLOOKUP(Dashboard!$I$27,results,ROW(A530),FALSE)</f>
        <v/>
      </c>
      <c r="C530">
        <f>IFERROR(VLOOKUP(A530,observations_series_id_PCU22112222112243_api_key_ecc133893ea92a842ee685c73424608[],2,FALSE),"")</f>
        <v>114.6</v>
      </c>
      <c r="D530" s="2">
        <f>IFERROR(VLOOKUP(A530,observations_series_id_PCU22112222112243_api_key_ecc133893ea92a842ee685c73424608[],3,FALSE),"")</f>
        <v>0.84816753926701571</v>
      </c>
      <c r="E530" t="str">
        <f>IFERROR(VLOOKUP($A530,observations_series_id_WPU0613020T_api_key_ecc133893ea92a842ee685c734246086_file[],2,FALSE),"")</f>
        <v/>
      </c>
      <c r="F530" s="2" t="str">
        <f>IFERROR(VLOOKUP($A530,observations_series_id_WPU0613020T_api_key_ecc133893ea92a842ee685c734246086_file[],3,FALSE),"")</f>
        <v/>
      </c>
      <c r="G530" t="str">
        <f>IFERROR(VLOOKUP($A530,observations_series_id_PCU22122212_api_key_ecc133893ea92a842ee685c734246086_file[],2,FALSE),"")</f>
        <v/>
      </c>
      <c r="H530" s="2" t="str">
        <f>IFERROR(VLOOKUP($A530,observations_series_id_PCU22122212_api_key_ecc133893ea92a842ee685c734246086_file[],3,FALSE),"")</f>
        <v/>
      </c>
      <c r="I530">
        <f>IFERROR(VLOOKUP($A530,observations_series_id_PCU3241913241910_api_key_ecc133893ea92a842ee685c734246086[],2,FALSE),"")</f>
        <v>187.7</v>
      </c>
      <c r="J530" s="2">
        <f>IFERROR(VLOOKUP($A530,observations_series_id_PCU3241913241910_api_key_ecc133893ea92a842ee685c734246086[],3,FALSE),"")</f>
        <v>0.72615876398508261</v>
      </c>
      <c r="K530">
        <f>IFERROR(VLOOKUP($A530,observations_series_id_EXJPUS_api_key_ecc133893ea92a842ee685c734246086_file_type[],2,FALSE),"")</f>
        <v>132.6833</v>
      </c>
      <c r="L530" s="2">
        <f>IFERROR(VLOOKUP($A530,observations_series_id_EXJPUS_api_key_ecc133893ea92a842ee685c734246086_file_type[],3,FALSE),"")</f>
        <v>-1.6983049110174377</v>
      </c>
      <c r="M530" t="str">
        <f>IFERROR(AVERAGEIFS(timeseries_access_key_fqeas14oitk235763mntlb1c0brnk9w3fenzqbk313q5kvxyf52kukw1pa[Value.LME-ZNC],timeseries_access_key_fqeas14oitk235763mntlb1c0brnk9w3fenzqbk313q5kvxyf52kukw1pa[Month],MONTH(Data!$A530),timeseries_access_key_fqeas14oitk235763mntlb1c0brnk9w3fenzqbk313q5kvxyf52kukw1pa[Year],YEAR(Data!$A530)),"")</f>
        <v/>
      </c>
      <c r="N530" s="2" t="str">
        <f>IFERROR(AVERAGEIFS(timeseries_access_key_fqeas14oitk235763mntlb1c0brnk9w3fenzqbk313q5kvxyf52kukw1pa[Column1],timeseries_access_key_fqeas14oitk235763mntlb1c0brnk9w3fenzqbk313q5kvxyf52kukw1pa[Month],MONTH(Data!$A530),timeseries_access_key_fqeas14oitk235763mntlb1c0brnk9w3fenzqbk313q5kvxyf52kukw1pa[Year],YEAR(Data!$A530)),"")</f>
        <v/>
      </c>
      <c r="O530" s="8">
        <f>IFERROR(VLOOKUP($A530,Text_1_2[[Text.1.1.3]:[Text.1.3]],2,FALSE),"")</f>
        <v>19300</v>
      </c>
      <c r="P530" s="2"/>
    </row>
    <row r="531" spans="1:16" x14ac:dyDescent="0.25">
      <c r="A531" s="1">
        <v>37288</v>
      </c>
      <c r="B531" t="str">
        <f>HLOOKUP(Dashboard!$I$27,results,ROW(A531),FALSE)</f>
        <v/>
      </c>
      <c r="C531">
        <f>IFERROR(VLOOKUP(A531,observations_series_id_PCU22112222112243_api_key_ecc133893ea92a842ee685c73424608[],2,FALSE),"")</f>
        <v>113.9</v>
      </c>
      <c r="D531" s="2">
        <f>IFERROR(VLOOKUP(A531,observations_series_id_PCU22112222112243_api_key_ecc133893ea92a842ee685c73424608[],3,FALSE),"")</f>
        <v>0.84723441615452155</v>
      </c>
      <c r="E531" t="str">
        <f>IFERROR(VLOOKUP($A531,observations_series_id_WPU0613020T_api_key_ecc133893ea92a842ee685c734246086_file[],2,FALSE),"")</f>
        <v/>
      </c>
      <c r="F531" s="2" t="str">
        <f>IFERROR(VLOOKUP($A531,observations_series_id_WPU0613020T_api_key_ecc133893ea92a842ee685c734246086_file[],3,FALSE),"")</f>
        <v/>
      </c>
      <c r="G531" t="str">
        <f>IFERROR(VLOOKUP($A531,observations_series_id_PCU22122212_api_key_ecc133893ea92a842ee685c734246086_file[],2,FALSE),"")</f>
        <v/>
      </c>
      <c r="H531" s="2" t="str">
        <f>IFERROR(VLOOKUP($A531,observations_series_id_PCU22122212_api_key_ecc133893ea92a842ee685c734246086_file[],3,FALSE),"")</f>
        <v/>
      </c>
      <c r="I531">
        <f>IFERROR(VLOOKUP($A531,observations_series_id_PCU3241913241910_api_key_ecc133893ea92a842ee685c734246086[],2,FALSE),"")</f>
        <v>187.9</v>
      </c>
      <c r="J531" s="2">
        <f>IFERROR(VLOOKUP($A531,observations_series_id_PCU3241913241910_api_key_ecc133893ea92a842ee685c734246086[],3,FALSE),"")</f>
        <v>0.72645023948908993</v>
      </c>
      <c r="K531">
        <f>IFERROR(VLOOKUP($A531,observations_series_id_EXJPUS_api_key_ecc133893ea92a842ee685c734246086_file_type[],2,FALSE),"")</f>
        <v>133.64259999999999</v>
      </c>
      <c r="L531" s="2">
        <f>IFERROR(VLOOKUP($A531,observations_series_id_EXJPUS_api_key_ecc133893ea92a842ee685c734246086_file_type[],3,FALSE),"")</f>
        <v>-1.6789362074667808</v>
      </c>
      <c r="M531" t="str">
        <f>IFERROR(AVERAGEIFS(timeseries_access_key_fqeas14oitk235763mntlb1c0brnk9w3fenzqbk313q5kvxyf52kukw1pa[Value.LME-ZNC],timeseries_access_key_fqeas14oitk235763mntlb1c0brnk9w3fenzqbk313q5kvxyf52kukw1pa[Month],MONTH(Data!$A531),timeseries_access_key_fqeas14oitk235763mntlb1c0brnk9w3fenzqbk313q5kvxyf52kukw1pa[Year],YEAR(Data!$A531)),"")</f>
        <v/>
      </c>
      <c r="N531" s="2" t="str">
        <f>IFERROR(AVERAGEIFS(timeseries_access_key_fqeas14oitk235763mntlb1c0brnk9w3fenzqbk313q5kvxyf52kukw1pa[Column1],timeseries_access_key_fqeas14oitk235763mntlb1c0brnk9w3fenzqbk313q5kvxyf52kukw1pa[Month],MONTH(Data!$A531),timeseries_access_key_fqeas14oitk235763mntlb1c0brnk9w3fenzqbk313q5kvxyf52kukw1pa[Year],YEAR(Data!$A531)),"")</f>
        <v/>
      </c>
      <c r="O531" s="8" t="str">
        <f>IFERROR(VLOOKUP($A531,Text_1_2[[Text.1.1.3]:[Text.1.3]],2,FALSE),"")</f>
        <v/>
      </c>
      <c r="P531" s="2"/>
    </row>
    <row r="532" spans="1:16" x14ac:dyDescent="0.25">
      <c r="A532" s="1">
        <v>37316</v>
      </c>
      <c r="B532" t="str">
        <f>HLOOKUP(Dashboard!$I$27,results,ROW(A532),FALSE)</f>
        <v/>
      </c>
      <c r="C532">
        <f>IFERROR(VLOOKUP(A532,observations_series_id_PCU22112222112243_api_key_ecc133893ea92a842ee685c73424608[],2,FALSE),"")</f>
        <v>114.1</v>
      </c>
      <c r="D532" s="2">
        <f>IFERROR(VLOOKUP(A532,observations_series_id_PCU22112222112243_api_key_ecc133893ea92a842ee685c73424608[],3,FALSE),"")</f>
        <v>0.84750219106047331</v>
      </c>
      <c r="E532" t="str">
        <f>IFERROR(VLOOKUP($A532,observations_series_id_WPU0613020T_api_key_ecc133893ea92a842ee685c734246086_file[],2,FALSE),"")</f>
        <v/>
      </c>
      <c r="F532" s="2" t="str">
        <f>IFERROR(VLOOKUP($A532,observations_series_id_WPU0613020T_api_key_ecc133893ea92a842ee685c734246086_file[],3,FALSE),"")</f>
        <v/>
      </c>
      <c r="G532" t="str">
        <f>IFERROR(VLOOKUP($A532,observations_series_id_PCU22122212_api_key_ecc133893ea92a842ee685c734246086_file[],2,FALSE),"")</f>
        <v/>
      </c>
      <c r="H532" s="2" t="str">
        <f>IFERROR(VLOOKUP($A532,observations_series_id_PCU22122212_api_key_ecc133893ea92a842ee685c734246086_file[],3,FALSE),"")</f>
        <v/>
      </c>
      <c r="I532">
        <f>IFERROR(VLOOKUP($A532,observations_series_id_PCU3241913241910_api_key_ecc133893ea92a842ee685c734246086[],2,FALSE),"")</f>
        <v>187.8</v>
      </c>
      <c r="J532" s="2">
        <f>IFERROR(VLOOKUP($A532,observations_series_id_PCU3241913241910_api_key_ecc133893ea92a842ee685c734246086[],3,FALSE),"")</f>
        <v>0.72630457933972314</v>
      </c>
      <c r="K532">
        <f>IFERROR(VLOOKUP($A532,observations_series_id_EXJPUS_api_key_ecc133893ea92a842ee685c734246086_file_type[],2,FALSE),"")</f>
        <v>131.06100000000001</v>
      </c>
      <c r="L532" s="2">
        <f>IFERROR(VLOOKUP($A532,observations_series_id_EXJPUS_api_key_ecc133893ea92a842ee685c734246086_file_type[],3,FALSE),"")</f>
        <v>-1.731705083892233</v>
      </c>
      <c r="M532" t="str">
        <f>IFERROR(AVERAGEIFS(timeseries_access_key_fqeas14oitk235763mntlb1c0brnk9w3fenzqbk313q5kvxyf52kukw1pa[Value.LME-ZNC],timeseries_access_key_fqeas14oitk235763mntlb1c0brnk9w3fenzqbk313q5kvxyf52kukw1pa[Month],MONTH(Data!$A532),timeseries_access_key_fqeas14oitk235763mntlb1c0brnk9w3fenzqbk313q5kvxyf52kukw1pa[Year],YEAR(Data!$A532)),"")</f>
        <v/>
      </c>
      <c r="N532" s="2" t="str">
        <f>IFERROR(AVERAGEIFS(timeseries_access_key_fqeas14oitk235763mntlb1c0brnk9w3fenzqbk313q5kvxyf52kukw1pa[Column1],timeseries_access_key_fqeas14oitk235763mntlb1c0brnk9w3fenzqbk313q5kvxyf52kukw1pa[Month],MONTH(Data!$A532),timeseries_access_key_fqeas14oitk235763mntlb1c0brnk9w3fenzqbk313q5kvxyf52kukw1pa[Year],YEAR(Data!$A532)),"")</f>
        <v/>
      </c>
      <c r="O532" s="8" t="str">
        <f>IFERROR(VLOOKUP($A532,Text_1_2[[Text.1.1.3]:[Text.1.3]],2,FALSE),"")</f>
        <v/>
      </c>
      <c r="P532" s="2"/>
    </row>
    <row r="533" spans="1:16" x14ac:dyDescent="0.25">
      <c r="A533" s="1">
        <v>37347</v>
      </c>
      <c r="B533" t="str">
        <f>HLOOKUP(Dashboard!$I$27,results,ROW(A533),FALSE)</f>
        <v/>
      </c>
      <c r="C533">
        <f>IFERROR(VLOOKUP(A533,observations_series_id_PCU22112222112243_api_key_ecc133893ea92a842ee685c73424608[],2,FALSE),"")</f>
        <v>113.9</v>
      </c>
      <c r="D533" s="2">
        <f>IFERROR(VLOOKUP(A533,observations_series_id_PCU22112222112243_api_key_ecc133893ea92a842ee685c73424608[],3,FALSE),"")</f>
        <v>0.84723441615452155</v>
      </c>
      <c r="E533" t="str">
        <f>IFERROR(VLOOKUP($A533,observations_series_id_WPU0613020T_api_key_ecc133893ea92a842ee685c734246086_file[],2,FALSE),"")</f>
        <v/>
      </c>
      <c r="F533" s="2" t="str">
        <f>IFERROR(VLOOKUP($A533,observations_series_id_WPU0613020T_api_key_ecc133893ea92a842ee685c734246086_file[],3,FALSE),"")</f>
        <v/>
      </c>
      <c r="G533" t="str">
        <f>IFERROR(VLOOKUP($A533,observations_series_id_PCU22122212_api_key_ecc133893ea92a842ee685c734246086_file[],2,FALSE),"")</f>
        <v/>
      </c>
      <c r="H533" s="2" t="str">
        <f>IFERROR(VLOOKUP($A533,observations_series_id_PCU22122212_api_key_ecc133893ea92a842ee685c734246086_file[],3,FALSE),"")</f>
        <v/>
      </c>
      <c r="I533">
        <f>IFERROR(VLOOKUP($A533,observations_series_id_PCU3241913241910_api_key_ecc133893ea92a842ee685c734246086[],2,FALSE),"")</f>
        <v>187.7</v>
      </c>
      <c r="J533" s="2">
        <f>IFERROR(VLOOKUP($A533,observations_series_id_PCU3241913241910_api_key_ecc133893ea92a842ee685c734246086[],3,FALSE),"")</f>
        <v>0.72615876398508261</v>
      </c>
      <c r="K533">
        <f>IFERROR(VLOOKUP($A533,observations_series_id_EXJPUS_api_key_ecc133893ea92a842ee685c734246086_file_type[],2,FALSE),"")</f>
        <v>130.77180000000001</v>
      </c>
      <c r="L533" s="2">
        <f>IFERROR(VLOOKUP($A533,observations_series_id_EXJPUS_api_key_ecc133893ea92a842ee685c734246086_file_type[],3,FALSE),"")</f>
        <v>-1.7377462113391413</v>
      </c>
      <c r="M533" t="str">
        <f>IFERROR(AVERAGEIFS(timeseries_access_key_fqeas14oitk235763mntlb1c0brnk9w3fenzqbk313q5kvxyf52kukw1pa[Value.LME-ZNC],timeseries_access_key_fqeas14oitk235763mntlb1c0brnk9w3fenzqbk313q5kvxyf52kukw1pa[Month],MONTH(Data!$A533),timeseries_access_key_fqeas14oitk235763mntlb1c0brnk9w3fenzqbk313q5kvxyf52kukw1pa[Year],YEAR(Data!$A533)),"")</f>
        <v/>
      </c>
      <c r="N533" s="2" t="str">
        <f>IFERROR(AVERAGEIFS(timeseries_access_key_fqeas14oitk235763mntlb1c0brnk9w3fenzqbk313q5kvxyf52kukw1pa[Column1],timeseries_access_key_fqeas14oitk235763mntlb1c0brnk9w3fenzqbk313q5kvxyf52kukw1pa[Month],MONTH(Data!$A533),timeseries_access_key_fqeas14oitk235763mntlb1c0brnk9w3fenzqbk313q5kvxyf52kukw1pa[Year],YEAR(Data!$A533)),"")</f>
        <v/>
      </c>
      <c r="O533" s="8">
        <f>IFERROR(VLOOKUP($A533,Text_1_2[[Text.1.1.3]:[Text.1.3]],2,FALSE),"")</f>
        <v>23400</v>
      </c>
      <c r="P533" s="2"/>
    </row>
    <row r="534" spans="1:16" x14ac:dyDescent="0.25">
      <c r="A534" s="1">
        <v>37377</v>
      </c>
      <c r="B534" t="str">
        <f>HLOOKUP(Dashboard!$I$27,results,ROW(A534),FALSE)</f>
        <v/>
      </c>
      <c r="C534">
        <f>IFERROR(VLOOKUP(A534,observations_series_id_PCU22112222112243_api_key_ecc133893ea92a842ee685c73424608[],2,FALSE),"")</f>
        <v>115.9</v>
      </c>
      <c r="D534" s="2">
        <f>IFERROR(VLOOKUP(A534,observations_series_id_PCU22112222112243_api_key_ecc133893ea92a842ee685c73424608[],3,FALSE),"")</f>
        <v>0.84987057808455568</v>
      </c>
      <c r="E534" t="str">
        <f>IFERROR(VLOOKUP($A534,observations_series_id_WPU0613020T_api_key_ecc133893ea92a842ee685c734246086_file[],2,FALSE),"")</f>
        <v/>
      </c>
      <c r="F534" s="2" t="str">
        <f>IFERROR(VLOOKUP($A534,observations_series_id_WPU0613020T_api_key_ecc133893ea92a842ee685c734246086_file[],3,FALSE),"")</f>
        <v/>
      </c>
      <c r="G534" t="str">
        <f>IFERROR(VLOOKUP($A534,observations_series_id_PCU22122212_api_key_ecc133893ea92a842ee685c734246086_file[],2,FALSE),"")</f>
        <v/>
      </c>
      <c r="H534" s="2" t="str">
        <f>IFERROR(VLOOKUP($A534,observations_series_id_PCU22122212_api_key_ecc133893ea92a842ee685c734246086_file[],3,FALSE),"")</f>
        <v/>
      </c>
      <c r="I534">
        <f>IFERROR(VLOOKUP($A534,observations_series_id_PCU3241913241910_api_key_ecc133893ea92a842ee685c734246086[],2,FALSE),"")</f>
        <v>187.8</v>
      </c>
      <c r="J534" s="2">
        <f>IFERROR(VLOOKUP($A534,observations_series_id_PCU3241913241910_api_key_ecc133893ea92a842ee685c734246086[],3,FALSE),"")</f>
        <v>0.72630457933972314</v>
      </c>
      <c r="K534">
        <f>IFERROR(VLOOKUP($A534,observations_series_id_EXJPUS_api_key_ecc133893ea92a842ee685c734246086_file_type[],2,FALSE),"")</f>
        <v>126.375</v>
      </c>
      <c r="L534" s="2">
        <f>IFERROR(VLOOKUP($A534,observations_series_id_EXJPUS_api_key_ecc133893ea92a842ee685c734246086_file_type[],3,FALSE),"")</f>
        <v>-1.8329970326409493</v>
      </c>
      <c r="M534" t="str">
        <f>IFERROR(AVERAGEIFS(timeseries_access_key_fqeas14oitk235763mntlb1c0brnk9w3fenzqbk313q5kvxyf52kukw1pa[Value.LME-ZNC],timeseries_access_key_fqeas14oitk235763mntlb1c0brnk9w3fenzqbk313q5kvxyf52kukw1pa[Month],MONTH(Data!$A534),timeseries_access_key_fqeas14oitk235763mntlb1c0brnk9w3fenzqbk313q5kvxyf52kukw1pa[Year],YEAR(Data!$A534)),"")</f>
        <v/>
      </c>
      <c r="N534" s="2" t="str">
        <f>IFERROR(AVERAGEIFS(timeseries_access_key_fqeas14oitk235763mntlb1c0brnk9w3fenzqbk313q5kvxyf52kukw1pa[Column1],timeseries_access_key_fqeas14oitk235763mntlb1c0brnk9w3fenzqbk313q5kvxyf52kukw1pa[Month],MONTH(Data!$A534),timeseries_access_key_fqeas14oitk235763mntlb1c0brnk9w3fenzqbk313q5kvxyf52kukw1pa[Year],YEAR(Data!$A534)),"")</f>
        <v/>
      </c>
      <c r="O534" s="8" t="str">
        <f>IFERROR(VLOOKUP($A534,Text_1_2[[Text.1.1.3]:[Text.1.3]],2,FALSE),"")</f>
        <v/>
      </c>
      <c r="P534" s="2"/>
    </row>
    <row r="535" spans="1:16" x14ac:dyDescent="0.25">
      <c r="A535" s="1">
        <v>37408</v>
      </c>
      <c r="B535" t="str">
        <f>HLOOKUP(Dashboard!$I$27,results,ROW(A535),FALSE)</f>
        <v/>
      </c>
      <c r="C535">
        <f>IFERROR(VLOOKUP(A535,observations_series_id_PCU22112222112243_api_key_ecc133893ea92a842ee685c73424608[],2,FALSE),"")</f>
        <v>120.7</v>
      </c>
      <c r="D535" s="2">
        <f>IFERROR(VLOOKUP(A535,observations_series_id_PCU22112222112243_api_key_ecc133893ea92a842ee685c73424608[],3,FALSE),"")</f>
        <v>0.85584092792046396</v>
      </c>
      <c r="E535" t="str">
        <f>IFERROR(VLOOKUP($A535,observations_series_id_WPU0613020T_api_key_ecc133893ea92a842ee685c734246086_file[],2,FALSE),"")</f>
        <v/>
      </c>
      <c r="F535" s="2" t="str">
        <f>IFERROR(VLOOKUP($A535,observations_series_id_WPU0613020T_api_key_ecc133893ea92a842ee685c734246086_file[],3,FALSE),"")</f>
        <v/>
      </c>
      <c r="G535" t="str">
        <f>IFERROR(VLOOKUP($A535,observations_series_id_PCU22122212_api_key_ecc133893ea92a842ee685c734246086_file[],2,FALSE),"")</f>
        <v/>
      </c>
      <c r="H535" s="2" t="str">
        <f>IFERROR(VLOOKUP($A535,observations_series_id_PCU22122212_api_key_ecc133893ea92a842ee685c734246086_file[],3,FALSE),"")</f>
        <v/>
      </c>
      <c r="I535">
        <f>IFERROR(VLOOKUP($A535,observations_series_id_PCU3241913241910_api_key_ecc133893ea92a842ee685c734246086[],2,FALSE),"")</f>
        <v>187.9</v>
      </c>
      <c r="J535" s="2">
        <f>IFERROR(VLOOKUP($A535,observations_series_id_PCU3241913241910_api_key_ecc133893ea92a842ee685c734246086[],3,FALSE),"")</f>
        <v>0.72645023948908993</v>
      </c>
      <c r="K535">
        <f>IFERROR(VLOOKUP($A535,observations_series_id_EXJPUS_api_key_ecc133893ea92a842ee685c734246086_file_type[],2,FALSE),"")</f>
        <v>123.29049999999999</v>
      </c>
      <c r="L535" s="2">
        <f>IFERROR(VLOOKUP($A535,observations_series_id_EXJPUS_api_key_ecc133893ea92a842ee685c734246086_file_type[],3,FALSE),"")</f>
        <v>-1.9038733722387371</v>
      </c>
      <c r="M535" t="str">
        <f>IFERROR(AVERAGEIFS(timeseries_access_key_fqeas14oitk235763mntlb1c0brnk9w3fenzqbk313q5kvxyf52kukw1pa[Value.LME-ZNC],timeseries_access_key_fqeas14oitk235763mntlb1c0brnk9w3fenzqbk313q5kvxyf52kukw1pa[Month],MONTH(Data!$A535),timeseries_access_key_fqeas14oitk235763mntlb1c0brnk9w3fenzqbk313q5kvxyf52kukw1pa[Year],YEAR(Data!$A535)),"")</f>
        <v/>
      </c>
      <c r="N535" s="2" t="str">
        <f>IFERROR(AVERAGEIFS(timeseries_access_key_fqeas14oitk235763mntlb1c0brnk9w3fenzqbk313q5kvxyf52kukw1pa[Column1],timeseries_access_key_fqeas14oitk235763mntlb1c0brnk9w3fenzqbk313q5kvxyf52kukw1pa[Month],MONTH(Data!$A535),timeseries_access_key_fqeas14oitk235763mntlb1c0brnk9w3fenzqbk313q5kvxyf52kukw1pa[Year],YEAR(Data!$A535)),"")</f>
        <v/>
      </c>
      <c r="O535" s="8" t="str">
        <f>IFERROR(VLOOKUP($A535,Text_1_2[[Text.1.1.3]:[Text.1.3]],2,FALSE),"")</f>
        <v/>
      </c>
      <c r="P535" s="2"/>
    </row>
    <row r="536" spans="1:16" x14ac:dyDescent="0.25">
      <c r="A536" s="1">
        <v>37438</v>
      </c>
      <c r="B536" t="str">
        <f>HLOOKUP(Dashboard!$I$27,results,ROW(A536),FALSE)</f>
        <v/>
      </c>
      <c r="C536">
        <f>IFERROR(VLOOKUP(A536,observations_series_id_PCU22112222112243_api_key_ecc133893ea92a842ee685c73424608[],2,FALSE),"")</f>
        <v>121.8</v>
      </c>
      <c r="D536" s="2">
        <f>IFERROR(VLOOKUP(A536,observations_series_id_PCU22112222112243_api_key_ecc133893ea92a842ee685c73424608[],3,FALSE),"")</f>
        <v>0.85714285714285721</v>
      </c>
      <c r="E536" t="str">
        <f>IFERROR(VLOOKUP($A536,observations_series_id_WPU0613020T_api_key_ecc133893ea92a842ee685c734246086_file[],2,FALSE),"")</f>
        <v/>
      </c>
      <c r="F536" s="2" t="str">
        <f>IFERROR(VLOOKUP($A536,observations_series_id_WPU0613020T_api_key_ecc133893ea92a842ee685c734246086_file[],3,FALSE),"")</f>
        <v/>
      </c>
      <c r="G536" t="str">
        <f>IFERROR(VLOOKUP($A536,observations_series_id_PCU22122212_api_key_ecc133893ea92a842ee685c734246086_file[],2,FALSE),"")</f>
        <v/>
      </c>
      <c r="H536" s="2" t="str">
        <f>IFERROR(VLOOKUP($A536,observations_series_id_PCU22122212_api_key_ecc133893ea92a842ee685c734246086_file[],3,FALSE),"")</f>
        <v/>
      </c>
      <c r="I536">
        <f>IFERROR(VLOOKUP($A536,observations_series_id_PCU3241913241910_api_key_ecc133893ea92a842ee685c734246086[],2,FALSE),"")</f>
        <v>188</v>
      </c>
      <c r="J536" s="2">
        <f>IFERROR(VLOOKUP($A536,observations_series_id_PCU3241913241910_api_key_ecc133893ea92a842ee685c734246086[],3,FALSE),"")</f>
        <v>0.72659574468085109</v>
      </c>
      <c r="K536">
        <f>IFERROR(VLOOKUP($A536,observations_series_id_EXJPUS_api_key_ecc133893ea92a842ee685c734246086_file_type[],2,FALSE),"")</f>
        <v>117.8991</v>
      </c>
      <c r="L536" s="2">
        <f>IFERROR(VLOOKUP($A536,observations_series_id_EXJPUS_api_key_ecc133893ea92a842ee685c734246086_file_type[],3,FALSE),"")</f>
        <v>-2.0366644020183355</v>
      </c>
      <c r="M536" t="str">
        <f>IFERROR(AVERAGEIFS(timeseries_access_key_fqeas14oitk235763mntlb1c0brnk9w3fenzqbk313q5kvxyf52kukw1pa[Value.LME-ZNC],timeseries_access_key_fqeas14oitk235763mntlb1c0brnk9w3fenzqbk313q5kvxyf52kukw1pa[Month],MONTH(Data!$A536),timeseries_access_key_fqeas14oitk235763mntlb1c0brnk9w3fenzqbk313q5kvxyf52kukw1pa[Year],YEAR(Data!$A536)),"")</f>
        <v/>
      </c>
      <c r="N536" s="2" t="str">
        <f>IFERROR(AVERAGEIFS(timeseries_access_key_fqeas14oitk235763mntlb1c0brnk9w3fenzqbk313q5kvxyf52kukw1pa[Column1],timeseries_access_key_fqeas14oitk235763mntlb1c0brnk9w3fenzqbk313q5kvxyf52kukw1pa[Month],MONTH(Data!$A536),timeseries_access_key_fqeas14oitk235763mntlb1c0brnk9w3fenzqbk313q5kvxyf52kukw1pa[Year],YEAR(Data!$A536)),"")</f>
        <v/>
      </c>
      <c r="O536" s="8">
        <f>IFERROR(VLOOKUP($A536,Text_1_2[[Text.1.1.3]:[Text.1.3]],2,FALSE),"")</f>
        <v>21800</v>
      </c>
      <c r="P536" s="2"/>
    </row>
    <row r="537" spans="1:16" x14ac:dyDescent="0.25">
      <c r="A537" s="1">
        <v>37469</v>
      </c>
      <c r="B537" t="str">
        <f>HLOOKUP(Dashboard!$I$27,results,ROW(A537),FALSE)</f>
        <v/>
      </c>
      <c r="C537">
        <f>IFERROR(VLOOKUP(A537,observations_series_id_PCU22112222112243_api_key_ecc133893ea92a842ee685c73424608[],2,FALSE),"")</f>
        <v>122</v>
      </c>
      <c r="D537" s="2">
        <f>IFERROR(VLOOKUP(A537,observations_series_id_PCU22112222112243_api_key_ecc133893ea92a842ee685c73424608[],3,FALSE),"")</f>
        <v>0.85737704918032787</v>
      </c>
      <c r="E537" t="str">
        <f>IFERROR(VLOOKUP($A537,observations_series_id_WPU0613020T_api_key_ecc133893ea92a842ee685c734246086_file[],2,FALSE),"")</f>
        <v/>
      </c>
      <c r="F537" s="2" t="str">
        <f>IFERROR(VLOOKUP($A537,observations_series_id_WPU0613020T_api_key_ecc133893ea92a842ee685c734246086_file[],3,FALSE),"")</f>
        <v/>
      </c>
      <c r="G537" t="str">
        <f>IFERROR(VLOOKUP($A537,observations_series_id_PCU22122212_api_key_ecc133893ea92a842ee685c734246086_file[],2,FALSE),"")</f>
        <v/>
      </c>
      <c r="H537" s="2" t="str">
        <f>IFERROR(VLOOKUP($A537,observations_series_id_PCU22122212_api_key_ecc133893ea92a842ee685c734246086_file[],3,FALSE),"")</f>
        <v/>
      </c>
      <c r="I537">
        <f>IFERROR(VLOOKUP($A537,observations_series_id_PCU3241913241910_api_key_ecc133893ea92a842ee685c734246086[],2,FALSE),"")</f>
        <v>187.9</v>
      </c>
      <c r="J537" s="2">
        <f>IFERROR(VLOOKUP($A537,observations_series_id_PCU3241913241910_api_key_ecc133893ea92a842ee685c734246086[],3,FALSE),"")</f>
        <v>0.72645023948908993</v>
      </c>
      <c r="K537">
        <f>IFERROR(VLOOKUP($A537,observations_series_id_EXJPUS_api_key_ecc133893ea92a842ee685c734246086_file_type[],2,FALSE),"")</f>
        <v>118.9927</v>
      </c>
      <c r="L537" s="2">
        <f>IFERROR(VLOOKUP($A537,observations_series_id_EXJPUS_api_key_ecc133893ea92a842ee685c734246086_file_type[],3,FALSE),"")</f>
        <v>-2.008755999317605</v>
      </c>
      <c r="M537" t="str">
        <f>IFERROR(AVERAGEIFS(timeseries_access_key_fqeas14oitk235763mntlb1c0brnk9w3fenzqbk313q5kvxyf52kukw1pa[Value.LME-ZNC],timeseries_access_key_fqeas14oitk235763mntlb1c0brnk9w3fenzqbk313q5kvxyf52kukw1pa[Month],MONTH(Data!$A537),timeseries_access_key_fqeas14oitk235763mntlb1c0brnk9w3fenzqbk313q5kvxyf52kukw1pa[Year],YEAR(Data!$A537)),"")</f>
        <v/>
      </c>
      <c r="N537" s="2" t="str">
        <f>IFERROR(AVERAGEIFS(timeseries_access_key_fqeas14oitk235763mntlb1c0brnk9w3fenzqbk313q5kvxyf52kukw1pa[Column1],timeseries_access_key_fqeas14oitk235763mntlb1c0brnk9w3fenzqbk313q5kvxyf52kukw1pa[Month],MONTH(Data!$A537),timeseries_access_key_fqeas14oitk235763mntlb1c0brnk9w3fenzqbk313q5kvxyf52kukw1pa[Year],YEAR(Data!$A537)),"")</f>
        <v/>
      </c>
      <c r="O537" s="8" t="str">
        <f>IFERROR(VLOOKUP($A537,Text_1_2[[Text.1.1.3]:[Text.1.3]],2,FALSE),"")</f>
        <v/>
      </c>
      <c r="P537" s="2"/>
    </row>
    <row r="538" spans="1:16" x14ac:dyDescent="0.25">
      <c r="A538" s="1">
        <v>37500</v>
      </c>
      <c r="B538" t="str">
        <f>HLOOKUP(Dashboard!$I$27,results,ROW(A538),FALSE)</f>
        <v/>
      </c>
      <c r="C538">
        <f>IFERROR(VLOOKUP(A538,observations_series_id_PCU22112222112243_api_key_ecc133893ea92a842ee685c73424608[],2,FALSE),"")</f>
        <v>122.6</v>
      </c>
      <c r="D538" s="2">
        <f>IFERROR(VLOOKUP(A538,observations_series_id_PCU22112222112243_api_key_ecc133893ea92a842ee685c73424608[],3,FALSE),"")</f>
        <v>0.8580750407830342</v>
      </c>
      <c r="E538" t="str">
        <f>IFERROR(VLOOKUP($A538,observations_series_id_WPU0613020T_api_key_ecc133893ea92a842ee685c734246086_file[],2,FALSE),"")</f>
        <v/>
      </c>
      <c r="F538" s="2" t="str">
        <f>IFERROR(VLOOKUP($A538,observations_series_id_WPU0613020T_api_key_ecc133893ea92a842ee685c734246086_file[],3,FALSE),"")</f>
        <v/>
      </c>
      <c r="G538" t="str">
        <f>IFERROR(VLOOKUP($A538,observations_series_id_PCU22122212_api_key_ecc133893ea92a842ee685c734246086_file[],2,FALSE),"")</f>
        <v/>
      </c>
      <c r="H538" s="2" t="str">
        <f>IFERROR(VLOOKUP($A538,observations_series_id_PCU22122212_api_key_ecc133893ea92a842ee685c734246086_file[],3,FALSE),"")</f>
        <v/>
      </c>
      <c r="I538">
        <f>IFERROR(VLOOKUP($A538,observations_series_id_PCU3241913241910_api_key_ecc133893ea92a842ee685c734246086[],2,FALSE),"")</f>
        <v>188.1</v>
      </c>
      <c r="J538" s="2">
        <f>IFERROR(VLOOKUP($A538,observations_series_id_PCU3241913241910_api_key_ecc133893ea92a842ee685c734246086[],3,FALSE),"")</f>
        <v>0.7267410951621478</v>
      </c>
      <c r="K538">
        <f>IFERROR(VLOOKUP($A538,observations_series_id_EXJPUS_api_key_ecc133893ea92a842ee685c734246086_file_type[],2,FALSE),"")</f>
        <v>121.078</v>
      </c>
      <c r="L538" s="2">
        <f>IFERROR(VLOOKUP($A538,observations_series_id_EXJPUS_api_key_ecc133893ea92a842ee685c734246086_file_type[],3,FALSE),"")</f>
        <v>-1.9569368506252167</v>
      </c>
      <c r="M538" t="str">
        <f>IFERROR(AVERAGEIFS(timeseries_access_key_fqeas14oitk235763mntlb1c0brnk9w3fenzqbk313q5kvxyf52kukw1pa[Value.LME-ZNC],timeseries_access_key_fqeas14oitk235763mntlb1c0brnk9w3fenzqbk313q5kvxyf52kukw1pa[Month],MONTH(Data!$A538),timeseries_access_key_fqeas14oitk235763mntlb1c0brnk9w3fenzqbk313q5kvxyf52kukw1pa[Year],YEAR(Data!$A538)),"")</f>
        <v/>
      </c>
      <c r="N538" s="2" t="str">
        <f>IFERROR(AVERAGEIFS(timeseries_access_key_fqeas14oitk235763mntlb1c0brnk9w3fenzqbk313q5kvxyf52kukw1pa[Column1],timeseries_access_key_fqeas14oitk235763mntlb1c0brnk9w3fenzqbk313q5kvxyf52kukw1pa[Month],MONTH(Data!$A538),timeseries_access_key_fqeas14oitk235763mntlb1c0brnk9w3fenzqbk313q5kvxyf52kukw1pa[Year],YEAR(Data!$A538)),"")</f>
        <v/>
      </c>
      <c r="O538" s="8" t="str">
        <f>IFERROR(VLOOKUP($A538,Text_1_2[[Text.1.1.3]:[Text.1.3]],2,FALSE),"")</f>
        <v/>
      </c>
      <c r="P538" s="2"/>
    </row>
    <row r="539" spans="1:16" x14ac:dyDescent="0.25">
      <c r="A539" s="1">
        <v>37530</v>
      </c>
      <c r="B539" t="str">
        <f>HLOOKUP(Dashboard!$I$27,results,ROW(A539),FALSE)</f>
        <v/>
      </c>
      <c r="C539">
        <f>IFERROR(VLOOKUP(A539,observations_series_id_PCU22112222112243_api_key_ecc133893ea92a842ee685c73424608[],2,FALSE),"")</f>
        <v>117.7</v>
      </c>
      <c r="D539" s="2">
        <f>IFERROR(VLOOKUP(A539,observations_series_id_PCU22112222112243_api_key_ecc133893ea92a842ee685c73424608[],3,FALSE),"")</f>
        <v>0.85216652506372137</v>
      </c>
      <c r="E539" t="str">
        <f>IFERROR(VLOOKUP($A539,observations_series_id_WPU0613020T_api_key_ecc133893ea92a842ee685c734246086_file[],2,FALSE),"")</f>
        <v/>
      </c>
      <c r="F539" s="2" t="str">
        <f>IFERROR(VLOOKUP($A539,observations_series_id_WPU0613020T_api_key_ecc133893ea92a842ee685c734246086_file[],3,FALSE),"")</f>
        <v/>
      </c>
      <c r="G539" t="str">
        <f>IFERROR(VLOOKUP($A539,observations_series_id_PCU22122212_api_key_ecc133893ea92a842ee685c734246086_file[],2,FALSE),"")</f>
        <v/>
      </c>
      <c r="H539" s="2" t="str">
        <f>IFERROR(VLOOKUP($A539,observations_series_id_PCU22122212_api_key_ecc133893ea92a842ee685c734246086_file[],3,FALSE),"")</f>
        <v/>
      </c>
      <c r="I539">
        <f>IFERROR(VLOOKUP($A539,observations_series_id_PCU3241913241910_api_key_ecc133893ea92a842ee685c734246086[],2,FALSE),"")</f>
        <v>188.1</v>
      </c>
      <c r="J539" s="2">
        <f>IFERROR(VLOOKUP($A539,observations_series_id_PCU3241913241910_api_key_ecc133893ea92a842ee685c734246086[],3,FALSE),"")</f>
        <v>0.7267410951621478</v>
      </c>
      <c r="K539">
        <f>IFERROR(VLOOKUP($A539,observations_series_id_EXJPUS_api_key_ecc133893ea92a842ee685c734246086_file_type[],2,FALSE),"")</f>
        <v>123.90770000000001</v>
      </c>
      <c r="L539" s="2">
        <f>IFERROR(VLOOKUP($A539,observations_series_id_EXJPUS_api_key_ecc133893ea92a842ee685c734246086_file_type[],3,FALSE),"")</f>
        <v>-1.8894088099448214</v>
      </c>
      <c r="M539" t="str">
        <f>IFERROR(AVERAGEIFS(timeseries_access_key_fqeas14oitk235763mntlb1c0brnk9w3fenzqbk313q5kvxyf52kukw1pa[Value.LME-ZNC],timeseries_access_key_fqeas14oitk235763mntlb1c0brnk9w3fenzqbk313q5kvxyf52kukw1pa[Month],MONTH(Data!$A539),timeseries_access_key_fqeas14oitk235763mntlb1c0brnk9w3fenzqbk313q5kvxyf52kukw1pa[Year],YEAR(Data!$A539)),"")</f>
        <v/>
      </c>
      <c r="N539" s="2" t="str">
        <f>IFERROR(AVERAGEIFS(timeseries_access_key_fqeas14oitk235763mntlb1c0brnk9w3fenzqbk313q5kvxyf52kukw1pa[Column1],timeseries_access_key_fqeas14oitk235763mntlb1c0brnk9w3fenzqbk313q5kvxyf52kukw1pa[Month],MONTH(Data!$A539),timeseries_access_key_fqeas14oitk235763mntlb1c0brnk9w3fenzqbk313q5kvxyf52kukw1pa[Year],YEAR(Data!$A539)),"")</f>
        <v/>
      </c>
      <c r="O539" s="8">
        <f>IFERROR(VLOOKUP($A539,Text_1_2[[Text.1.1.3]:[Text.1.3]],2,FALSE),"")</f>
        <v>23900</v>
      </c>
      <c r="P539" s="2"/>
    </row>
    <row r="540" spans="1:16" x14ac:dyDescent="0.25">
      <c r="A540" s="1">
        <v>37561</v>
      </c>
      <c r="B540" t="str">
        <f>HLOOKUP(Dashboard!$I$27,results,ROW(A540),FALSE)</f>
        <v/>
      </c>
      <c r="C540">
        <f>IFERROR(VLOOKUP(A540,observations_series_id_PCU22112222112243_api_key_ecc133893ea92a842ee685c73424608[],2,FALSE),"")</f>
        <v>117.3</v>
      </c>
      <c r="D540" s="2">
        <f>IFERROR(VLOOKUP(A540,observations_series_id_PCU22112222112243_api_key_ecc133893ea92a842ee685c73424608[],3,FALSE),"")</f>
        <v>0.85166240409207161</v>
      </c>
      <c r="E540" t="str">
        <f>IFERROR(VLOOKUP($A540,observations_series_id_WPU0613020T_api_key_ecc133893ea92a842ee685c734246086_file[],2,FALSE),"")</f>
        <v/>
      </c>
      <c r="F540" s="2" t="str">
        <f>IFERROR(VLOOKUP($A540,observations_series_id_WPU0613020T_api_key_ecc133893ea92a842ee685c734246086_file[],3,FALSE),"")</f>
        <v/>
      </c>
      <c r="G540" t="str">
        <f>IFERROR(VLOOKUP($A540,observations_series_id_PCU22122212_api_key_ecc133893ea92a842ee685c734246086_file[],2,FALSE),"")</f>
        <v/>
      </c>
      <c r="H540" s="2" t="str">
        <f>IFERROR(VLOOKUP($A540,observations_series_id_PCU22122212_api_key_ecc133893ea92a842ee685c734246086_file[],3,FALSE),"")</f>
        <v/>
      </c>
      <c r="I540">
        <f>IFERROR(VLOOKUP($A540,observations_series_id_PCU3241913241910_api_key_ecc133893ea92a842ee685c734246086[],2,FALSE),"")</f>
        <v>188.4</v>
      </c>
      <c r="J540" s="2">
        <f>IFERROR(VLOOKUP($A540,observations_series_id_PCU3241913241910_api_key_ecc133893ea92a842ee685c734246086[],3,FALSE),"")</f>
        <v>0.727176220806794</v>
      </c>
      <c r="K540">
        <f>IFERROR(VLOOKUP($A540,observations_series_id_EXJPUS_api_key_ecc133893ea92a842ee685c734246086_file_type[],2,FALSE),"")</f>
        <v>121.6079</v>
      </c>
      <c r="L540" s="2">
        <f>IFERROR(VLOOKUP($A540,observations_series_id_EXJPUS_api_key_ecc133893ea92a842ee685c734246086_file_type[],3,FALSE),"")</f>
        <v>-1.9440521545064096</v>
      </c>
      <c r="M540" t="str">
        <f>IFERROR(AVERAGEIFS(timeseries_access_key_fqeas14oitk235763mntlb1c0brnk9w3fenzqbk313q5kvxyf52kukw1pa[Value.LME-ZNC],timeseries_access_key_fqeas14oitk235763mntlb1c0brnk9w3fenzqbk313q5kvxyf52kukw1pa[Month],MONTH(Data!$A540),timeseries_access_key_fqeas14oitk235763mntlb1c0brnk9w3fenzqbk313q5kvxyf52kukw1pa[Year],YEAR(Data!$A540)),"")</f>
        <v/>
      </c>
      <c r="N540" s="2" t="str">
        <f>IFERROR(AVERAGEIFS(timeseries_access_key_fqeas14oitk235763mntlb1c0brnk9w3fenzqbk313q5kvxyf52kukw1pa[Column1],timeseries_access_key_fqeas14oitk235763mntlb1c0brnk9w3fenzqbk313q5kvxyf52kukw1pa[Month],MONTH(Data!$A540),timeseries_access_key_fqeas14oitk235763mntlb1c0brnk9w3fenzqbk313q5kvxyf52kukw1pa[Year],YEAR(Data!$A540)),"")</f>
        <v/>
      </c>
      <c r="O540" s="8" t="str">
        <f>IFERROR(VLOOKUP($A540,Text_1_2[[Text.1.1.3]:[Text.1.3]],2,FALSE),"")</f>
        <v/>
      </c>
      <c r="P540" s="2"/>
    </row>
    <row r="541" spans="1:16" x14ac:dyDescent="0.25">
      <c r="A541" s="1">
        <v>37591</v>
      </c>
      <c r="B541" t="str">
        <f>HLOOKUP(Dashboard!$I$27,results,ROW(A541),FALSE)</f>
        <v/>
      </c>
      <c r="C541">
        <f>IFERROR(VLOOKUP(A541,observations_series_id_PCU22112222112243_api_key_ecc133893ea92a842ee685c73424608[],2,FALSE),"")</f>
        <v>117.4</v>
      </c>
      <c r="D541" s="2">
        <f>IFERROR(VLOOKUP(A541,observations_series_id_PCU22112222112243_api_key_ecc133893ea92a842ee685c73424608[],3,FALSE),"")</f>
        <v>0.85178875638841567</v>
      </c>
      <c r="E541" t="str">
        <f>IFERROR(VLOOKUP($A541,observations_series_id_WPU0613020T_api_key_ecc133893ea92a842ee685c734246086_file[],2,FALSE),"")</f>
        <v/>
      </c>
      <c r="F541" s="2" t="str">
        <f>IFERROR(VLOOKUP($A541,observations_series_id_WPU0613020T_api_key_ecc133893ea92a842ee685c734246086_file[],3,FALSE),"")</f>
        <v/>
      </c>
      <c r="G541" t="str">
        <f>IFERROR(VLOOKUP($A541,observations_series_id_PCU22122212_api_key_ecc133893ea92a842ee685c734246086_file[],2,FALSE),"")</f>
        <v/>
      </c>
      <c r="H541" s="2" t="str">
        <f>IFERROR(VLOOKUP($A541,observations_series_id_PCU22122212_api_key_ecc133893ea92a842ee685c734246086_file[],3,FALSE),"")</f>
        <v/>
      </c>
      <c r="I541">
        <f>IFERROR(VLOOKUP($A541,observations_series_id_PCU3241913241910_api_key_ecc133893ea92a842ee685c734246086[],2,FALSE),"")</f>
        <v>188.9</v>
      </c>
      <c r="J541" s="2">
        <f>IFERROR(VLOOKUP($A541,observations_series_id_PCU3241913241910_api_key_ecc133893ea92a842ee685c734246086[],3,FALSE),"")</f>
        <v>0.7278983589200636</v>
      </c>
      <c r="K541">
        <f>IFERROR(VLOOKUP($A541,observations_series_id_EXJPUS_api_key_ecc133893ea92a842ee685c734246086_file_type[],2,FALSE),"")</f>
        <v>121.8929</v>
      </c>
      <c r="L541" s="2">
        <f>IFERROR(VLOOKUP($A541,observations_series_id_EXJPUS_api_key_ecc133893ea92a842ee685c734246086_file_type[],3,FALSE),"")</f>
        <v>-1.9371686127740007</v>
      </c>
      <c r="M541" t="str">
        <f>IFERROR(AVERAGEIFS(timeseries_access_key_fqeas14oitk235763mntlb1c0brnk9w3fenzqbk313q5kvxyf52kukw1pa[Value.LME-ZNC],timeseries_access_key_fqeas14oitk235763mntlb1c0brnk9w3fenzqbk313q5kvxyf52kukw1pa[Month],MONTH(Data!$A541),timeseries_access_key_fqeas14oitk235763mntlb1c0brnk9w3fenzqbk313q5kvxyf52kukw1pa[Year],YEAR(Data!$A541)),"")</f>
        <v/>
      </c>
      <c r="N541" s="2" t="str">
        <f>IFERROR(AVERAGEIFS(timeseries_access_key_fqeas14oitk235763mntlb1c0brnk9w3fenzqbk313q5kvxyf52kukw1pa[Column1],timeseries_access_key_fqeas14oitk235763mntlb1c0brnk9w3fenzqbk313q5kvxyf52kukw1pa[Month],MONTH(Data!$A541),timeseries_access_key_fqeas14oitk235763mntlb1c0brnk9w3fenzqbk313q5kvxyf52kukw1pa[Year],YEAR(Data!$A541)),"")</f>
        <v/>
      </c>
      <c r="O541" s="8" t="str">
        <f>IFERROR(VLOOKUP($A541,Text_1_2[[Text.1.1.3]:[Text.1.3]],2,FALSE),"")</f>
        <v/>
      </c>
      <c r="P541" s="2"/>
    </row>
    <row r="542" spans="1:16" x14ac:dyDescent="0.25">
      <c r="A542" s="1">
        <v>37622</v>
      </c>
      <c r="B542" t="str">
        <f>HLOOKUP(Dashboard!$I$27,results,ROW(A542),FALSE)</f>
        <v/>
      </c>
      <c r="C542">
        <f>IFERROR(VLOOKUP(A542,observations_series_id_PCU22112222112243_api_key_ecc133893ea92a842ee685c73424608[],2,FALSE),"")</f>
        <v>118</v>
      </c>
      <c r="D542" s="2">
        <f>IFERROR(VLOOKUP(A542,observations_series_id_PCU22112222112243_api_key_ecc133893ea92a842ee685c73424608[],3,FALSE),"")</f>
        <v>0.85254237288135593</v>
      </c>
      <c r="E542" t="str">
        <f>IFERROR(VLOOKUP($A542,observations_series_id_WPU0613020T_api_key_ecc133893ea92a842ee685c734246086_file[],2,FALSE),"")</f>
        <v/>
      </c>
      <c r="F542" s="2" t="str">
        <f>IFERROR(VLOOKUP($A542,observations_series_id_WPU0613020T_api_key_ecc133893ea92a842ee685c734246086_file[],3,FALSE),"")</f>
        <v/>
      </c>
      <c r="G542" t="str">
        <f>IFERROR(VLOOKUP($A542,observations_series_id_PCU22122212_api_key_ecc133893ea92a842ee685c734246086_file[],2,FALSE),"")</f>
        <v/>
      </c>
      <c r="H542" s="2" t="str">
        <f>IFERROR(VLOOKUP($A542,observations_series_id_PCU22122212_api_key_ecc133893ea92a842ee685c734246086_file[],3,FALSE),"")</f>
        <v/>
      </c>
      <c r="I542">
        <f>IFERROR(VLOOKUP($A542,observations_series_id_PCU3241913241910_api_key_ecc133893ea92a842ee685c734246086[],2,FALSE),"")</f>
        <v>189</v>
      </c>
      <c r="J542" s="2">
        <f>IFERROR(VLOOKUP($A542,observations_series_id_PCU3241913241910_api_key_ecc133893ea92a842ee685c734246086[],3,FALSE),"")</f>
        <v>0.72804232804232805</v>
      </c>
      <c r="K542">
        <f>IFERROR(VLOOKUP($A542,observations_series_id_EXJPUS_api_key_ecc133893ea92a842ee685c734246086_file_type[],2,FALSE),"")</f>
        <v>118.8133</v>
      </c>
      <c r="L542" s="2">
        <f>IFERROR(VLOOKUP($A542,observations_series_id_EXJPUS_api_key_ecc133893ea92a842ee685c734246086_file_type[],3,FALSE),"")</f>
        <v>-2.0132990161875814</v>
      </c>
      <c r="M542" t="str">
        <f>IFERROR(AVERAGEIFS(timeseries_access_key_fqeas14oitk235763mntlb1c0brnk9w3fenzqbk313q5kvxyf52kukw1pa[Value.LME-ZNC],timeseries_access_key_fqeas14oitk235763mntlb1c0brnk9w3fenzqbk313q5kvxyf52kukw1pa[Month],MONTH(Data!$A542),timeseries_access_key_fqeas14oitk235763mntlb1c0brnk9w3fenzqbk313q5kvxyf52kukw1pa[Year],YEAR(Data!$A542)),"")</f>
        <v/>
      </c>
      <c r="N542" s="2" t="str">
        <f>IFERROR(AVERAGEIFS(timeseries_access_key_fqeas14oitk235763mntlb1c0brnk9w3fenzqbk313q5kvxyf52kukw1pa[Column1],timeseries_access_key_fqeas14oitk235763mntlb1c0brnk9w3fenzqbk313q5kvxyf52kukw1pa[Month],MONTH(Data!$A542),timeseries_access_key_fqeas14oitk235763mntlb1c0brnk9w3fenzqbk313q5kvxyf52kukw1pa[Year],YEAR(Data!$A542)),"")</f>
        <v/>
      </c>
      <c r="O542" s="8">
        <f>IFERROR(VLOOKUP($A542,Text_1_2[[Text.1.1.3]:[Text.1.3]],2,FALSE),"")</f>
        <v>26700</v>
      </c>
      <c r="P542" s="2"/>
    </row>
    <row r="543" spans="1:16" x14ac:dyDescent="0.25">
      <c r="A543" s="1">
        <v>37653</v>
      </c>
      <c r="B543" t="str">
        <f>HLOOKUP(Dashboard!$I$27,results,ROW(A543),FALSE)</f>
        <v/>
      </c>
      <c r="C543">
        <f>IFERROR(VLOOKUP(A543,observations_series_id_PCU22112222112243_api_key_ecc133893ea92a842ee685c73424608[],2,FALSE),"")</f>
        <v>118.2</v>
      </c>
      <c r="D543" s="2">
        <f>IFERROR(VLOOKUP(A543,observations_series_id_PCU22112222112243_api_key_ecc133893ea92a842ee685c73424608[],3,FALSE),"")</f>
        <v>0.85279187817258884</v>
      </c>
      <c r="E543" t="str">
        <f>IFERROR(VLOOKUP($A543,observations_series_id_WPU0613020T_api_key_ecc133893ea92a842ee685c734246086_file[],2,FALSE),"")</f>
        <v/>
      </c>
      <c r="F543" s="2" t="str">
        <f>IFERROR(VLOOKUP($A543,observations_series_id_WPU0613020T_api_key_ecc133893ea92a842ee685c734246086_file[],3,FALSE),"")</f>
        <v/>
      </c>
      <c r="G543" t="str">
        <f>IFERROR(VLOOKUP($A543,observations_series_id_PCU22122212_api_key_ecc133893ea92a842ee685c734246086_file[],2,FALSE),"")</f>
        <v/>
      </c>
      <c r="H543" s="2" t="str">
        <f>IFERROR(VLOOKUP($A543,observations_series_id_PCU22122212_api_key_ecc133893ea92a842ee685c734246086_file[],3,FALSE),"")</f>
        <v/>
      </c>
      <c r="I543">
        <f>IFERROR(VLOOKUP($A543,observations_series_id_PCU3241913241910_api_key_ecc133893ea92a842ee685c734246086[],2,FALSE),"")</f>
        <v>190.6</v>
      </c>
      <c r="J543" s="2">
        <f>IFERROR(VLOOKUP($A543,observations_series_id_PCU3241913241910_api_key_ecc133893ea92a842ee685c734246086[],3,FALSE),"")</f>
        <v>0.73032528856243439</v>
      </c>
      <c r="K543">
        <f>IFERROR(VLOOKUP($A543,observations_series_id_EXJPUS_api_key_ecc133893ea92a842ee685c734246086_file_type[],2,FALSE),"")</f>
        <v>119.3379</v>
      </c>
      <c r="L543" s="2">
        <f>IFERROR(VLOOKUP($A543,observations_series_id_EXJPUS_api_key_ecc133893ea92a842ee685c734246086_file_type[],3,FALSE),"")</f>
        <v>-2.0000527912758641</v>
      </c>
      <c r="M543" t="str">
        <f>IFERROR(AVERAGEIFS(timeseries_access_key_fqeas14oitk235763mntlb1c0brnk9w3fenzqbk313q5kvxyf52kukw1pa[Value.LME-ZNC],timeseries_access_key_fqeas14oitk235763mntlb1c0brnk9w3fenzqbk313q5kvxyf52kukw1pa[Month],MONTH(Data!$A543),timeseries_access_key_fqeas14oitk235763mntlb1c0brnk9w3fenzqbk313q5kvxyf52kukw1pa[Year],YEAR(Data!$A543)),"")</f>
        <v/>
      </c>
      <c r="N543" s="2" t="str">
        <f>IFERROR(AVERAGEIFS(timeseries_access_key_fqeas14oitk235763mntlb1c0brnk9w3fenzqbk313q5kvxyf52kukw1pa[Column1],timeseries_access_key_fqeas14oitk235763mntlb1c0brnk9w3fenzqbk313q5kvxyf52kukw1pa[Month],MONTH(Data!$A543),timeseries_access_key_fqeas14oitk235763mntlb1c0brnk9w3fenzqbk313q5kvxyf52kukw1pa[Year],YEAR(Data!$A543)),"")</f>
        <v/>
      </c>
      <c r="O543" s="8" t="str">
        <f>IFERROR(VLOOKUP($A543,Text_1_2[[Text.1.1.3]:[Text.1.3]],2,FALSE),"")</f>
        <v/>
      </c>
      <c r="P543" s="2"/>
    </row>
    <row r="544" spans="1:16" x14ac:dyDescent="0.25">
      <c r="A544" s="1">
        <v>37681</v>
      </c>
      <c r="B544" t="str">
        <f>HLOOKUP(Dashboard!$I$27,results,ROW(A544),FALSE)</f>
        <v/>
      </c>
      <c r="C544">
        <f>IFERROR(VLOOKUP(A544,observations_series_id_PCU22112222112243_api_key_ecc133893ea92a842ee685c73424608[],2,FALSE),"")</f>
        <v>120.5</v>
      </c>
      <c r="D544" s="2">
        <f>IFERROR(VLOOKUP(A544,observations_series_id_PCU22112222112243_api_key_ecc133893ea92a842ee685c73424608[],3,FALSE),"")</f>
        <v>0.85560165975103741</v>
      </c>
      <c r="E544" t="str">
        <f>IFERROR(VLOOKUP($A544,observations_series_id_WPU0613020T_api_key_ecc133893ea92a842ee685c734246086_file[],2,FALSE),"")</f>
        <v/>
      </c>
      <c r="F544" s="2" t="str">
        <f>IFERROR(VLOOKUP($A544,observations_series_id_WPU0613020T_api_key_ecc133893ea92a842ee685c734246086_file[],3,FALSE),"")</f>
        <v/>
      </c>
      <c r="G544" t="str">
        <f>IFERROR(VLOOKUP($A544,observations_series_id_PCU22122212_api_key_ecc133893ea92a842ee685c734246086_file[],2,FALSE),"")</f>
        <v/>
      </c>
      <c r="H544" s="2" t="str">
        <f>IFERROR(VLOOKUP($A544,observations_series_id_PCU22122212_api_key_ecc133893ea92a842ee685c734246086_file[],3,FALSE),"")</f>
        <v/>
      </c>
      <c r="I544">
        <f>IFERROR(VLOOKUP($A544,observations_series_id_PCU3241913241910_api_key_ecc133893ea92a842ee685c734246086[],2,FALSE),"")</f>
        <v>191.1</v>
      </c>
      <c r="J544" s="2">
        <f>IFERROR(VLOOKUP($A544,observations_series_id_PCU3241913241910_api_key_ecc133893ea92a842ee685c734246086[],3,FALSE),"")</f>
        <v>0.73103087388801669</v>
      </c>
      <c r="K544">
        <f>IFERROR(VLOOKUP($A544,observations_series_id_EXJPUS_api_key_ecc133893ea92a842ee685c734246086_file_type[],2,FALSE),"")</f>
        <v>118.6871</v>
      </c>
      <c r="L544" s="2">
        <f>IFERROR(VLOOKUP($A544,observations_series_id_EXJPUS_api_key_ecc133893ea92a842ee685c734246086_file_type[],3,FALSE),"")</f>
        <v>-2.0165030571982969</v>
      </c>
      <c r="M544" t="str">
        <f>IFERROR(AVERAGEIFS(timeseries_access_key_fqeas14oitk235763mntlb1c0brnk9w3fenzqbk313q5kvxyf52kukw1pa[Value.LME-ZNC],timeseries_access_key_fqeas14oitk235763mntlb1c0brnk9w3fenzqbk313q5kvxyf52kukw1pa[Month],MONTH(Data!$A544),timeseries_access_key_fqeas14oitk235763mntlb1c0brnk9w3fenzqbk313q5kvxyf52kukw1pa[Year],YEAR(Data!$A544)),"")</f>
        <v/>
      </c>
      <c r="N544" s="2" t="str">
        <f>IFERROR(AVERAGEIFS(timeseries_access_key_fqeas14oitk235763mntlb1c0brnk9w3fenzqbk313q5kvxyf52kukw1pa[Column1],timeseries_access_key_fqeas14oitk235763mntlb1c0brnk9w3fenzqbk313q5kvxyf52kukw1pa[Month],MONTH(Data!$A544),timeseries_access_key_fqeas14oitk235763mntlb1c0brnk9w3fenzqbk313q5kvxyf52kukw1pa[Year],YEAR(Data!$A544)),"")</f>
        <v/>
      </c>
      <c r="O544" s="8" t="str">
        <f>IFERROR(VLOOKUP($A544,Text_1_2[[Text.1.1.3]:[Text.1.3]],2,FALSE),"")</f>
        <v/>
      </c>
      <c r="P544" s="2"/>
    </row>
    <row r="545" spans="1:16" x14ac:dyDescent="0.25">
      <c r="A545" s="1">
        <v>37712</v>
      </c>
      <c r="B545" t="str">
        <f>HLOOKUP(Dashboard!$I$27,results,ROW(A545),FALSE)</f>
        <v/>
      </c>
      <c r="C545">
        <f>IFERROR(VLOOKUP(A545,observations_series_id_PCU22112222112243_api_key_ecc133893ea92a842ee685c73424608[],2,FALSE),"")</f>
        <v>121.3</v>
      </c>
      <c r="D545" s="2">
        <f>IFERROR(VLOOKUP(A545,observations_series_id_PCU22112222112243_api_key_ecc133893ea92a842ee685c73424608[],3,FALSE),"")</f>
        <v>0.85655399835119539</v>
      </c>
      <c r="E545" t="str">
        <f>IFERROR(VLOOKUP($A545,observations_series_id_WPU0613020T_api_key_ecc133893ea92a842ee685c734246086_file[],2,FALSE),"")</f>
        <v/>
      </c>
      <c r="F545" s="2" t="str">
        <f>IFERROR(VLOOKUP($A545,observations_series_id_WPU0613020T_api_key_ecc133893ea92a842ee685c734246086_file[],3,FALSE),"")</f>
        <v/>
      </c>
      <c r="G545" t="str">
        <f>IFERROR(VLOOKUP($A545,observations_series_id_PCU22122212_api_key_ecc133893ea92a842ee685c734246086_file[],2,FALSE),"")</f>
        <v/>
      </c>
      <c r="H545" s="2" t="str">
        <f>IFERROR(VLOOKUP($A545,observations_series_id_PCU22122212_api_key_ecc133893ea92a842ee685c734246086_file[],3,FALSE),"")</f>
        <v/>
      </c>
      <c r="I545">
        <f>IFERROR(VLOOKUP($A545,observations_series_id_PCU3241913241910_api_key_ecc133893ea92a842ee685c734246086[],2,FALSE),"")</f>
        <v>192</v>
      </c>
      <c r="J545" s="2">
        <f>IFERROR(VLOOKUP($A545,observations_series_id_PCU3241913241910_api_key_ecc133893ea92a842ee685c734246086[],3,FALSE),"")</f>
        <v>0.73229166666666667</v>
      </c>
      <c r="K545">
        <f>IFERROR(VLOOKUP($A545,observations_series_id_EXJPUS_api_key_ecc133893ea92a842ee685c734246086_file_type[],2,FALSE),"")</f>
        <v>119.895</v>
      </c>
      <c r="L545" s="2">
        <f>IFERROR(VLOOKUP($A545,observations_series_id_EXJPUS_api_key_ecc133893ea92a842ee685c734246086_file_type[],3,FALSE),"")</f>
        <v>-1.9861128487426498</v>
      </c>
      <c r="M545" t="str">
        <f>IFERROR(AVERAGEIFS(timeseries_access_key_fqeas14oitk235763mntlb1c0brnk9w3fenzqbk313q5kvxyf52kukw1pa[Value.LME-ZNC],timeseries_access_key_fqeas14oitk235763mntlb1c0brnk9w3fenzqbk313q5kvxyf52kukw1pa[Month],MONTH(Data!$A545),timeseries_access_key_fqeas14oitk235763mntlb1c0brnk9w3fenzqbk313q5kvxyf52kukw1pa[Year],YEAR(Data!$A545)),"")</f>
        <v/>
      </c>
      <c r="N545" s="2" t="str">
        <f>IFERROR(AVERAGEIFS(timeseries_access_key_fqeas14oitk235763mntlb1c0brnk9w3fenzqbk313q5kvxyf52kukw1pa[Column1],timeseries_access_key_fqeas14oitk235763mntlb1c0brnk9w3fenzqbk313q5kvxyf52kukw1pa[Month],MONTH(Data!$A545),timeseries_access_key_fqeas14oitk235763mntlb1c0brnk9w3fenzqbk313q5kvxyf52kukw1pa[Year],YEAR(Data!$A545)),"")</f>
        <v/>
      </c>
      <c r="O545" s="8">
        <f>IFERROR(VLOOKUP($A545,Text_1_2[[Text.1.1.3]:[Text.1.3]],2,FALSE),"")</f>
        <v>26500</v>
      </c>
      <c r="P545" s="2"/>
    </row>
    <row r="546" spans="1:16" x14ac:dyDescent="0.25">
      <c r="A546" s="1">
        <v>37742</v>
      </c>
      <c r="B546" t="str">
        <f>HLOOKUP(Dashboard!$I$27,results,ROW(A546),FALSE)</f>
        <v/>
      </c>
      <c r="C546">
        <f>IFERROR(VLOOKUP(A546,observations_series_id_PCU22112222112243_api_key_ecc133893ea92a842ee685c73424608[],2,FALSE),"")</f>
        <v>122</v>
      </c>
      <c r="D546" s="2">
        <f>IFERROR(VLOOKUP(A546,observations_series_id_PCU22112222112243_api_key_ecc133893ea92a842ee685c73424608[],3,FALSE),"")</f>
        <v>0.85737704918032787</v>
      </c>
      <c r="E546" t="str">
        <f>IFERROR(VLOOKUP($A546,observations_series_id_WPU0613020T_api_key_ecc133893ea92a842ee685c734246086_file[],2,FALSE),"")</f>
        <v/>
      </c>
      <c r="F546" s="2" t="str">
        <f>IFERROR(VLOOKUP($A546,observations_series_id_WPU0613020T_api_key_ecc133893ea92a842ee685c734246086_file[],3,FALSE),"")</f>
        <v/>
      </c>
      <c r="G546" t="str">
        <f>IFERROR(VLOOKUP($A546,observations_series_id_PCU22122212_api_key_ecc133893ea92a842ee685c734246086_file[],2,FALSE),"")</f>
        <v/>
      </c>
      <c r="H546" s="2" t="str">
        <f>IFERROR(VLOOKUP($A546,observations_series_id_PCU22122212_api_key_ecc133893ea92a842ee685c734246086_file[],3,FALSE),"")</f>
        <v/>
      </c>
      <c r="I546">
        <f>IFERROR(VLOOKUP($A546,observations_series_id_PCU3241913241910_api_key_ecc133893ea92a842ee685c734246086[],2,FALSE),"")</f>
        <v>194.3</v>
      </c>
      <c r="J546" s="2">
        <f>IFERROR(VLOOKUP($A546,observations_series_id_PCU3241913241910_api_key_ecc133893ea92a842ee685c734246086[],3,FALSE),"")</f>
        <v>0.73546062789500777</v>
      </c>
      <c r="K546">
        <f>IFERROR(VLOOKUP($A546,observations_series_id_EXJPUS_api_key_ecc133893ea92a842ee685c734246086_file_type[],2,FALSE),"")</f>
        <v>117.3681</v>
      </c>
      <c r="L546" s="2">
        <f>IFERROR(VLOOKUP($A546,observations_series_id_EXJPUS_api_key_ecc133893ea92a842ee685c734246086_file_type[],3,FALSE),"")</f>
        <v>-2.0504029629856833</v>
      </c>
      <c r="M546" t="str">
        <f>IFERROR(AVERAGEIFS(timeseries_access_key_fqeas14oitk235763mntlb1c0brnk9w3fenzqbk313q5kvxyf52kukw1pa[Value.LME-ZNC],timeseries_access_key_fqeas14oitk235763mntlb1c0brnk9w3fenzqbk313q5kvxyf52kukw1pa[Month],MONTH(Data!$A546),timeseries_access_key_fqeas14oitk235763mntlb1c0brnk9w3fenzqbk313q5kvxyf52kukw1pa[Year],YEAR(Data!$A546)),"")</f>
        <v/>
      </c>
      <c r="N546" s="2" t="str">
        <f>IFERROR(AVERAGEIFS(timeseries_access_key_fqeas14oitk235763mntlb1c0brnk9w3fenzqbk313q5kvxyf52kukw1pa[Column1],timeseries_access_key_fqeas14oitk235763mntlb1c0brnk9w3fenzqbk313q5kvxyf52kukw1pa[Month],MONTH(Data!$A546),timeseries_access_key_fqeas14oitk235763mntlb1c0brnk9w3fenzqbk313q5kvxyf52kukw1pa[Year],YEAR(Data!$A546)),"")</f>
        <v/>
      </c>
      <c r="O546" s="8" t="str">
        <f>IFERROR(VLOOKUP($A546,Text_1_2[[Text.1.1.3]:[Text.1.3]],2,FALSE),"")</f>
        <v/>
      </c>
      <c r="P546" s="2"/>
    </row>
    <row r="547" spans="1:16" x14ac:dyDescent="0.25">
      <c r="A547" s="1">
        <v>37773</v>
      </c>
      <c r="B547" t="str">
        <f>HLOOKUP(Dashboard!$I$27,results,ROW(A547),FALSE)</f>
        <v/>
      </c>
      <c r="C547">
        <f>IFERROR(VLOOKUP(A547,observations_series_id_PCU22112222112243_api_key_ecc133893ea92a842ee685c73424608[],2,FALSE),"")</f>
        <v>124.7</v>
      </c>
      <c r="D547" s="2">
        <f>IFERROR(VLOOKUP(A547,observations_series_id_PCU22112222112243_api_key_ecc133893ea92a842ee685c73424608[],3,FALSE),"")</f>
        <v>0.86046511627906974</v>
      </c>
      <c r="E547" t="str">
        <f>IFERROR(VLOOKUP($A547,observations_series_id_WPU0613020T_api_key_ecc133893ea92a842ee685c734246086_file[],2,FALSE),"")</f>
        <v/>
      </c>
      <c r="F547" s="2" t="str">
        <f>IFERROR(VLOOKUP($A547,observations_series_id_WPU0613020T_api_key_ecc133893ea92a842ee685c734246086_file[],3,FALSE),"")</f>
        <v/>
      </c>
      <c r="G547" t="str">
        <f>IFERROR(VLOOKUP($A547,observations_series_id_PCU22122212_api_key_ecc133893ea92a842ee685c734246086_file[],2,FALSE),"")</f>
        <v/>
      </c>
      <c r="H547" s="2" t="str">
        <f>IFERROR(VLOOKUP($A547,observations_series_id_PCU22122212_api_key_ecc133893ea92a842ee685c734246086_file[],3,FALSE),"")</f>
        <v/>
      </c>
      <c r="I547">
        <f>IFERROR(VLOOKUP($A547,observations_series_id_PCU3241913241910_api_key_ecc133893ea92a842ee685c734246086[],2,FALSE),"")</f>
        <v>194.9</v>
      </c>
      <c r="J547" s="2">
        <f>IFERROR(VLOOKUP($A547,observations_series_id_PCU3241913241910_api_key_ecc133893ea92a842ee685c734246086[],3,FALSE),"")</f>
        <v>0.73627501282709085</v>
      </c>
      <c r="K547">
        <f>IFERROR(VLOOKUP($A547,observations_series_id_EXJPUS_api_key_ecc133893ea92a842ee685c734246086_file_type[],2,FALSE),"")</f>
        <v>118.32899999999999</v>
      </c>
      <c r="L547" s="2">
        <f>IFERROR(VLOOKUP($A547,observations_series_id_EXJPUS_api_key_ecc133893ea92a842ee685c734246086_file_type[],3,FALSE),"")</f>
        <v>-2.0256319245493497</v>
      </c>
      <c r="M547" t="str">
        <f>IFERROR(AVERAGEIFS(timeseries_access_key_fqeas14oitk235763mntlb1c0brnk9w3fenzqbk313q5kvxyf52kukw1pa[Value.LME-ZNC],timeseries_access_key_fqeas14oitk235763mntlb1c0brnk9w3fenzqbk313q5kvxyf52kukw1pa[Month],MONTH(Data!$A547),timeseries_access_key_fqeas14oitk235763mntlb1c0brnk9w3fenzqbk313q5kvxyf52kukw1pa[Year],YEAR(Data!$A547)),"")</f>
        <v/>
      </c>
      <c r="N547" s="2" t="str">
        <f>IFERROR(AVERAGEIFS(timeseries_access_key_fqeas14oitk235763mntlb1c0brnk9w3fenzqbk313q5kvxyf52kukw1pa[Column1],timeseries_access_key_fqeas14oitk235763mntlb1c0brnk9w3fenzqbk313q5kvxyf52kukw1pa[Month],MONTH(Data!$A547),timeseries_access_key_fqeas14oitk235763mntlb1c0brnk9w3fenzqbk313q5kvxyf52kukw1pa[Year],YEAR(Data!$A547)),"")</f>
        <v/>
      </c>
      <c r="O547" s="8" t="str">
        <f>IFERROR(VLOOKUP($A547,Text_1_2[[Text.1.1.3]:[Text.1.3]],2,FALSE),"")</f>
        <v/>
      </c>
      <c r="P547" s="2"/>
    </row>
    <row r="548" spans="1:16" x14ac:dyDescent="0.25">
      <c r="A548" s="1">
        <v>37803</v>
      </c>
      <c r="B548" t="str">
        <f>HLOOKUP(Dashboard!$I$27,results,ROW(A548),FALSE)</f>
        <v/>
      </c>
      <c r="C548">
        <f>IFERROR(VLOOKUP(A548,observations_series_id_PCU22112222112243_api_key_ecc133893ea92a842ee685c73424608[],2,FALSE),"")</f>
        <v>127.5</v>
      </c>
      <c r="D548" s="2">
        <f>IFERROR(VLOOKUP(A548,observations_series_id_PCU22112222112243_api_key_ecc133893ea92a842ee685c73424608[],3,FALSE),"")</f>
        <v>0.86352941176470588</v>
      </c>
      <c r="E548" t="str">
        <f>IFERROR(VLOOKUP($A548,observations_series_id_WPU0613020T_api_key_ecc133893ea92a842ee685c734246086_file[],2,FALSE),"")</f>
        <v/>
      </c>
      <c r="F548" s="2" t="str">
        <f>IFERROR(VLOOKUP($A548,observations_series_id_WPU0613020T_api_key_ecc133893ea92a842ee685c734246086_file[],3,FALSE),"")</f>
        <v/>
      </c>
      <c r="G548" t="str">
        <f>IFERROR(VLOOKUP($A548,observations_series_id_PCU22122212_api_key_ecc133893ea92a842ee685c734246086_file[],2,FALSE),"")</f>
        <v/>
      </c>
      <c r="H548" s="2" t="str">
        <f>IFERROR(VLOOKUP($A548,observations_series_id_PCU22122212_api_key_ecc133893ea92a842ee685c734246086_file[],3,FALSE),"")</f>
        <v/>
      </c>
      <c r="I548">
        <f>IFERROR(VLOOKUP($A548,observations_series_id_PCU3241913241910_api_key_ecc133893ea92a842ee685c734246086[],2,FALSE),"")</f>
        <v>194.9</v>
      </c>
      <c r="J548" s="2">
        <f>IFERROR(VLOOKUP($A548,observations_series_id_PCU3241913241910_api_key_ecc133893ea92a842ee685c734246086[],3,FALSE),"")</f>
        <v>0.73627501282709085</v>
      </c>
      <c r="K548">
        <f>IFERROR(VLOOKUP($A548,observations_series_id_EXJPUS_api_key_ecc133893ea92a842ee685c734246086_file_type[],2,FALSE),"")</f>
        <v>118.69589999999999</v>
      </c>
      <c r="L548" s="2">
        <f>IFERROR(VLOOKUP($A548,observations_series_id_EXJPUS_api_key_ecc133893ea92a842ee685c734246086_file_type[],3,FALSE),"")</f>
        <v>-2.0162794165594597</v>
      </c>
      <c r="M548" t="str">
        <f>IFERROR(AVERAGEIFS(timeseries_access_key_fqeas14oitk235763mntlb1c0brnk9w3fenzqbk313q5kvxyf52kukw1pa[Value.LME-ZNC],timeseries_access_key_fqeas14oitk235763mntlb1c0brnk9w3fenzqbk313q5kvxyf52kukw1pa[Month],MONTH(Data!$A548),timeseries_access_key_fqeas14oitk235763mntlb1c0brnk9w3fenzqbk313q5kvxyf52kukw1pa[Year],YEAR(Data!$A548)),"")</f>
        <v/>
      </c>
      <c r="N548" s="2" t="str">
        <f>IFERROR(AVERAGEIFS(timeseries_access_key_fqeas14oitk235763mntlb1c0brnk9w3fenzqbk313q5kvxyf52kukw1pa[Column1],timeseries_access_key_fqeas14oitk235763mntlb1c0brnk9w3fenzqbk313q5kvxyf52kukw1pa[Month],MONTH(Data!$A548),timeseries_access_key_fqeas14oitk235763mntlb1c0brnk9w3fenzqbk313q5kvxyf52kukw1pa[Year],YEAR(Data!$A548)),"")</f>
        <v/>
      </c>
      <c r="O548" s="8">
        <f>IFERROR(VLOOKUP($A548,Text_1_2[[Text.1.1.3]:[Text.1.3]],2,FALSE),"")</f>
        <v>24200</v>
      </c>
      <c r="P548" s="2"/>
    </row>
    <row r="549" spans="1:16" x14ac:dyDescent="0.25">
      <c r="A549" s="1">
        <v>37834</v>
      </c>
      <c r="B549" t="str">
        <f>HLOOKUP(Dashboard!$I$27,results,ROW(A549),FALSE)</f>
        <v/>
      </c>
      <c r="C549">
        <f>IFERROR(VLOOKUP(A549,observations_series_id_PCU22112222112243_api_key_ecc133893ea92a842ee685c73424608[],2,FALSE),"")</f>
        <v>127.2</v>
      </c>
      <c r="D549" s="2">
        <f>IFERROR(VLOOKUP(A549,observations_series_id_PCU22112222112243_api_key_ecc133893ea92a842ee685c73424608[],3,FALSE),"")</f>
        <v>0.8632075471698113</v>
      </c>
      <c r="E549" t="str">
        <f>IFERROR(VLOOKUP($A549,observations_series_id_WPU0613020T_api_key_ecc133893ea92a842ee685c734246086_file[],2,FALSE),"")</f>
        <v/>
      </c>
      <c r="F549" s="2" t="str">
        <f>IFERROR(VLOOKUP($A549,observations_series_id_WPU0613020T_api_key_ecc133893ea92a842ee685c734246086_file[],3,FALSE),"")</f>
        <v/>
      </c>
      <c r="G549" t="str">
        <f>IFERROR(VLOOKUP($A549,observations_series_id_PCU22122212_api_key_ecc133893ea92a842ee685c734246086_file[],2,FALSE),"")</f>
        <v/>
      </c>
      <c r="H549" s="2" t="str">
        <f>IFERROR(VLOOKUP($A549,observations_series_id_PCU22122212_api_key_ecc133893ea92a842ee685c734246086_file[],3,FALSE),"")</f>
        <v/>
      </c>
      <c r="I549">
        <f>IFERROR(VLOOKUP($A549,observations_series_id_PCU3241913241910_api_key_ecc133893ea92a842ee685c734246086[],2,FALSE),"")</f>
        <v>195.4</v>
      </c>
      <c r="J549" s="2">
        <f>IFERROR(VLOOKUP($A549,observations_series_id_PCU3241913241910_api_key_ecc133893ea92a842ee685c734246086[],3,FALSE),"")</f>
        <v>0.73694984646878203</v>
      </c>
      <c r="K549">
        <f>IFERROR(VLOOKUP($A549,observations_series_id_EXJPUS_api_key_ecc133893ea92a842ee685c734246086_file_type[],2,FALSE),"")</f>
        <v>118.66240000000001</v>
      </c>
      <c r="L549" s="2">
        <f>IFERROR(VLOOKUP($A549,observations_series_id_EXJPUS_api_key_ecc133893ea92a842ee685c734246086_file_type[],3,FALSE),"")</f>
        <v>-2.0171309530230297</v>
      </c>
      <c r="M549" t="str">
        <f>IFERROR(AVERAGEIFS(timeseries_access_key_fqeas14oitk235763mntlb1c0brnk9w3fenzqbk313q5kvxyf52kukw1pa[Value.LME-ZNC],timeseries_access_key_fqeas14oitk235763mntlb1c0brnk9w3fenzqbk313q5kvxyf52kukw1pa[Month],MONTH(Data!$A549),timeseries_access_key_fqeas14oitk235763mntlb1c0brnk9w3fenzqbk313q5kvxyf52kukw1pa[Year],YEAR(Data!$A549)),"")</f>
        <v/>
      </c>
      <c r="N549" s="2" t="str">
        <f>IFERROR(AVERAGEIFS(timeseries_access_key_fqeas14oitk235763mntlb1c0brnk9w3fenzqbk313q5kvxyf52kukw1pa[Column1],timeseries_access_key_fqeas14oitk235763mntlb1c0brnk9w3fenzqbk313q5kvxyf52kukw1pa[Month],MONTH(Data!$A549),timeseries_access_key_fqeas14oitk235763mntlb1c0brnk9w3fenzqbk313q5kvxyf52kukw1pa[Year],YEAR(Data!$A549)),"")</f>
        <v/>
      </c>
      <c r="O549" s="8" t="str">
        <f>IFERROR(VLOOKUP($A549,Text_1_2[[Text.1.1.3]:[Text.1.3]],2,FALSE),"")</f>
        <v/>
      </c>
      <c r="P549" s="2"/>
    </row>
    <row r="550" spans="1:16" x14ac:dyDescent="0.25">
      <c r="A550" s="1">
        <v>37865</v>
      </c>
      <c r="B550" t="str">
        <f>HLOOKUP(Dashboard!$I$27,results,ROW(A550),FALSE)</f>
        <v/>
      </c>
      <c r="C550">
        <f>IFERROR(VLOOKUP(A550,observations_series_id_PCU22112222112243_api_key_ecc133893ea92a842ee685c73424608[],2,FALSE),"")</f>
        <v>127.8</v>
      </c>
      <c r="D550" s="2">
        <f>IFERROR(VLOOKUP(A550,observations_series_id_PCU22112222112243_api_key_ecc133893ea92a842ee685c73424608[],3,FALSE),"")</f>
        <v>0.863849765258216</v>
      </c>
      <c r="E550" t="str">
        <f>IFERROR(VLOOKUP($A550,observations_series_id_WPU0613020T_api_key_ecc133893ea92a842ee685c734246086_file[],2,FALSE),"")</f>
        <v/>
      </c>
      <c r="F550" s="2" t="str">
        <f>IFERROR(VLOOKUP($A550,observations_series_id_WPU0613020T_api_key_ecc133893ea92a842ee685c734246086_file[],3,FALSE),"")</f>
        <v/>
      </c>
      <c r="G550" t="str">
        <f>IFERROR(VLOOKUP($A550,observations_series_id_PCU22122212_api_key_ecc133893ea92a842ee685c734246086_file[],2,FALSE),"")</f>
        <v/>
      </c>
      <c r="H550" s="2" t="str">
        <f>IFERROR(VLOOKUP($A550,observations_series_id_PCU22122212_api_key_ecc133893ea92a842ee685c734246086_file[],3,FALSE),"")</f>
        <v/>
      </c>
      <c r="I550">
        <f>IFERROR(VLOOKUP($A550,observations_series_id_PCU3241913241910_api_key_ecc133893ea92a842ee685c734246086[],2,FALSE),"")</f>
        <v>195.5</v>
      </c>
      <c r="J550" s="2">
        <f>IFERROR(VLOOKUP($A550,observations_series_id_PCU3241913241910_api_key_ecc133893ea92a842ee685c734246086[],3,FALSE),"")</f>
        <v>0.73708439897698208</v>
      </c>
      <c r="K550">
        <f>IFERROR(VLOOKUP($A550,observations_series_id_EXJPUS_api_key_ecc133893ea92a842ee685c734246086_file_type[],2,FALSE),"")</f>
        <v>114.8</v>
      </c>
      <c r="L550" s="2">
        <f>IFERROR(VLOOKUP($A550,observations_series_id_EXJPUS_api_key_ecc133893ea92a842ee685c734246086_file_type[],3,FALSE),"")</f>
        <v>-2.1186411149825783</v>
      </c>
      <c r="M550" t="str">
        <f>IFERROR(AVERAGEIFS(timeseries_access_key_fqeas14oitk235763mntlb1c0brnk9w3fenzqbk313q5kvxyf52kukw1pa[Value.LME-ZNC],timeseries_access_key_fqeas14oitk235763mntlb1c0brnk9w3fenzqbk313q5kvxyf52kukw1pa[Month],MONTH(Data!$A550),timeseries_access_key_fqeas14oitk235763mntlb1c0brnk9w3fenzqbk313q5kvxyf52kukw1pa[Year],YEAR(Data!$A550)),"")</f>
        <v/>
      </c>
      <c r="N550" s="2" t="str">
        <f>IFERROR(AVERAGEIFS(timeseries_access_key_fqeas14oitk235763mntlb1c0brnk9w3fenzqbk313q5kvxyf52kukw1pa[Column1],timeseries_access_key_fqeas14oitk235763mntlb1c0brnk9w3fenzqbk313q5kvxyf52kukw1pa[Month],MONTH(Data!$A550),timeseries_access_key_fqeas14oitk235763mntlb1c0brnk9w3fenzqbk313q5kvxyf52kukw1pa[Year],YEAR(Data!$A550)),"")</f>
        <v/>
      </c>
      <c r="O550" s="8" t="str">
        <f>IFERROR(VLOOKUP($A550,Text_1_2[[Text.1.1.3]:[Text.1.3]],2,FALSE),"")</f>
        <v/>
      </c>
      <c r="P550" s="2"/>
    </row>
    <row r="551" spans="1:16" x14ac:dyDescent="0.25">
      <c r="A551" s="1">
        <v>37895</v>
      </c>
      <c r="B551" t="str">
        <f>HLOOKUP(Dashboard!$I$27,results,ROW(A551),FALSE)</f>
        <v/>
      </c>
      <c r="C551">
        <f>IFERROR(VLOOKUP(A551,observations_series_id_PCU22112222112243_api_key_ecc133893ea92a842ee685c73424608[],2,FALSE),"")</f>
        <v>124</v>
      </c>
      <c r="D551" s="2">
        <f>IFERROR(VLOOKUP(A551,observations_series_id_PCU22112222112243_api_key_ecc133893ea92a842ee685c73424608[],3,FALSE),"")</f>
        <v>0.85967741935483866</v>
      </c>
      <c r="E551" t="str">
        <f>IFERROR(VLOOKUP($A551,observations_series_id_WPU0613020T_api_key_ecc133893ea92a842ee685c734246086_file[],2,FALSE),"")</f>
        <v/>
      </c>
      <c r="F551" s="2" t="str">
        <f>IFERROR(VLOOKUP($A551,observations_series_id_WPU0613020T_api_key_ecc133893ea92a842ee685c734246086_file[],3,FALSE),"")</f>
        <v/>
      </c>
      <c r="G551" t="str">
        <f>IFERROR(VLOOKUP($A551,observations_series_id_PCU22122212_api_key_ecc133893ea92a842ee685c734246086_file[],2,FALSE),"")</f>
        <v/>
      </c>
      <c r="H551" s="2" t="str">
        <f>IFERROR(VLOOKUP($A551,observations_series_id_PCU22122212_api_key_ecc133893ea92a842ee685c734246086_file[],3,FALSE),"")</f>
        <v/>
      </c>
      <c r="I551">
        <f>IFERROR(VLOOKUP($A551,observations_series_id_PCU3241913241910_api_key_ecc133893ea92a842ee685c734246086[],2,FALSE),"")</f>
        <v>197</v>
      </c>
      <c r="J551" s="2">
        <f>IFERROR(VLOOKUP($A551,observations_series_id_PCU3241913241910_api_key_ecc133893ea92a842ee685c734246086[],3,FALSE),"")</f>
        <v>0.73908629441624374</v>
      </c>
      <c r="K551">
        <f>IFERROR(VLOOKUP($A551,observations_series_id_EXJPUS_api_key_ecc133893ea92a842ee685c734246086_file_type[],2,FALSE),"")</f>
        <v>109.49550000000001</v>
      </c>
      <c r="L551" s="2">
        <f>IFERROR(VLOOKUP($A551,observations_series_id_EXJPUS_api_key_ecc133893ea92a842ee685c734246086_file_type[],3,FALSE),"")</f>
        <v>-2.2697234132909569</v>
      </c>
      <c r="M551" t="str">
        <f>IFERROR(AVERAGEIFS(timeseries_access_key_fqeas14oitk235763mntlb1c0brnk9w3fenzqbk313q5kvxyf52kukw1pa[Value.LME-ZNC],timeseries_access_key_fqeas14oitk235763mntlb1c0brnk9w3fenzqbk313q5kvxyf52kukw1pa[Month],MONTH(Data!$A551),timeseries_access_key_fqeas14oitk235763mntlb1c0brnk9w3fenzqbk313q5kvxyf52kukw1pa[Year],YEAR(Data!$A551)),"")</f>
        <v/>
      </c>
      <c r="N551" s="2" t="str">
        <f>IFERROR(AVERAGEIFS(timeseries_access_key_fqeas14oitk235763mntlb1c0brnk9w3fenzqbk313q5kvxyf52kukw1pa[Column1],timeseries_access_key_fqeas14oitk235763mntlb1c0brnk9w3fenzqbk313q5kvxyf52kukw1pa[Month],MONTH(Data!$A551),timeseries_access_key_fqeas14oitk235763mntlb1c0brnk9w3fenzqbk313q5kvxyf52kukw1pa[Year],YEAR(Data!$A551)),"")</f>
        <v/>
      </c>
      <c r="O551" s="8">
        <f>IFERROR(VLOOKUP($A551,Text_1_2[[Text.1.1.3]:[Text.1.3]],2,FALSE),"")</f>
        <v>24000</v>
      </c>
      <c r="P551" s="2"/>
    </row>
    <row r="552" spans="1:16" x14ac:dyDescent="0.25">
      <c r="A552" s="1">
        <v>37926</v>
      </c>
      <c r="B552" t="str">
        <f>HLOOKUP(Dashboard!$I$27,results,ROW(A552),FALSE)</f>
        <v/>
      </c>
      <c r="C552">
        <f>IFERROR(VLOOKUP(A552,observations_series_id_PCU22112222112243_api_key_ecc133893ea92a842ee685c73424608[],2,FALSE),"")</f>
        <v>120</v>
      </c>
      <c r="D552" s="2">
        <f>IFERROR(VLOOKUP(A552,observations_series_id_PCU22112222112243_api_key_ecc133893ea92a842ee685c73424608[],3,FALSE),"")</f>
        <v>0.85499999999999998</v>
      </c>
      <c r="E552" t="str">
        <f>IFERROR(VLOOKUP($A552,observations_series_id_WPU0613020T_api_key_ecc133893ea92a842ee685c734246086_file[],2,FALSE),"")</f>
        <v/>
      </c>
      <c r="F552" s="2" t="str">
        <f>IFERROR(VLOOKUP($A552,observations_series_id_WPU0613020T_api_key_ecc133893ea92a842ee685c734246086_file[],3,FALSE),"")</f>
        <v/>
      </c>
      <c r="G552" t="str">
        <f>IFERROR(VLOOKUP($A552,observations_series_id_PCU22122212_api_key_ecc133893ea92a842ee685c734246086_file[],2,FALSE),"")</f>
        <v/>
      </c>
      <c r="H552" s="2" t="str">
        <f>IFERROR(VLOOKUP($A552,observations_series_id_PCU22122212_api_key_ecc133893ea92a842ee685c734246086_file[],3,FALSE),"")</f>
        <v/>
      </c>
      <c r="I552">
        <f>IFERROR(VLOOKUP($A552,observations_series_id_PCU3241913241910_api_key_ecc133893ea92a842ee685c734246086[],2,FALSE),"")</f>
        <v>197.2</v>
      </c>
      <c r="J552" s="2">
        <f>IFERROR(VLOOKUP($A552,observations_series_id_PCU3241913241910_api_key_ecc133893ea92a842ee685c734246086[],3,FALSE),"")</f>
        <v>0.73935091277890463</v>
      </c>
      <c r="K552">
        <f>IFERROR(VLOOKUP($A552,observations_series_id_EXJPUS_api_key_ecc133893ea92a842ee685c734246086_file_type[],2,FALSE),"")</f>
        <v>109.1778</v>
      </c>
      <c r="L552" s="2">
        <f>IFERROR(VLOOKUP($A552,observations_series_id_EXJPUS_api_key_ecc133893ea92a842ee685c734246086_file_type[],3,FALSE),"")</f>
        <v>-2.2792380868638125</v>
      </c>
      <c r="M552" t="str">
        <f>IFERROR(AVERAGEIFS(timeseries_access_key_fqeas14oitk235763mntlb1c0brnk9w3fenzqbk313q5kvxyf52kukw1pa[Value.LME-ZNC],timeseries_access_key_fqeas14oitk235763mntlb1c0brnk9w3fenzqbk313q5kvxyf52kukw1pa[Month],MONTH(Data!$A552),timeseries_access_key_fqeas14oitk235763mntlb1c0brnk9w3fenzqbk313q5kvxyf52kukw1pa[Year],YEAR(Data!$A552)),"")</f>
        <v/>
      </c>
      <c r="N552" s="2" t="str">
        <f>IFERROR(AVERAGEIFS(timeseries_access_key_fqeas14oitk235763mntlb1c0brnk9w3fenzqbk313q5kvxyf52kukw1pa[Column1],timeseries_access_key_fqeas14oitk235763mntlb1c0brnk9w3fenzqbk313q5kvxyf52kukw1pa[Month],MONTH(Data!$A552),timeseries_access_key_fqeas14oitk235763mntlb1c0brnk9w3fenzqbk313q5kvxyf52kukw1pa[Year],YEAR(Data!$A552)),"")</f>
        <v/>
      </c>
      <c r="O552" s="8" t="str">
        <f>IFERROR(VLOOKUP($A552,Text_1_2[[Text.1.1.3]:[Text.1.3]],2,FALSE),"")</f>
        <v/>
      </c>
      <c r="P552" s="2"/>
    </row>
    <row r="553" spans="1:16" x14ac:dyDescent="0.25">
      <c r="A553" s="1">
        <v>37956</v>
      </c>
      <c r="B553">
        <f>HLOOKUP(Dashboard!$I$27,results,ROW(A553),FALSE)</f>
        <v>0</v>
      </c>
      <c r="C553">
        <f>IFERROR(VLOOKUP(A553,observations_series_id_PCU22112222112243_api_key_ecc133893ea92a842ee685c73424608[],2,FALSE),"")</f>
        <v>120.1</v>
      </c>
      <c r="D553" s="2">
        <f>IFERROR(VLOOKUP(A553,observations_series_id_PCU22112222112243_api_key_ecc133893ea92a842ee685c73424608[],3,FALSE),"")</f>
        <v>0.85512073272273104</v>
      </c>
      <c r="E553" t="str">
        <f>IFERROR(VLOOKUP($A553,observations_series_id_WPU0613020T_api_key_ecc133893ea92a842ee685c734246086_file[],2,FALSE),"")</f>
        <v/>
      </c>
      <c r="F553" s="2" t="str">
        <f>IFERROR(VLOOKUP($A553,observations_series_id_WPU0613020T_api_key_ecc133893ea92a842ee685c734246086_file[],3,FALSE),"")</f>
        <v/>
      </c>
      <c r="G553">
        <f>IFERROR(VLOOKUP($A553,observations_series_id_PCU22122212_api_key_ecc133893ea92a842ee685c734246086_file[],2,FALSE),"")</f>
        <v>100</v>
      </c>
      <c r="H553" s="2">
        <f>IFERROR(VLOOKUP($A553,observations_series_id_PCU22122212_api_key_ecc133893ea92a842ee685c734246086_file[],3,FALSE),"")</f>
        <v>0</v>
      </c>
      <c r="I553">
        <f>IFERROR(VLOOKUP($A553,observations_series_id_PCU3241913241910_api_key_ecc133893ea92a842ee685c734246086[],2,FALSE),"")</f>
        <v>197.1</v>
      </c>
      <c r="J553" s="2">
        <f>IFERROR(VLOOKUP($A553,observations_series_id_PCU3241913241910_api_key_ecc133893ea92a842ee685c734246086[],3,FALSE),"")</f>
        <v>0.73921867072552006</v>
      </c>
      <c r="K553">
        <f>IFERROR(VLOOKUP($A553,observations_series_id_EXJPUS_api_key_ecc133893ea92a842ee685c734246086_file_type[],2,FALSE),"")</f>
        <v>107.7377</v>
      </c>
      <c r="L553" s="2">
        <f>IFERROR(VLOOKUP($A553,observations_series_id_EXJPUS_api_key_ecc133893ea92a842ee685c734246086_file_type[],3,FALSE),"")</f>
        <v>-2.3230707542485125</v>
      </c>
      <c r="M553" t="str">
        <f>IFERROR(AVERAGEIFS(timeseries_access_key_fqeas14oitk235763mntlb1c0brnk9w3fenzqbk313q5kvxyf52kukw1pa[Value.LME-ZNC],timeseries_access_key_fqeas14oitk235763mntlb1c0brnk9w3fenzqbk313q5kvxyf52kukw1pa[Month],MONTH(Data!$A553),timeseries_access_key_fqeas14oitk235763mntlb1c0brnk9w3fenzqbk313q5kvxyf52kukw1pa[Year],YEAR(Data!$A553)),"")</f>
        <v/>
      </c>
      <c r="N553" s="2" t="str">
        <f>IFERROR(AVERAGEIFS(timeseries_access_key_fqeas14oitk235763mntlb1c0brnk9w3fenzqbk313q5kvxyf52kukw1pa[Column1],timeseries_access_key_fqeas14oitk235763mntlb1c0brnk9w3fenzqbk313q5kvxyf52kukw1pa[Month],MONTH(Data!$A553),timeseries_access_key_fqeas14oitk235763mntlb1c0brnk9w3fenzqbk313q5kvxyf52kukw1pa[Year],YEAR(Data!$A553)),"")</f>
        <v/>
      </c>
      <c r="O553" s="8" t="str">
        <f>IFERROR(VLOOKUP($A553,Text_1_2[[Text.1.1.3]:[Text.1.3]],2,FALSE),"")</f>
        <v/>
      </c>
      <c r="P553" s="2"/>
    </row>
    <row r="554" spans="1:16" x14ac:dyDescent="0.25">
      <c r="A554" s="1">
        <v>37987</v>
      </c>
      <c r="B554">
        <f>HLOOKUP(Dashboard!$I$27,results,ROW(A554),FALSE)</f>
        <v>3.7536092396535214E-2</v>
      </c>
      <c r="C554">
        <f>IFERROR(VLOOKUP(A554,observations_series_id_PCU22112222112243_api_key_ecc133893ea92a842ee685c73424608[],2,FALSE),"")</f>
        <v>120.3</v>
      </c>
      <c r="D554" s="2">
        <f>IFERROR(VLOOKUP(A554,observations_series_id_PCU22112222112243_api_key_ecc133893ea92a842ee685c73424608[],3,FALSE),"")</f>
        <v>0.85536159600997508</v>
      </c>
      <c r="E554" t="str">
        <f>IFERROR(VLOOKUP($A554,observations_series_id_WPU0613020T_api_key_ecc133893ea92a842ee685c734246086_file[],2,FALSE),"")</f>
        <v/>
      </c>
      <c r="F554" s="2" t="str">
        <f>IFERROR(VLOOKUP($A554,observations_series_id_WPU0613020T_api_key_ecc133893ea92a842ee685c734246086_file[],3,FALSE),"")</f>
        <v/>
      </c>
      <c r="G554">
        <f>IFERROR(VLOOKUP($A554,observations_series_id_PCU22122212_api_key_ecc133893ea92a842ee685c734246086_file[],2,FALSE),"")</f>
        <v>103.9</v>
      </c>
      <c r="H554" s="2">
        <f>IFERROR(VLOOKUP($A554,observations_series_id_PCU22122212_api_key_ecc133893ea92a842ee685c734246086_file[],3,FALSE),"")</f>
        <v>3.7536092396535214E-2</v>
      </c>
      <c r="I554">
        <f>IFERROR(VLOOKUP($A554,observations_series_id_PCU3241913241910_api_key_ecc133893ea92a842ee685c734246086[],2,FALSE),"")</f>
        <v>198.1</v>
      </c>
      <c r="J554" s="2">
        <f>IFERROR(VLOOKUP($A554,observations_series_id_PCU3241913241910_api_key_ecc133893ea92a842ee685c734246086[],3,FALSE),"")</f>
        <v>0.74053508329126705</v>
      </c>
      <c r="K554">
        <f>IFERROR(VLOOKUP($A554,observations_series_id_EXJPUS_api_key_ecc133893ea92a842ee685c734246086_file_type[],2,FALSE),"")</f>
        <v>106.2685</v>
      </c>
      <c r="L554" s="2">
        <f>IFERROR(VLOOKUP($A554,observations_series_id_EXJPUS_api_key_ecc133893ea92a842ee685c734246086_file_type[],3,FALSE),"")</f>
        <v>-2.3690133953146977</v>
      </c>
      <c r="M554" t="str">
        <f>IFERROR(AVERAGEIFS(timeseries_access_key_fqeas14oitk235763mntlb1c0brnk9w3fenzqbk313q5kvxyf52kukw1pa[Value.LME-ZNC],timeseries_access_key_fqeas14oitk235763mntlb1c0brnk9w3fenzqbk313q5kvxyf52kukw1pa[Month],MONTH(Data!$A554),timeseries_access_key_fqeas14oitk235763mntlb1c0brnk9w3fenzqbk313q5kvxyf52kukw1pa[Year],YEAR(Data!$A554)),"")</f>
        <v/>
      </c>
      <c r="N554" s="2" t="str">
        <f>IFERROR(AVERAGEIFS(timeseries_access_key_fqeas14oitk235763mntlb1c0brnk9w3fenzqbk313q5kvxyf52kukw1pa[Column1],timeseries_access_key_fqeas14oitk235763mntlb1c0brnk9w3fenzqbk313q5kvxyf52kukw1pa[Month],MONTH(Data!$A554),timeseries_access_key_fqeas14oitk235763mntlb1c0brnk9w3fenzqbk313q5kvxyf52kukw1pa[Year],YEAR(Data!$A554)),"")</f>
        <v/>
      </c>
      <c r="O554" s="8">
        <f>IFERROR(VLOOKUP($A554,Text_1_2[[Text.1.1.3]:[Text.1.3]],2,FALSE),"")</f>
        <v>27600</v>
      </c>
      <c r="P554" s="2"/>
    </row>
    <row r="555" spans="1:16" x14ac:dyDescent="0.25">
      <c r="A555" s="1">
        <v>38018</v>
      </c>
      <c r="B555">
        <f>HLOOKUP(Dashboard!$I$27,results,ROW(A555),FALSE)</f>
        <v>4.5801526717557217E-2</v>
      </c>
      <c r="C555">
        <f>IFERROR(VLOOKUP(A555,observations_series_id_PCU22112222112243_api_key_ecc133893ea92a842ee685c73424608[],2,FALSE),"")</f>
        <v>120.3</v>
      </c>
      <c r="D555" s="2">
        <f>IFERROR(VLOOKUP(A555,observations_series_id_PCU22112222112243_api_key_ecc133893ea92a842ee685c73424608[],3,FALSE),"")</f>
        <v>0.85536159600997508</v>
      </c>
      <c r="E555" t="str">
        <f>IFERROR(VLOOKUP($A555,observations_series_id_WPU0613020T_api_key_ecc133893ea92a842ee685c734246086_file[],2,FALSE),"")</f>
        <v/>
      </c>
      <c r="F555" s="2" t="str">
        <f>IFERROR(VLOOKUP($A555,observations_series_id_WPU0613020T_api_key_ecc133893ea92a842ee685c734246086_file[],3,FALSE),"")</f>
        <v/>
      </c>
      <c r="G555">
        <f>IFERROR(VLOOKUP($A555,observations_series_id_PCU22122212_api_key_ecc133893ea92a842ee685c734246086_file[],2,FALSE),"")</f>
        <v>104.8</v>
      </c>
      <c r="H555" s="2">
        <f>IFERROR(VLOOKUP($A555,observations_series_id_PCU22122212_api_key_ecc133893ea92a842ee685c734246086_file[],3,FALSE),"")</f>
        <v>4.5801526717557217E-2</v>
      </c>
      <c r="I555">
        <f>IFERROR(VLOOKUP($A555,observations_series_id_PCU3241913241910_api_key_ecc133893ea92a842ee685c734246086[],2,FALSE),"")</f>
        <v>199</v>
      </c>
      <c r="J555" s="2">
        <f>IFERROR(VLOOKUP($A555,observations_series_id_PCU3241913241910_api_key_ecc133893ea92a842ee685c734246086[],3,FALSE),"")</f>
        <v>0.7417085427135679</v>
      </c>
      <c r="K555">
        <f>IFERROR(VLOOKUP($A555,observations_series_id_EXJPUS_api_key_ecc133893ea92a842ee685c734246086_file_type[],2,FALSE),"")</f>
        <v>106.7079</v>
      </c>
      <c r="L555" s="2">
        <f>IFERROR(VLOOKUP($A555,observations_series_id_EXJPUS_api_key_ecc133893ea92a842ee685c734246086_file_type[],3,FALSE),"")</f>
        <v>-2.3551405284894558</v>
      </c>
      <c r="M555" t="str">
        <f>IFERROR(AVERAGEIFS(timeseries_access_key_fqeas14oitk235763mntlb1c0brnk9w3fenzqbk313q5kvxyf52kukw1pa[Value.LME-ZNC],timeseries_access_key_fqeas14oitk235763mntlb1c0brnk9w3fenzqbk313q5kvxyf52kukw1pa[Month],MONTH(Data!$A555),timeseries_access_key_fqeas14oitk235763mntlb1c0brnk9w3fenzqbk313q5kvxyf52kukw1pa[Year],YEAR(Data!$A555)),"")</f>
        <v/>
      </c>
      <c r="N555" s="2" t="str">
        <f>IFERROR(AVERAGEIFS(timeseries_access_key_fqeas14oitk235763mntlb1c0brnk9w3fenzqbk313q5kvxyf52kukw1pa[Column1],timeseries_access_key_fqeas14oitk235763mntlb1c0brnk9w3fenzqbk313q5kvxyf52kukw1pa[Month],MONTH(Data!$A555),timeseries_access_key_fqeas14oitk235763mntlb1c0brnk9w3fenzqbk313q5kvxyf52kukw1pa[Year],YEAR(Data!$A555)),"")</f>
        <v/>
      </c>
      <c r="O555" s="8" t="str">
        <f>IFERROR(VLOOKUP($A555,Text_1_2[[Text.1.1.3]:[Text.1.3]],2,FALSE),"")</f>
        <v/>
      </c>
      <c r="P555" s="2"/>
    </row>
    <row r="556" spans="1:16" x14ac:dyDescent="0.25">
      <c r="A556" s="1">
        <v>38047</v>
      </c>
      <c r="B556">
        <f>HLOOKUP(Dashboard!$I$27,results,ROW(A556),FALSE)</f>
        <v>2.34375E-2</v>
      </c>
      <c r="C556">
        <f>IFERROR(VLOOKUP(A556,observations_series_id_PCU22112222112243_api_key_ecc133893ea92a842ee685c73424608[],2,FALSE),"")</f>
        <v>120.3</v>
      </c>
      <c r="D556" s="2">
        <f>IFERROR(VLOOKUP(A556,observations_series_id_PCU22112222112243_api_key_ecc133893ea92a842ee685c73424608[],3,FALSE),"")</f>
        <v>0.85536159600997508</v>
      </c>
      <c r="E556" t="str">
        <f>IFERROR(VLOOKUP($A556,observations_series_id_WPU0613020T_api_key_ecc133893ea92a842ee685c734246086_file[],2,FALSE),"")</f>
        <v/>
      </c>
      <c r="F556" s="2" t="str">
        <f>IFERROR(VLOOKUP($A556,observations_series_id_WPU0613020T_api_key_ecc133893ea92a842ee685c734246086_file[],3,FALSE),"")</f>
        <v/>
      </c>
      <c r="G556">
        <f>IFERROR(VLOOKUP($A556,observations_series_id_PCU22122212_api_key_ecc133893ea92a842ee685c734246086_file[],2,FALSE),"")</f>
        <v>102.4</v>
      </c>
      <c r="H556" s="2">
        <f>IFERROR(VLOOKUP($A556,observations_series_id_PCU22122212_api_key_ecc133893ea92a842ee685c734246086_file[],3,FALSE),"")</f>
        <v>2.34375E-2</v>
      </c>
      <c r="I556">
        <f>IFERROR(VLOOKUP($A556,observations_series_id_PCU3241913241910_api_key_ecc133893ea92a842ee685c734246086[],2,FALSE),"")</f>
        <v>199</v>
      </c>
      <c r="J556" s="2">
        <f>IFERROR(VLOOKUP($A556,observations_series_id_PCU3241913241910_api_key_ecc133893ea92a842ee685c734246086[],3,FALSE),"")</f>
        <v>0.7417085427135679</v>
      </c>
      <c r="K556">
        <f>IFERROR(VLOOKUP($A556,observations_series_id_EXJPUS_api_key_ecc133893ea92a842ee685c734246086_file_type[],2,FALSE),"")</f>
        <v>108.5157</v>
      </c>
      <c r="L556" s="2">
        <f>IFERROR(VLOOKUP($A556,observations_series_id_EXJPUS_api_key_ecc133893ea92a842ee685c734246086_file_type[],3,FALSE),"")</f>
        <v>-2.2992460998731059</v>
      </c>
      <c r="M556" t="str">
        <f>IFERROR(AVERAGEIFS(timeseries_access_key_fqeas14oitk235763mntlb1c0brnk9w3fenzqbk313q5kvxyf52kukw1pa[Value.LME-ZNC],timeseries_access_key_fqeas14oitk235763mntlb1c0brnk9w3fenzqbk313q5kvxyf52kukw1pa[Month],MONTH(Data!$A556),timeseries_access_key_fqeas14oitk235763mntlb1c0brnk9w3fenzqbk313q5kvxyf52kukw1pa[Year],YEAR(Data!$A556)),"")</f>
        <v/>
      </c>
      <c r="N556" s="2" t="str">
        <f>IFERROR(AVERAGEIFS(timeseries_access_key_fqeas14oitk235763mntlb1c0brnk9w3fenzqbk313q5kvxyf52kukw1pa[Column1],timeseries_access_key_fqeas14oitk235763mntlb1c0brnk9w3fenzqbk313q5kvxyf52kukw1pa[Month],MONTH(Data!$A556),timeseries_access_key_fqeas14oitk235763mntlb1c0brnk9w3fenzqbk313q5kvxyf52kukw1pa[Year],YEAR(Data!$A556)),"")</f>
        <v/>
      </c>
      <c r="O556" s="8" t="str">
        <f>IFERROR(VLOOKUP($A556,Text_1_2[[Text.1.1.3]:[Text.1.3]],2,FALSE),"")</f>
        <v/>
      </c>
      <c r="P556" s="2"/>
    </row>
    <row r="557" spans="1:16" x14ac:dyDescent="0.25">
      <c r="A557" s="1">
        <v>38078</v>
      </c>
      <c r="B557">
        <f>HLOOKUP(Dashboard!$I$27,results,ROW(A557),FALSE)</f>
        <v>3.0067895247332665E-2</v>
      </c>
      <c r="C557">
        <f>IFERROR(VLOOKUP(A557,observations_series_id_PCU22112222112243_api_key_ecc133893ea92a842ee685c73424608[],2,FALSE),"")</f>
        <v>120.3</v>
      </c>
      <c r="D557" s="2">
        <f>IFERROR(VLOOKUP(A557,observations_series_id_PCU22112222112243_api_key_ecc133893ea92a842ee685c73424608[],3,FALSE),"")</f>
        <v>0.85536159600997508</v>
      </c>
      <c r="E557" t="str">
        <f>IFERROR(VLOOKUP($A557,observations_series_id_WPU0613020T_api_key_ecc133893ea92a842ee685c734246086_file[],2,FALSE),"")</f>
        <v/>
      </c>
      <c r="F557" s="2" t="str">
        <f>IFERROR(VLOOKUP($A557,observations_series_id_WPU0613020T_api_key_ecc133893ea92a842ee685c734246086_file[],3,FALSE),"")</f>
        <v/>
      </c>
      <c r="G557">
        <f>IFERROR(VLOOKUP($A557,observations_series_id_PCU22122212_api_key_ecc133893ea92a842ee685c734246086_file[],2,FALSE),"")</f>
        <v>103.1</v>
      </c>
      <c r="H557" s="2">
        <f>IFERROR(VLOOKUP($A557,observations_series_id_PCU22122212_api_key_ecc133893ea92a842ee685c734246086_file[],3,FALSE),"")</f>
        <v>3.0067895247332665E-2</v>
      </c>
      <c r="I557">
        <f>IFERROR(VLOOKUP($A557,observations_series_id_PCU3241913241910_api_key_ecc133893ea92a842ee685c734246086[],2,FALSE),"")</f>
        <v>198.8</v>
      </c>
      <c r="J557" s="2">
        <f>IFERROR(VLOOKUP($A557,observations_series_id_PCU3241913241910_api_key_ecc133893ea92a842ee685c734246086[],3,FALSE),"")</f>
        <v>0.74144869215291753</v>
      </c>
      <c r="K557">
        <f>IFERROR(VLOOKUP($A557,observations_series_id_EXJPUS_api_key_ecc133893ea92a842ee685c734246086_file_type[],2,FALSE),"")</f>
        <v>107.6564</v>
      </c>
      <c r="L557" s="2">
        <f>IFERROR(VLOOKUP($A557,observations_series_id_EXJPUS_api_key_ecc133893ea92a842ee685c734246086_file_type[],3,FALSE),"")</f>
        <v>-2.3255802720507091</v>
      </c>
      <c r="M557" t="str">
        <f>IFERROR(AVERAGEIFS(timeseries_access_key_fqeas14oitk235763mntlb1c0brnk9w3fenzqbk313q5kvxyf52kukw1pa[Value.LME-ZNC],timeseries_access_key_fqeas14oitk235763mntlb1c0brnk9w3fenzqbk313q5kvxyf52kukw1pa[Month],MONTH(Data!$A557),timeseries_access_key_fqeas14oitk235763mntlb1c0brnk9w3fenzqbk313q5kvxyf52kukw1pa[Year],YEAR(Data!$A557)),"")</f>
        <v/>
      </c>
      <c r="N557" s="2" t="str">
        <f>IFERROR(AVERAGEIFS(timeseries_access_key_fqeas14oitk235763mntlb1c0brnk9w3fenzqbk313q5kvxyf52kukw1pa[Column1],timeseries_access_key_fqeas14oitk235763mntlb1c0brnk9w3fenzqbk313q5kvxyf52kukw1pa[Month],MONTH(Data!$A557),timeseries_access_key_fqeas14oitk235763mntlb1c0brnk9w3fenzqbk313q5kvxyf52kukw1pa[Year],YEAR(Data!$A557)),"")</f>
        <v/>
      </c>
      <c r="O557" s="8">
        <f>IFERROR(VLOOKUP($A557,Text_1_2[[Text.1.1.3]:[Text.1.3]],2,FALSE),"")</f>
        <v>29100</v>
      </c>
      <c r="P557" s="2"/>
    </row>
    <row r="558" spans="1:16" x14ac:dyDescent="0.25">
      <c r="A558" s="1">
        <v>38108</v>
      </c>
      <c r="B558">
        <f>HLOOKUP(Dashboard!$I$27,results,ROW(A558),FALSE)</f>
        <v>4.3977055449330726E-2</v>
      </c>
      <c r="C558">
        <f>IFERROR(VLOOKUP(A558,observations_series_id_PCU22112222112243_api_key_ecc133893ea92a842ee685c73424608[],2,FALSE),"")</f>
        <v>121.3</v>
      </c>
      <c r="D558" s="2">
        <f>IFERROR(VLOOKUP(A558,observations_series_id_PCU22112222112243_api_key_ecc133893ea92a842ee685c73424608[],3,FALSE),"")</f>
        <v>0.85655399835119539</v>
      </c>
      <c r="E558" t="str">
        <f>IFERROR(VLOOKUP($A558,observations_series_id_WPU0613020T_api_key_ecc133893ea92a842ee685c734246086_file[],2,FALSE),"")</f>
        <v/>
      </c>
      <c r="F558" s="2" t="str">
        <f>IFERROR(VLOOKUP($A558,observations_series_id_WPU0613020T_api_key_ecc133893ea92a842ee685c734246086_file[],3,FALSE),"")</f>
        <v/>
      </c>
      <c r="G558">
        <f>IFERROR(VLOOKUP($A558,observations_series_id_PCU22122212_api_key_ecc133893ea92a842ee685c734246086_file[],2,FALSE),"")</f>
        <v>104.6</v>
      </c>
      <c r="H558" s="2">
        <f>IFERROR(VLOOKUP($A558,observations_series_id_PCU22122212_api_key_ecc133893ea92a842ee685c734246086_file[],3,FALSE),"")</f>
        <v>4.3977055449330726E-2</v>
      </c>
      <c r="I558">
        <f>IFERROR(VLOOKUP($A558,observations_series_id_PCU3241913241910_api_key_ecc133893ea92a842ee685c734246086[],2,FALSE),"")</f>
        <v>199.8</v>
      </c>
      <c r="J558" s="2">
        <f>IFERROR(VLOOKUP($A558,observations_series_id_PCU3241913241910_api_key_ecc133893ea92a842ee685c734246086[],3,FALSE),"")</f>
        <v>0.74274274274274277</v>
      </c>
      <c r="K558">
        <f>IFERROR(VLOOKUP($A558,observations_series_id_EXJPUS_api_key_ecc133893ea92a842ee685c734246086_file_type[],2,FALSE),"")</f>
        <v>112.196</v>
      </c>
      <c r="L558" s="2">
        <f>IFERROR(VLOOKUP($A558,observations_series_id_EXJPUS_api_key_ecc133893ea92a842ee685c734246086_file_type[],3,FALSE),"")</f>
        <v>-2.1910228528646298</v>
      </c>
      <c r="M558" t="str">
        <f>IFERROR(AVERAGEIFS(timeseries_access_key_fqeas14oitk235763mntlb1c0brnk9w3fenzqbk313q5kvxyf52kukw1pa[Value.LME-ZNC],timeseries_access_key_fqeas14oitk235763mntlb1c0brnk9w3fenzqbk313q5kvxyf52kukw1pa[Month],MONTH(Data!$A558),timeseries_access_key_fqeas14oitk235763mntlb1c0brnk9w3fenzqbk313q5kvxyf52kukw1pa[Year],YEAR(Data!$A558)),"")</f>
        <v/>
      </c>
      <c r="N558" s="2" t="str">
        <f>IFERROR(AVERAGEIFS(timeseries_access_key_fqeas14oitk235763mntlb1c0brnk9w3fenzqbk313q5kvxyf52kukw1pa[Column1],timeseries_access_key_fqeas14oitk235763mntlb1c0brnk9w3fenzqbk313q5kvxyf52kukw1pa[Month],MONTH(Data!$A558),timeseries_access_key_fqeas14oitk235763mntlb1c0brnk9w3fenzqbk313q5kvxyf52kukw1pa[Year],YEAR(Data!$A558)),"")</f>
        <v/>
      </c>
      <c r="O558" s="8" t="str">
        <f>IFERROR(VLOOKUP($A558,Text_1_2[[Text.1.1.3]:[Text.1.3]],2,FALSE),"")</f>
        <v/>
      </c>
      <c r="P558" s="2"/>
    </row>
    <row r="559" spans="1:16" x14ac:dyDescent="0.25">
      <c r="A559" s="1">
        <v>38139</v>
      </c>
      <c r="B559">
        <f>HLOOKUP(Dashboard!$I$27,results,ROW(A559),FALSE)</f>
        <v>8.0036798528058894E-2</v>
      </c>
      <c r="C559">
        <f>IFERROR(VLOOKUP(A559,observations_series_id_PCU22112222112243_api_key_ecc133893ea92a842ee685c73424608[],2,FALSE),"")</f>
        <v>128.1</v>
      </c>
      <c r="D559" s="2">
        <f>IFERROR(VLOOKUP(A559,observations_series_id_PCU22112222112243_api_key_ecc133893ea92a842ee685c73424608[],3,FALSE),"")</f>
        <v>0.86416861826697899</v>
      </c>
      <c r="E559" t="str">
        <f>IFERROR(VLOOKUP($A559,observations_series_id_WPU0613020T_api_key_ecc133893ea92a842ee685c734246086_file[],2,FALSE),"")</f>
        <v/>
      </c>
      <c r="F559" s="2" t="str">
        <f>IFERROR(VLOOKUP($A559,observations_series_id_WPU0613020T_api_key_ecc133893ea92a842ee685c734246086_file[],3,FALSE),"")</f>
        <v/>
      </c>
      <c r="G559">
        <f>IFERROR(VLOOKUP($A559,observations_series_id_PCU22122212_api_key_ecc133893ea92a842ee685c734246086_file[],2,FALSE),"")</f>
        <v>108.7</v>
      </c>
      <c r="H559" s="2">
        <f>IFERROR(VLOOKUP($A559,observations_series_id_PCU22122212_api_key_ecc133893ea92a842ee685c734246086_file[],3,FALSE),"")</f>
        <v>8.0036798528058894E-2</v>
      </c>
      <c r="I559">
        <f>IFERROR(VLOOKUP($A559,observations_series_id_PCU3241913241910_api_key_ecc133893ea92a842ee685c734246086[],2,FALSE),"")</f>
        <v>200.5</v>
      </c>
      <c r="J559" s="2">
        <f>IFERROR(VLOOKUP($A559,observations_series_id_PCU3241913241910_api_key_ecc133893ea92a842ee685c734246086[],3,FALSE),"")</f>
        <v>0.74364089775561104</v>
      </c>
      <c r="K559">
        <f>IFERROR(VLOOKUP($A559,observations_series_id_EXJPUS_api_key_ecc133893ea92a842ee685c734246086_file_type[],2,FALSE),"")</f>
        <v>109.4336</v>
      </c>
      <c r="L559" s="2">
        <f>IFERROR(VLOOKUP($A559,observations_series_id_EXJPUS_api_key_ecc133893ea92a842ee685c734246086_file_type[],3,FALSE),"")</f>
        <v>-2.2715728989999415</v>
      </c>
      <c r="M559" t="str">
        <f>IFERROR(AVERAGEIFS(timeseries_access_key_fqeas14oitk235763mntlb1c0brnk9w3fenzqbk313q5kvxyf52kukw1pa[Value.LME-ZNC],timeseries_access_key_fqeas14oitk235763mntlb1c0brnk9w3fenzqbk313q5kvxyf52kukw1pa[Month],MONTH(Data!$A559),timeseries_access_key_fqeas14oitk235763mntlb1c0brnk9w3fenzqbk313q5kvxyf52kukw1pa[Year],YEAR(Data!$A559)),"")</f>
        <v/>
      </c>
      <c r="N559" s="2" t="str">
        <f>IFERROR(AVERAGEIFS(timeseries_access_key_fqeas14oitk235763mntlb1c0brnk9w3fenzqbk313q5kvxyf52kukw1pa[Column1],timeseries_access_key_fqeas14oitk235763mntlb1c0brnk9w3fenzqbk313q5kvxyf52kukw1pa[Month],MONTH(Data!$A559),timeseries_access_key_fqeas14oitk235763mntlb1c0brnk9w3fenzqbk313q5kvxyf52kukw1pa[Year],YEAR(Data!$A559)),"")</f>
        <v/>
      </c>
      <c r="O559" s="8" t="str">
        <f>IFERROR(VLOOKUP($A559,Text_1_2[[Text.1.1.3]:[Text.1.3]],2,FALSE),"")</f>
        <v/>
      </c>
      <c r="P559" s="2"/>
    </row>
    <row r="560" spans="1:16" x14ac:dyDescent="0.25">
      <c r="A560" s="1">
        <v>38169</v>
      </c>
      <c r="B560">
        <f>HLOOKUP(Dashboard!$I$27,results,ROW(A560),FALSE)</f>
        <v>7.578558225508325E-2</v>
      </c>
      <c r="C560">
        <f>IFERROR(VLOOKUP(A560,observations_series_id_PCU22112222112243_api_key_ecc133893ea92a842ee685c73424608[],2,FALSE),"")</f>
        <v>128</v>
      </c>
      <c r="D560" s="2">
        <f>IFERROR(VLOOKUP(A560,observations_series_id_PCU22112222112243_api_key_ecc133893ea92a842ee685c73424608[],3,FALSE),"")</f>
        <v>0.86406249999999996</v>
      </c>
      <c r="E560" t="str">
        <f>IFERROR(VLOOKUP($A560,observations_series_id_WPU0613020T_api_key_ecc133893ea92a842ee685c734246086_file[],2,FALSE),"")</f>
        <v/>
      </c>
      <c r="F560" s="2" t="str">
        <f>IFERROR(VLOOKUP($A560,observations_series_id_WPU0613020T_api_key_ecc133893ea92a842ee685c734246086_file[],3,FALSE),"")</f>
        <v/>
      </c>
      <c r="G560">
        <f>IFERROR(VLOOKUP($A560,observations_series_id_PCU22122212_api_key_ecc133893ea92a842ee685c734246086_file[],2,FALSE),"")</f>
        <v>108.2</v>
      </c>
      <c r="H560" s="2">
        <f>IFERROR(VLOOKUP($A560,observations_series_id_PCU22122212_api_key_ecc133893ea92a842ee685c734246086_file[],3,FALSE),"")</f>
        <v>7.578558225508325E-2</v>
      </c>
      <c r="I560">
        <f>IFERROR(VLOOKUP($A560,observations_series_id_PCU3241913241910_api_key_ecc133893ea92a842ee685c734246086[],2,FALSE),"")</f>
        <v>201.1</v>
      </c>
      <c r="J560" s="2">
        <f>IFERROR(VLOOKUP($A560,observations_series_id_PCU3241913241910_api_key_ecc133893ea92a842ee685c734246086[],3,FALSE),"")</f>
        <v>0.74440576827449023</v>
      </c>
      <c r="K560">
        <f>IFERROR(VLOOKUP($A560,observations_series_id_EXJPUS_api_key_ecc133893ea92a842ee685c734246086_file_type[],2,FALSE),"")</f>
        <v>109.4871</v>
      </c>
      <c r="L560" s="2">
        <f>IFERROR(VLOOKUP($A560,observations_series_id_EXJPUS_api_key_ecc133893ea92a842ee685c734246086_file_type[],3,FALSE),"")</f>
        <v>-2.2699742709415083</v>
      </c>
      <c r="M560" t="str">
        <f>IFERROR(AVERAGEIFS(timeseries_access_key_fqeas14oitk235763mntlb1c0brnk9w3fenzqbk313q5kvxyf52kukw1pa[Value.LME-ZNC],timeseries_access_key_fqeas14oitk235763mntlb1c0brnk9w3fenzqbk313q5kvxyf52kukw1pa[Month],MONTH(Data!$A560),timeseries_access_key_fqeas14oitk235763mntlb1c0brnk9w3fenzqbk313q5kvxyf52kukw1pa[Year],YEAR(Data!$A560)),"")</f>
        <v/>
      </c>
      <c r="N560" s="2" t="str">
        <f>IFERROR(AVERAGEIFS(timeseries_access_key_fqeas14oitk235763mntlb1c0brnk9w3fenzqbk313q5kvxyf52kukw1pa[Column1],timeseries_access_key_fqeas14oitk235763mntlb1c0brnk9w3fenzqbk313q5kvxyf52kukw1pa[Month],MONTH(Data!$A560),timeseries_access_key_fqeas14oitk235763mntlb1c0brnk9w3fenzqbk313q5kvxyf52kukw1pa[Year],YEAR(Data!$A560)),"")</f>
        <v/>
      </c>
      <c r="O560" s="8">
        <f>IFERROR(VLOOKUP($A560,Text_1_2[[Text.1.1.3]:[Text.1.3]],2,FALSE),"")</f>
        <v>31300</v>
      </c>
      <c r="P560" s="2"/>
    </row>
    <row r="561" spans="1:16" x14ac:dyDescent="0.25">
      <c r="A561" s="1">
        <v>38200</v>
      </c>
      <c r="B561">
        <f>HLOOKUP(Dashboard!$I$27,results,ROW(A561),FALSE)</f>
        <v>7.3215940685820269E-2</v>
      </c>
      <c r="C561">
        <f>IFERROR(VLOOKUP(A561,observations_series_id_PCU22112222112243_api_key_ecc133893ea92a842ee685c73424608[],2,FALSE),"")</f>
        <v>129.5</v>
      </c>
      <c r="D561" s="2">
        <f>IFERROR(VLOOKUP(A561,observations_series_id_PCU22112222112243_api_key_ecc133893ea92a842ee685c73424608[],3,FALSE),"")</f>
        <v>0.86563706563706566</v>
      </c>
      <c r="E561" t="str">
        <f>IFERROR(VLOOKUP($A561,observations_series_id_WPU0613020T_api_key_ecc133893ea92a842ee685c734246086_file[],2,FALSE),"")</f>
        <v/>
      </c>
      <c r="F561" s="2" t="str">
        <f>IFERROR(VLOOKUP($A561,observations_series_id_WPU0613020T_api_key_ecc133893ea92a842ee685c734246086_file[],3,FALSE),"")</f>
        <v/>
      </c>
      <c r="G561">
        <f>IFERROR(VLOOKUP($A561,observations_series_id_PCU22122212_api_key_ecc133893ea92a842ee685c734246086_file[],2,FALSE),"")</f>
        <v>107.9</v>
      </c>
      <c r="H561" s="2">
        <f>IFERROR(VLOOKUP($A561,observations_series_id_PCU22122212_api_key_ecc133893ea92a842ee685c734246086_file[],3,FALSE),"")</f>
        <v>7.3215940685820269E-2</v>
      </c>
      <c r="I561">
        <f>IFERROR(VLOOKUP($A561,observations_series_id_PCU3241913241910_api_key_ecc133893ea92a842ee685c734246086[],2,FALSE),"")</f>
        <v>201.8</v>
      </c>
      <c r="J561" s="2">
        <f>IFERROR(VLOOKUP($A561,observations_series_id_PCU3241913241910_api_key_ecc133893ea92a842ee685c734246086[],3,FALSE),"")</f>
        <v>0.74529236868186333</v>
      </c>
      <c r="K561">
        <f>IFERROR(VLOOKUP($A561,observations_series_id_EXJPUS_api_key_ecc133893ea92a842ee685c734246086_file_type[],2,FALSE),"")</f>
        <v>110.2336</v>
      </c>
      <c r="L561" s="2">
        <f>IFERROR(VLOOKUP($A561,observations_series_id_EXJPUS_api_key_ecc133893ea92a842ee685c734246086_file_type[],3,FALSE),"")</f>
        <v>-2.2478300627032048</v>
      </c>
      <c r="M561" t="str">
        <f>IFERROR(AVERAGEIFS(timeseries_access_key_fqeas14oitk235763mntlb1c0brnk9w3fenzqbk313q5kvxyf52kukw1pa[Value.LME-ZNC],timeseries_access_key_fqeas14oitk235763mntlb1c0brnk9w3fenzqbk313q5kvxyf52kukw1pa[Month],MONTH(Data!$A561),timeseries_access_key_fqeas14oitk235763mntlb1c0brnk9w3fenzqbk313q5kvxyf52kukw1pa[Year],YEAR(Data!$A561)),"")</f>
        <v/>
      </c>
      <c r="N561" s="2" t="str">
        <f>IFERROR(AVERAGEIFS(timeseries_access_key_fqeas14oitk235763mntlb1c0brnk9w3fenzqbk313q5kvxyf52kukw1pa[Column1],timeseries_access_key_fqeas14oitk235763mntlb1c0brnk9w3fenzqbk313q5kvxyf52kukw1pa[Month],MONTH(Data!$A561),timeseries_access_key_fqeas14oitk235763mntlb1c0brnk9w3fenzqbk313q5kvxyf52kukw1pa[Year],YEAR(Data!$A561)),"")</f>
        <v/>
      </c>
      <c r="O561" s="8" t="str">
        <f>IFERROR(VLOOKUP($A561,Text_1_2[[Text.1.1.3]:[Text.1.3]],2,FALSE),"")</f>
        <v/>
      </c>
      <c r="P561" s="2"/>
    </row>
    <row r="562" spans="1:16" x14ac:dyDescent="0.25">
      <c r="A562" s="1">
        <v>38231</v>
      </c>
      <c r="B562">
        <f>HLOOKUP(Dashboard!$I$27,results,ROW(A562),FALSE)</f>
        <v>4.2145593869731823E-2</v>
      </c>
      <c r="C562">
        <f>IFERROR(VLOOKUP(A562,observations_series_id_PCU22112222112243_api_key_ecc133893ea92a842ee685c73424608[],2,FALSE),"")</f>
        <v>129.5</v>
      </c>
      <c r="D562" s="2">
        <f>IFERROR(VLOOKUP(A562,observations_series_id_PCU22112222112243_api_key_ecc133893ea92a842ee685c73424608[],3,FALSE),"")</f>
        <v>0.86563706563706566</v>
      </c>
      <c r="E562" t="str">
        <f>IFERROR(VLOOKUP($A562,observations_series_id_WPU0613020T_api_key_ecc133893ea92a842ee685c734246086_file[],2,FALSE),"")</f>
        <v/>
      </c>
      <c r="F562" s="2" t="str">
        <f>IFERROR(VLOOKUP($A562,observations_series_id_WPU0613020T_api_key_ecc133893ea92a842ee685c734246086_file[],3,FALSE),"")</f>
        <v/>
      </c>
      <c r="G562">
        <f>IFERROR(VLOOKUP($A562,observations_series_id_PCU22122212_api_key_ecc133893ea92a842ee685c734246086_file[],2,FALSE),"")</f>
        <v>104.4</v>
      </c>
      <c r="H562" s="2">
        <f>IFERROR(VLOOKUP($A562,observations_series_id_PCU22122212_api_key_ecc133893ea92a842ee685c734246086_file[],3,FALSE),"")</f>
        <v>4.2145593869731823E-2</v>
      </c>
      <c r="I562">
        <f>IFERROR(VLOOKUP($A562,observations_series_id_PCU3241913241910_api_key_ecc133893ea92a842ee685c734246086[],2,FALSE),"")</f>
        <v>201.6</v>
      </c>
      <c r="J562" s="2">
        <f>IFERROR(VLOOKUP($A562,observations_series_id_PCU3241913241910_api_key_ecc133893ea92a842ee685c734246086[],3,FALSE),"")</f>
        <v>0.74503968253968256</v>
      </c>
      <c r="K562">
        <f>IFERROR(VLOOKUP($A562,observations_series_id_EXJPUS_api_key_ecc133893ea92a842ee685c734246086_file_type[],2,FALSE),"")</f>
        <v>110.09139999999999</v>
      </c>
      <c r="L562" s="2">
        <f>IFERROR(VLOOKUP($A562,observations_series_id_EXJPUS_api_key_ecc133893ea92a842ee685c734246086_file_type[],3,FALSE),"")</f>
        <v>-2.2520251354783389</v>
      </c>
      <c r="M562" t="str">
        <f>IFERROR(AVERAGEIFS(timeseries_access_key_fqeas14oitk235763mntlb1c0brnk9w3fenzqbk313q5kvxyf52kukw1pa[Value.LME-ZNC],timeseries_access_key_fqeas14oitk235763mntlb1c0brnk9w3fenzqbk313q5kvxyf52kukw1pa[Month],MONTH(Data!$A562),timeseries_access_key_fqeas14oitk235763mntlb1c0brnk9w3fenzqbk313q5kvxyf52kukw1pa[Year],YEAR(Data!$A562)),"")</f>
        <v/>
      </c>
      <c r="N562" s="2" t="str">
        <f>IFERROR(AVERAGEIFS(timeseries_access_key_fqeas14oitk235763mntlb1c0brnk9w3fenzqbk313q5kvxyf52kukw1pa[Column1],timeseries_access_key_fqeas14oitk235763mntlb1c0brnk9w3fenzqbk313q5kvxyf52kukw1pa[Month],MONTH(Data!$A562),timeseries_access_key_fqeas14oitk235763mntlb1c0brnk9w3fenzqbk313q5kvxyf52kukw1pa[Year],YEAR(Data!$A562)),"")</f>
        <v/>
      </c>
      <c r="O562" s="8" t="str">
        <f>IFERROR(VLOOKUP($A562,Text_1_2[[Text.1.1.3]:[Text.1.3]],2,FALSE),"")</f>
        <v/>
      </c>
      <c r="P562" s="2"/>
    </row>
    <row r="563" spans="1:16" x14ac:dyDescent="0.25">
      <c r="A563" s="1">
        <v>38261</v>
      </c>
      <c r="B563">
        <f>HLOOKUP(Dashboard!$I$27,results,ROW(A563),FALSE)</f>
        <v>6.1032863849765251E-2</v>
      </c>
      <c r="C563">
        <f>IFERROR(VLOOKUP(A563,observations_series_id_PCU22112222112243_api_key_ecc133893ea92a842ee685c73424608[],2,FALSE),"")</f>
        <v>122.6</v>
      </c>
      <c r="D563" s="2">
        <f>IFERROR(VLOOKUP(A563,observations_series_id_PCU22112222112243_api_key_ecc133893ea92a842ee685c73424608[],3,FALSE),"")</f>
        <v>0.8580750407830342</v>
      </c>
      <c r="E563" t="str">
        <f>IFERROR(VLOOKUP($A563,observations_series_id_WPU0613020T_api_key_ecc133893ea92a842ee685c734246086_file[],2,FALSE),"")</f>
        <v/>
      </c>
      <c r="F563" s="2" t="str">
        <f>IFERROR(VLOOKUP($A563,observations_series_id_WPU0613020T_api_key_ecc133893ea92a842ee685c734246086_file[],3,FALSE),"")</f>
        <v/>
      </c>
      <c r="G563">
        <f>IFERROR(VLOOKUP($A563,observations_series_id_PCU22122212_api_key_ecc133893ea92a842ee685c734246086_file[],2,FALSE),"")</f>
        <v>106.5</v>
      </c>
      <c r="H563" s="2">
        <f>IFERROR(VLOOKUP($A563,observations_series_id_PCU22122212_api_key_ecc133893ea92a842ee685c734246086_file[],3,FALSE),"")</f>
        <v>6.1032863849765251E-2</v>
      </c>
      <c r="I563">
        <f>IFERROR(VLOOKUP($A563,observations_series_id_PCU3241913241910_api_key_ecc133893ea92a842ee685c734246086[],2,FALSE),"")</f>
        <v>204.1</v>
      </c>
      <c r="J563" s="2">
        <f>IFERROR(VLOOKUP($A563,observations_series_id_PCU3241913241910_api_key_ecc133893ea92a842ee685c734246086[],3,FALSE),"")</f>
        <v>0.74816266536011766</v>
      </c>
      <c r="K563">
        <f>IFERROR(VLOOKUP($A563,observations_series_id_EXJPUS_api_key_ecc133893ea92a842ee685c734246086_file_type[],2,FALSE),"")</f>
        <v>108.7835</v>
      </c>
      <c r="L563" s="2">
        <f>IFERROR(VLOOKUP($A563,observations_series_id_EXJPUS_api_key_ecc133893ea92a842ee685c734246086_file_type[],3,FALSE),"")</f>
        <v>-2.2911241134914757</v>
      </c>
      <c r="M563" t="str">
        <f>IFERROR(AVERAGEIFS(timeseries_access_key_fqeas14oitk235763mntlb1c0brnk9w3fenzqbk313q5kvxyf52kukw1pa[Value.LME-ZNC],timeseries_access_key_fqeas14oitk235763mntlb1c0brnk9w3fenzqbk313q5kvxyf52kukw1pa[Month],MONTH(Data!$A563),timeseries_access_key_fqeas14oitk235763mntlb1c0brnk9w3fenzqbk313q5kvxyf52kukw1pa[Year],YEAR(Data!$A563)),"")</f>
        <v/>
      </c>
      <c r="N563" s="2" t="str">
        <f>IFERROR(AVERAGEIFS(timeseries_access_key_fqeas14oitk235763mntlb1c0brnk9w3fenzqbk313q5kvxyf52kukw1pa[Column1],timeseries_access_key_fqeas14oitk235763mntlb1c0brnk9w3fenzqbk313q5kvxyf52kukw1pa[Month],MONTH(Data!$A563),timeseries_access_key_fqeas14oitk235763mntlb1c0brnk9w3fenzqbk313q5kvxyf52kukw1pa[Year],YEAR(Data!$A563)),"")</f>
        <v/>
      </c>
      <c r="O563" s="8">
        <f>IFERROR(VLOOKUP($A563,Text_1_2[[Text.1.1.3]:[Text.1.3]],2,FALSE),"")</f>
        <v>35000</v>
      </c>
      <c r="P563" s="2"/>
    </row>
    <row r="564" spans="1:16" x14ac:dyDescent="0.25">
      <c r="A564" s="1">
        <v>38292</v>
      </c>
      <c r="B564">
        <f>HLOOKUP(Dashboard!$I$27,results,ROW(A564),FALSE)</f>
        <v>0.14163090128755362</v>
      </c>
      <c r="C564">
        <f>IFERROR(VLOOKUP(A564,observations_series_id_PCU22112222112243_api_key_ecc133893ea92a842ee685c73424608[],2,FALSE),"")</f>
        <v>121.8</v>
      </c>
      <c r="D564" s="2">
        <f>IFERROR(VLOOKUP(A564,observations_series_id_PCU22112222112243_api_key_ecc133893ea92a842ee685c73424608[],3,FALSE),"")</f>
        <v>0.85714285714285721</v>
      </c>
      <c r="E564" t="str">
        <f>IFERROR(VLOOKUP($A564,observations_series_id_WPU0613020T_api_key_ecc133893ea92a842ee685c734246086_file[],2,FALSE),"")</f>
        <v/>
      </c>
      <c r="F564" s="2" t="str">
        <f>IFERROR(VLOOKUP($A564,observations_series_id_WPU0613020T_api_key_ecc133893ea92a842ee685c734246086_file[],3,FALSE),"")</f>
        <v/>
      </c>
      <c r="G564">
        <f>IFERROR(VLOOKUP($A564,observations_series_id_PCU22122212_api_key_ecc133893ea92a842ee685c734246086_file[],2,FALSE),"")</f>
        <v>116.5</v>
      </c>
      <c r="H564" s="2">
        <f>IFERROR(VLOOKUP($A564,observations_series_id_PCU22122212_api_key_ecc133893ea92a842ee685c734246086_file[],3,FALSE),"")</f>
        <v>0.14163090128755362</v>
      </c>
      <c r="I564">
        <f>IFERROR(VLOOKUP($A564,observations_series_id_PCU3241913241910_api_key_ecc133893ea92a842ee685c734246086[],2,FALSE),"")</f>
        <v>208.4</v>
      </c>
      <c r="J564" s="2">
        <f>IFERROR(VLOOKUP($A564,observations_series_id_PCU3241913241910_api_key_ecc133893ea92a842ee685c734246086[],3,FALSE),"")</f>
        <v>0.75335892514395397</v>
      </c>
      <c r="K564">
        <f>IFERROR(VLOOKUP($A564,observations_series_id_EXJPUS_api_key_ecc133893ea92a842ee685c734246086_file_type[],2,FALSE),"")</f>
        <v>104.699</v>
      </c>
      <c r="L564" s="2">
        <f>IFERROR(VLOOKUP($A564,observations_series_id_EXJPUS_api_key_ecc133893ea92a842ee685c734246086_file_type[],3,FALSE),"")</f>
        <v>-2.4195169008299984</v>
      </c>
      <c r="M564" t="str">
        <f>IFERROR(AVERAGEIFS(timeseries_access_key_fqeas14oitk235763mntlb1c0brnk9w3fenzqbk313q5kvxyf52kukw1pa[Value.LME-ZNC],timeseries_access_key_fqeas14oitk235763mntlb1c0brnk9w3fenzqbk313q5kvxyf52kukw1pa[Month],MONTH(Data!$A564),timeseries_access_key_fqeas14oitk235763mntlb1c0brnk9w3fenzqbk313q5kvxyf52kukw1pa[Year],YEAR(Data!$A564)),"")</f>
        <v/>
      </c>
      <c r="N564" s="2" t="str">
        <f>IFERROR(AVERAGEIFS(timeseries_access_key_fqeas14oitk235763mntlb1c0brnk9w3fenzqbk313q5kvxyf52kukw1pa[Column1],timeseries_access_key_fqeas14oitk235763mntlb1c0brnk9w3fenzqbk313q5kvxyf52kukw1pa[Month],MONTH(Data!$A564),timeseries_access_key_fqeas14oitk235763mntlb1c0brnk9w3fenzqbk313q5kvxyf52kukw1pa[Year],YEAR(Data!$A564)),"")</f>
        <v/>
      </c>
      <c r="O564" s="8" t="str">
        <f>IFERROR(VLOOKUP($A564,Text_1_2[[Text.1.1.3]:[Text.1.3]],2,FALSE),"")</f>
        <v/>
      </c>
      <c r="P564" s="2"/>
    </row>
    <row r="565" spans="1:16" x14ac:dyDescent="0.25">
      <c r="A565" s="1">
        <v>38322</v>
      </c>
      <c r="B565">
        <f>HLOOKUP(Dashboard!$I$27,results,ROW(A565),FALSE)</f>
        <v>0.1386735572782084</v>
      </c>
      <c r="C565">
        <f>IFERROR(VLOOKUP(A565,observations_series_id_PCU22112222112243_api_key_ecc133893ea92a842ee685c73424608[],2,FALSE),"")</f>
        <v>122.9</v>
      </c>
      <c r="D565" s="2">
        <f>IFERROR(VLOOKUP(A565,observations_series_id_PCU22112222112243_api_key_ecc133893ea92a842ee685c73424608[],3,FALSE),"")</f>
        <v>0.85842148087876324</v>
      </c>
      <c r="E565" t="str">
        <f>IFERROR(VLOOKUP($A565,observations_series_id_WPU0613020T_api_key_ecc133893ea92a842ee685c734246086_file[],2,FALSE),"")</f>
        <v/>
      </c>
      <c r="F565" s="2" t="str">
        <f>IFERROR(VLOOKUP($A565,observations_series_id_WPU0613020T_api_key_ecc133893ea92a842ee685c734246086_file[],3,FALSE),"")</f>
        <v/>
      </c>
      <c r="G565">
        <f>IFERROR(VLOOKUP($A565,observations_series_id_PCU22122212_api_key_ecc133893ea92a842ee685c734246086_file[],2,FALSE),"")</f>
        <v>116.1</v>
      </c>
      <c r="H565" s="2">
        <f>IFERROR(VLOOKUP($A565,observations_series_id_PCU22122212_api_key_ecc133893ea92a842ee685c734246086_file[],3,FALSE),"")</f>
        <v>0.1386735572782084</v>
      </c>
      <c r="I565">
        <f>IFERROR(VLOOKUP($A565,observations_series_id_PCU3241913241910_api_key_ecc133893ea92a842ee685c734246086[],2,FALSE),"")</f>
        <v>209.8</v>
      </c>
      <c r="J565" s="2">
        <f>IFERROR(VLOOKUP($A565,observations_series_id_PCU3241913241910_api_key_ecc133893ea92a842ee685c734246086[],3,FALSE),"")</f>
        <v>0.75500476644423264</v>
      </c>
      <c r="K565">
        <f>IFERROR(VLOOKUP($A565,observations_series_id_EXJPUS_api_key_ecc133893ea92a842ee685c734246086_file_type[],2,FALSE),"")</f>
        <v>103.8104</v>
      </c>
      <c r="L565" s="2">
        <f>IFERROR(VLOOKUP($A565,observations_series_id_EXJPUS_api_key_ecc133893ea92a842ee685c734246086_file_type[],3,FALSE),"")</f>
        <v>-2.4487874047301617</v>
      </c>
      <c r="M565" t="str">
        <f>IFERROR(AVERAGEIFS(timeseries_access_key_fqeas14oitk235763mntlb1c0brnk9w3fenzqbk313q5kvxyf52kukw1pa[Value.LME-ZNC],timeseries_access_key_fqeas14oitk235763mntlb1c0brnk9w3fenzqbk313q5kvxyf52kukw1pa[Month],MONTH(Data!$A565),timeseries_access_key_fqeas14oitk235763mntlb1c0brnk9w3fenzqbk313q5kvxyf52kukw1pa[Year],YEAR(Data!$A565)),"")</f>
        <v/>
      </c>
      <c r="N565" s="2" t="str">
        <f>IFERROR(AVERAGEIFS(timeseries_access_key_fqeas14oitk235763mntlb1c0brnk9w3fenzqbk313q5kvxyf52kukw1pa[Column1],timeseries_access_key_fqeas14oitk235763mntlb1c0brnk9w3fenzqbk313q5kvxyf52kukw1pa[Month],MONTH(Data!$A565),timeseries_access_key_fqeas14oitk235763mntlb1c0brnk9w3fenzqbk313q5kvxyf52kukw1pa[Year],YEAR(Data!$A565)),"")</f>
        <v/>
      </c>
      <c r="O565" s="8" t="str">
        <f>IFERROR(VLOOKUP($A565,Text_1_2[[Text.1.1.3]:[Text.1.3]],2,FALSE),"")</f>
        <v/>
      </c>
      <c r="P565" s="2"/>
    </row>
    <row r="566" spans="1:16" x14ac:dyDescent="0.25">
      <c r="A566" s="1">
        <v>38353</v>
      </c>
      <c r="B566">
        <f>HLOOKUP(Dashboard!$I$27,results,ROW(A566),FALSE)</f>
        <v>0.12434325744308239</v>
      </c>
      <c r="C566">
        <f>IFERROR(VLOOKUP(A566,observations_series_id_PCU22112222112243_api_key_ecc133893ea92a842ee685c73424608[],2,FALSE),"")</f>
        <v>125.2</v>
      </c>
      <c r="D566" s="2">
        <f>IFERROR(VLOOKUP(A566,observations_series_id_PCU22112222112243_api_key_ecc133893ea92a842ee685c73424608[],3,FALSE),"")</f>
        <v>0.86102236421725242</v>
      </c>
      <c r="E566" t="str">
        <f>IFERROR(VLOOKUP($A566,observations_series_id_WPU0613020T_api_key_ecc133893ea92a842ee685c734246086_file[],2,FALSE),"")</f>
        <v/>
      </c>
      <c r="F566" s="2" t="str">
        <f>IFERROR(VLOOKUP($A566,observations_series_id_WPU0613020T_api_key_ecc133893ea92a842ee685c734246086_file[],3,FALSE),"")</f>
        <v/>
      </c>
      <c r="G566">
        <f>IFERROR(VLOOKUP($A566,observations_series_id_PCU22122212_api_key_ecc133893ea92a842ee685c734246086_file[],2,FALSE),"")</f>
        <v>114.2</v>
      </c>
      <c r="H566" s="2">
        <f>IFERROR(VLOOKUP($A566,observations_series_id_PCU22122212_api_key_ecc133893ea92a842ee685c734246086_file[],3,FALSE),"")</f>
        <v>0.12434325744308239</v>
      </c>
      <c r="I566">
        <f>IFERROR(VLOOKUP($A566,observations_series_id_PCU3241913241910_api_key_ecc133893ea92a842ee685c734246086[],2,FALSE),"")</f>
        <v>212.7</v>
      </c>
      <c r="J566" s="2">
        <f>IFERROR(VLOOKUP($A566,observations_series_id_PCU3241913241910_api_key_ecc133893ea92a842ee685c734246086[],3,FALSE),"")</f>
        <v>0.75834508697696279</v>
      </c>
      <c r="K566">
        <f>IFERROR(VLOOKUP($A566,observations_series_id_EXJPUS_api_key_ecc133893ea92a842ee685c734246086_file_type[],2,FALSE),"")</f>
        <v>103.34099999999999</v>
      </c>
      <c r="L566" s="2">
        <f>IFERROR(VLOOKUP($A566,observations_series_id_EXJPUS_api_key_ecc133893ea92a842ee685c734246086_file_type[],3,FALSE),"")</f>
        <v>-2.4644526373849684</v>
      </c>
      <c r="M566" t="str">
        <f>IFERROR(AVERAGEIFS(timeseries_access_key_fqeas14oitk235763mntlb1c0brnk9w3fenzqbk313q5kvxyf52kukw1pa[Value.LME-ZNC],timeseries_access_key_fqeas14oitk235763mntlb1c0brnk9w3fenzqbk313q5kvxyf52kukw1pa[Month],MONTH(Data!$A566),timeseries_access_key_fqeas14oitk235763mntlb1c0brnk9w3fenzqbk313q5kvxyf52kukw1pa[Year],YEAR(Data!$A566)),"")</f>
        <v/>
      </c>
      <c r="N566" s="2" t="str">
        <f>IFERROR(AVERAGEIFS(timeseries_access_key_fqeas14oitk235763mntlb1c0brnk9w3fenzqbk313q5kvxyf52kukw1pa[Column1],timeseries_access_key_fqeas14oitk235763mntlb1c0brnk9w3fenzqbk313q5kvxyf52kukw1pa[Month],MONTH(Data!$A566),timeseries_access_key_fqeas14oitk235763mntlb1c0brnk9w3fenzqbk313q5kvxyf52kukw1pa[Year],YEAR(Data!$A566)),"")</f>
        <v/>
      </c>
      <c r="O566" s="8">
        <f>IFERROR(VLOOKUP($A566,Text_1_2[[Text.1.1.3]:[Text.1.3]],2,FALSE),"")</f>
        <v>33200</v>
      </c>
      <c r="P566" s="2"/>
    </row>
    <row r="567" spans="1:16" x14ac:dyDescent="0.25">
      <c r="A567" s="1">
        <v>38384</v>
      </c>
      <c r="B567">
        <f>HLOOKUP(Dashboard!$I$27,results,ROW(A567),FALSE)</f>
        <v>0.11504424778761058</v>
      </c>
      <c r="C567">
        <f>IFERROR(VLOOKUP(A567,observations_series_id_PCU22112222112243_api_key_ecc133893ea92a842ee685c73424608[],2,FALSE),"")</f>
        <v>124.5</v>
      </c>
      <c r="D567" s="2">
        <f>IFERROR(VLOOKUP(A567,observations_series_id_PCU22112222112243_api_key_ecc133893ea92a842ee685c73424608[],3,FALSE),"")</f>
        <v>0.8602409638554217</v>
      </c>
      <c r="E567" t="str">
        <f>IFERROR(VLOOKUP($A567,observations_series_id_WPU0613020T_api_key_ecc133893ea92a842ee685c734246086_file[],2,FALSE),"")</f>
        <v/>
      </c>
      <c r="F567" s="2" t="str">
        <f>IFERROR(VLOOKUP($A567,observations_series_id_WPU0613020T_api_key_ecc133893ea92a842ee685c734246086_file[],3,FALSE),"")</f>
        <v/>
      </c>
      <c r="G567">
        <f>IFERROR(VLOOKUP($A567,observations_series_id_PCU22122212_api_key_ecc133893ea92a842ee685c734246086_file[],2,FALSE),"")</f>
        <v>113</v>
      </c>
      <c r="H567" s="2">
        <f>IFERROR(VLOOKUP($A567,observations_series_id_PCU22122212_api_key_ecc133893ea92a842ee685c734246086_file[],3,FALSE),"")</f>
        <v>0.11504424778761058</v>
      </c>
      <c r="I567">
        <f>IFERROR(VLOOKUP($A567,observations_series_id_PCU3241913241910_api_key_ecc133893ea92a842ee685c734246086[],2,FALSE),"")</f>
        <v>214.3</v>
      </c>
      <c r="J567" s="2">
        <f>IFERROR(VLOOKUP($A567,observations_series_id_PCU3241913241910_api_key_ecc133893ea92a842ee685c734246086[],3,FALSE),"")</f>
        <v>0.76014932337844143</v>
      </c>
      <c r="K567">
        <f>IFERROR(VLOOKUP($A567,observations_series_id_EXJPUS_api_key_ecc133893ea92a842ee685c734246086_file_type[],2,FALSE),"")</f>
        <v>104.9442</v>
      </c>
      <c r="L567" s="2">
        <f>IFERROR(VLOOKUP($A567,observations_series_id_EXJPUS_api_key_ecc133893ea92a842ee685c734246086_file_type[],3,FALSE),"")</f>
        <v>-2.4115272687771214</v>
      </c>
      <c r="M567" t="str">
        <f>IFERROR(AVERAGEIFS(timeseries_access_key_fqeas14oitk235763mntlb1c0brnk9w3fenzqbk313q5kvxyf52kukw1pa[Value.LME-ZNC],timeseries_access_key_fqeas14oitk235763mntlb1c0brnk9w3fenzqbk313q5kvxyf52kukw1pa[Month],MONTH(Data!$A567),timeseries_access_key_fqeas14oitk235763mntlb1c0brnk9w3fenzqbk313q5kvxyf52kukw1pa[Year],YEAR(Data!$A567)),"")</f>
        <v/>
      </c>
      <c r="N567" s="2" t="str">
        <f>IFERROR(AVERAGEIFS(timeseries_access_key_fqeas14oitk235763mntlb1c0brnk9w3fenzqbk313q5kvxyf52kukw1pa[Column1],timeseries_access_key_fqeas14oitk235763mntlb1c0brnk9w3fenzqbk313q5kvxyf52kukw1pa[Month],MONTH(Data!$A567),timeseries_access_key_fqeas14oitk235763mntlb1c0brnk9w3fenzqbk313q5kvxyf52kukw1pa[Year],YEAR(Data!$A567)),"")</f>
        <v/>
      </c>
      <c r="O567" s="8" t="str">
        <f>IFERROR(VLOOKUP($A567,Text_1_2[[Text.1.1.3]:[Text.1.3]],2,FALSE),"")</f>
        <v/>
      </c>
      <c r="P567" s="2"/>
    </row>
    <row r="568" spans="1:16" x14ac:dyDescent="0.25">
      <c r="A568" s="1">
        <v>38412</v>
      </c>
      <c r="B568">
        <f>HLOOKUP(Dashboard!$I$27,results,ROW(A568),FALSE)</f>
        <v>0.11347517730496448</v>
      </c>
      <c r="C568">
        <f>IFERROR(VLOOKUP(A568,observations_series_id_PCU22112222112243_api_key_ecc133893ea92a842ee685c73424608[],2,FALSE),"")</f>
        <v>124.6</v>
      </c>
      <c r="D568" s="2">
        <f>IFERROR(VLOOKUP(A568,observations_series_id_PCU22112222112243_api_key_ecc133893ea92a842ee685c73424608[],3,FALSE),"")</f>
        <v>0.8603531300160514</v>
      </c>
      <c r="E568" t="str">
        <f>IFERROR(VLOOKUP($A568,observations_series_id_WPU0613020T_api_key_ecc133893ea92a842ee685c734246086_file[],2,FALSE),"")</f>
        <v/>
      </c>
      <c r="F568" s="2" t="str">
        <f>IFERROR(VLOOKUP($A568,observations_series_id_WPU0613020T_api_key_ecc133893ea92a842ee685c734246086_file[],3,FALSE),"")</f>
        <v/>
      </c>
      <c r="G568">
        <f>IFERROR(VLOOKUP($A568,observations_series_id_PCU22122212_api_key_ecc133893ea92a842ee685c734246086_file[],2,FALSE),"")</f>
        <v>112.8</v>
      </c>
      <c r="H568" s="2">
        <f>IFERROR(VLOOKUP($A568,observations_series_id_PCU22122212_api_key_ecc133893ea92a842ee685c734246086_file[],3,FALSE),"")</f>
        <v>0.11347517730496448</v>
      </c>
      <c r="I568">
        <f>IFERROR(VLOOKUP($A568,observations_series_id_PCU3241913241910_api_key_ecc133893ea92a842ee685c734246086[],2,FALSE),"")</f>
        <v>218.7</v>
      </c>
      <c r="J568" s="2">
        <f>IFERROR(VLOOKUP($A568,observations_series_id_PCU3241913241910_api_key_ecc133893ea92a842ee685c734246086[],3,FALSE),"")</f>
        <v>0.76497485139460442</v>
      </c>
      <c r="K568">
        <f>IFERROR(VLOOKUP($A568,observations_series_id_EXJPUS_api_key_ecc133893ea92a842ee685c734246086_file_type[],2,FALSE),"")</f>
        <v>105.2543</v>
      </c>
      <c r="L568" s="2">
        <f>IFERROR(VLOOKUP($A568,observations_series_id_EXJPUS_api_key_ecc133893ea92a842ee685c734246086_file_type[],3,FALSE),"")</f>
        <v>-2.4014762342251097</v>
      </c>
      <c r="M568" t="str">
        <f>IFERROR(AVERAGEIFS(timeseries_access_key_fqeas14oitk235763mntlb1c0brnk9w3fenzqbk313q5kvxyf52kukw1pa[Value.LME-ZNC],timeseries_access_key_fqeas14oitk235763mntlb1c0brnk9w3fenzqbk313q5kvxyf52kukw1pa[Month],MONTH(Data!$A568),timeseries_access_key_fqeas14oitk235763mntlb1c0brnk9w3fenzqbk313q5kvxyf52kukw1pa[Year],YEAR(Data!$A568)),"")</f>
        <v/>
      </c>
      <c r="N568" s="2" t="str">
        <f>IFERROR(AVERAGEIFS(timeseries_access_key_fqeas14oitk235763mntlb1c0brnk9w3fenzqbk313q5kvxyf52kukw1pa[Column1],timeseries_access_key_fqeas14oitk235763mntlb1c0brnk9w3fenzqbk313q5kvxyf52kukw1pa[Month],MONTH(Data!$A568),timeseries_access_key_fqeas14oitk235763mntlb1c0brnk9w3fenzqbk313q5kvxyf52kukw1pa[Year],YEAR(Data!$A568)),"")</f>
        <v/>
      </c>
      <c r="O568" s="8" t="str">
        <f>IFERROR(VLOOKUP($A568,Text_1_2[[Text.1.1.3]:[Text.1.3]],2,FALSE),"")</f>
        <v/>
      </c>
      <c r="P568" s="2"/>
    </row>
    <row r="569" spans="1:16" x14ac:dyDescent="0.25">
      <c r="A569" s="1">
        <v>38443</v>
      </c>
      <c r="B569">
        <f>HLOOKUP(Dashboard!$I$27,results,ROW(A569),FALSE)</f>
        <v>0.15611814345991559</v>
      </c>
      <c r="C569">
        <f>IFERROR(VLOOKUP(A569,observations_series_id_PCU22112222112243_api_key_ecc133893ea92a842ee685c73424608[],2,FALSE),"")</f>
        <v>125</v>
      </c>
      <c r="D569" s="2">
        <f>IFERROR(VLOOKUP(A569,observations_series_id_PCU22112222112243_api_key_ecc133893ea92a842ee685c73424608[],3,FALSE),"")</f>
        <v>0.86080000000000001</v>
      </c>
      <c r="E569" t="str">
        <f>IFERROR(VLOOKUP($A569,observations_series_id_WPU0613020T_api_key_ecc133893ea92a842ee685c734246086_file[],2,FALSE),"")</f>
        <v/>
      </c>
      <c r="F569" s="2" t="str">
        <f>IFERROR(VLOOKUP($A569,observations_series_id_WPU0613020T_api_key_ecc133893ea92a842ee685c734246086_file[],3,FALSE),"")</f>
        <v/>
      </c>
      <c r="G569">
        <f>IFERROR(VLOOKUP($A569,observations_series_id_PCU22122212_api_key_ecc133893ea92a842ee685c734246086_file[],2,FALSE),"")</f>
        <v>118.5</v>
      </c>
      <c r="H569" s="2">
        <f>IFERROR(VLOOKUP($A569,observations_series_id_PCU22122212_api_key_ecc133893ea92a842ee685c734246086_file[],3,FALSE),"")</f>
        <v>0.15611814345991559</v>
      </c>
      <c r="I569">
        <f>IFERROR(VLOOKUP($A569,observations_series_id_PCU3241913241910_api_key_ecc133893ea92a842ee685c734246086[],2,FALSE),"")</f>
        <v>222.2</v>
      </c>
      <c r="J569" s="2">
        <f>IFERROR(VLOOKUP($A569,observations_series_id_PCU3241913241910_api_key_ecc133893ea92a842ee685c734246086[],3,FALSE),"")</f>
        <v>0.76867686768676868</v>
      </c>
      <c r="K569">
        <f>IFERROR(VLOOKUP($A569,observations_series_id_EXJPUS_api_key_ecc133893ea92a842ee685c734246086_file_type[],2,FALSE),"")</f>
        <v>107.1938</v>
      </c>
      <c r="L569" s="2">
        <f>IFERROR(VLOOKUP($A569,observations_series_id_EXJPUS_api_key_ecc133893ea92a842ee685c734246086_file_type[],3,FALSE),"")</f>
        <v>-2.3399319736775821</v>
      </c>
      <c r="M569" t="str">
        <f>IFERROR(AVERAGEIFS(timeseries_access_key_fqeas14oitk235763mntlb1c0brnk9w3fenzqbk313q5kvxyf52kukw1pa[Value.LME-ZNC],timeseries_access_key_fqeas14oitk235763mntlb1c0brnk9w3fenzqbk313q5kvxyf52kukw1pa[Month],MONTH(Data!$A569),timeseries_access_key_fqeas14oitk235763mntlb1c0brnk9w3fenzqbk313q5kvxyf52kukw1pa[Year],YEAR(Data!$A569)),"")</f>
        <v/>
      </c>
      <c r="N569" s="2" t="str">
        <f>IFERROR(AVERAGEIFS(timeseries_access_key_fqeas14oitk235763mntlb1c0brnk9w3fenzqbk313q5kvxyf52kukw1pa[Column1],timeseries_access_key_fqeas14oitk235763mntlb1c0brnk9w3fenzqbk313q5kvxyf52kukw1pa[Month],MONTH(Data!$A569),timeseries_access_key_fqeas14oitk235763mntlb1c0brnk9w3fenzqbk313q5kvxyf52kukw1pa[Year],YEAR(Data!$A569)),"")</f>
        <v/>
      </c>
      <c r="O569" s="8">
        <f>IFERROR(VLOOKUP($A569,Text_1_2[[Text.1.1.3]:[Text.1.3]],2,FALSE),"")</f>
        <v>36900</v>
      </c>
      <c r="P569" s="2"/>
    </row>
    <row r="570" spans="1:16" x14ac:dyDescent="0.25">
      <c r="A570" s="1">
        <v>38473</v>
      </c>
      <c r="B570">
        <f>HLOOKUP(Dashboard!$I$27,results,ROW(A570),FALSE)</f>
        <v>0.14821124361158433</v>
      </c>
      <c r="C570">
        <f>IFERROR(VLOOKUP(A570,observations_series_id_PCU22112222112243_api_key_ecc133893ea92a842ee685c73424608[],2,FALSE),"")</f>
        <v>127</v>
      </c>
      <c r="D570" s="2">
        <f>IFERROR(VLOOKUP(A570,observations_series_id_PCU22112222112243_api_key_ecc133893ea92a842ee685c73424608[],3,FALSE),"")</f>
        <v>0.86299212598425201</v>
      </c>
      <c r="E570" t="str">
        <f>IFERROR(VLOOKUP($A570,observations_series_id_WPU0613020T_api_key_ecc133893ea92a842ee685c734246086_file[],2,FALSE),"")</f>
        <v/>
      </c>
      <c r="F570" s="2" t="str">
        <f>IFERROR(VLOOKUP($A570,observations_series_id_WPU0613020T_api_key_ecc133893ea92a842ee685c734246086_file[],3,FALSE),"")</f>
        <v/>
      </c>
      <c r="G570">
        <f>IFERROR(VLOOKUP($A570,observations_series_id_PCU22122212_api_key_ecc133893ea92a842ee685c734246086_file[],2,FALSE),"")</f>
        <v>117.4</v>
      </c>
      <c r="H570" s="2">
        <f>IFERROR(VLOOKUP($A570,observations_series_id_PCU22122212_api_key_ecc133893ea92a842ee685c734246086_file[],3,FALSE),"")</f>
        <v>0.14821124361158433</v>
      </c>
      <c r="I570">
        <f>IFERROR(VLOOKUP($A570,observations_series_id_PCU3241913241910_api_key_ecc133893ea92a842ee685c734246086[],2,FALSE),"")</f>
        <v>229.2</v>
      </c>
      <c r="J570" s="2">
        <f>IFERROR(VLOOKUP($A570,observations_series_id_PCU3241913241910_api_key_ecc133893ea92a842ee685c734246086[],3,FALSE),"")</f>
        <v>0.77574171029668415</v>
      </c>
      <c r="K570">
        <f>IFERROR(VLOOKUP($A570,observations_series_id_EXJPUS_api_key_ecc133893ea92a842ee685c734246086_file_type[],2,FALSE),"")</f>
        <v>106.59520000000001</v>
      </c>
      <c r="L570" s="2">
        <f>IFERROR(VLOOKUP($A570,observations_series_id_EXJPUS_api_key_ecc133893ea92a842ee685c734246086_file_type[],3,FALSE),"")</f>
        <v>-2.3586878208399624</v>
      </c>
      <c r="M570" t="str">
        <f>IFERROR(AVERAGEIFS(timeseries_access_key_fqeas14oitk235763mntlb1c0brnk9w3fenzqbk313q5kvxyf52kukw1pa[Value.LME-ZNC],timeseries_access_key_fqeas14oitk235763mntlb1c0brnk9w3fenzqbk313q5kvxyf52kukw1pa[Month],MONTH(Data!$A570),timeseries_access_key_fqeas14oitk235763mntlb1c0brnk9w3fenzqbk313q5kvxyf52kukw1pa[Year],YEAR(Data!$A570)),"")</f>
        <v/>
      </c>
      <c r="N570" s="2" t="str">
        <f>IFERROR(AVERAGEIFS(timeseries_access_key_fqeas14oitk235763mntlb1c0brnk9w3fenzqbk313q5kvxyf52kukw1pa[Column1],timeseries_access_key_fqeas14oitk235763mntlb1c0brnk9w3fenzqbk313q5kvxyf52kukw1pa[Month],MONTH(Data!$A570),timeseries_access_key_fqeas14oitk235763mntlb1c0brnk9w3fenzqbk313q5kvxyf52kukw1pa[Year],YEAR(Data!$A570)),"")</f>
        <v/>
      </c>
      <c r="O570" s="8" t="str">
        <f>IFERROR(VLOOKUP($A570,Text_1_2[[Text.1.1.3]:[Text.1.3]],2,FALSE),"")</f>
        <v/>
      </c>
      <c r="P570" s="2"/>
    </row>
    <row r="571" spans="1:16" x14ac:dyDescent="0.25">
      <c r="A571" s="1">
        <v>38504</v>
      </c>
      <c r="B571">
        <f>HLOOKUP(Dashboard!$I$27,results,ROW(A571),FALSE)</f>
        <v>0.1296779808529156</v>
      </c>
      <c r="C571">
        <f>IFERROR(VLOOKUP(A571,observations_series_id_PCU22112222112243_api_key_ecc133893ea92a842ee685c73424608[],2,FALSE),"")</f>
        <v>134.19999999999999</v>
      </c>
      <c r="D571" s="2">
        <f>IFERROR(VLOOKUP(A571,observations_series_id_PCU22112222112243_api_key_ecc133893ea92a842ee685c73424608[],3,FALSE),"")</f>
        <v>0.87034277198211618</v>
      </c>
      <c r="E571" t="str">
        <f>IFERROR(VLOOKUP($A571,observations_series_id_WPU0613020T_api_key_ecc133893ea92a842ee685c734246086_file[],2,FALSE),"")</f>
        <v/>
      </c>
      <c r="F571" s="2" t="str">
        <f>IFERROR(VLOOKUP($A571,observations_series_id_WPU0613020T_api_key_ecc133893ea92a842ee685c734246086_file[],3,FALSE),"")</f>
        <v/>
      </c>
      <c r="G571">
        <f>IFERROR(VLOOKUP($A571,observations_series_id_PCU22122212_api_key_ecc133893ea92a842ee685c734246086_file[],2,FALSE),"")</f>
        <v>114.9</v>
      </c>
      <c r="H571" s="2">
        <f>IFERROR(VLOOKUP($A571,observations_series_id_PCU22122212_api_key_ecc133893ea92a842ee685c734246086_file[],3,FALSE),"")</f>
        <v>0.1296779808529156</v>
      </c>
      <c r="I571">
        <f>IFERROR(VLOOKUP($A571,observations_series_id_PCU3241913241910_api_key_ecc133893ea92a842ee685c734246086[],2,FALSE),"")</f>
        <v>228.9</v>
      </c>
      <c r="J571" s="2">
        <f>IFERROR(VLOOKUP($A571,observations_series_id_PCU3241913241910_api_key_ecc133893ea92a842ee685c734246086[],3,FALSE),"")</f>
        <v>0.77544779379641771</v>
      </c>
      <c r="K571">
        <f>IFERROR(VLOOKUP($A571,observations_series_id_EXJPUS_api_key_ecc133893ea92a842ee685c734246086_file_type[],2,FALSE),"")</f>
        <v>108.7473</v>
      </c>
      <c r="L571" s="2">
        <f>IFERROR(VLOOKUP($A571,observations_series_id_EXJPUS_api_key_ecc133893ea92a842ee685c734246086_file_type[],3,FALSE),"")</f>
        <v>-2.2922196689021246</v>
      </c>
      <c r="M571" t="str">
        <f>IFERROR(AVERAGEIFS(timeseries_access_key_fqeas14oitk235763mntlb1c0brnk9w3fenzqbk313q5kvxyf52kukw1pa[Value.LME-ZNC],timeseries_access_key_fqeas14oitk235763mntlb1c0brnk9w3fenzqbk313q5kvxyf52kukw1pa[Month],MONTH(Data!$A571),timeseries_access_key_fqeas14oitk235763mntlb1c0brnk9w3fenzqbk313q5kvxyf52kukw1pa[Year],YEAR(Data!$A571)),"")</f>
        <v/>
      </c>
      <c r="N571" s="2" t="str">
        <f>IFERROR(AVERAGEIFS(timeseries_access_key_fqeas14oitk235763mntlb1c0brnk9w3fenzqbk313q5kvxyf52kukw1pa[Column1],timeseries_access_key_fqeas14oitk235763mntlb1c0brnk9w3fenzqbk313q5kvxyf52kukw1pa[Month],MONTH(Data!$A571),timeseries_access_key_fqeas14oitk235763mntlb1c0brnk9w3fenzqbk313q5kvxyf52kukw1pa[Year],YEAR(Data!$A571)),"")</f>
        <v/>
      </c>
      <c r="O571" s="8" t="str">
        <f>IFERROR(VLOOKUP($A571,Text_1_2[[Text.1.1.3]:[Text.1.3]],2,FALSE),"")</f>
        <v/>
      </c>
      <c r="P571" s="2"/>
    </row>
    <row r="572" spans="1:16" x14ac:dyDescent="0.25">
      <c r="A572" s="1">
        <v>38534</v>
      </c>
      <c r="B572">
        <f>HLOOKUP(Dashboard!$I$27,results,ROW(A572),FALSE)</f>
        <v>0.16107382550335569</v>
      </c>
      <c r="C572">
        <f>IFERROR(VLOOKUP(A572,observations_series_id_PCU22112222112243_api_key_ecc133893ea92a842ee685c73424608[],2,FALSE),"")</f>
        <v>136.30000000000001</v>
      </c>
      <c r="D572" s="2">
        <f>IFERROR(VLOOKUP(A572,observations_series_id_PCU22112222112243_api_key_ecc133893ea92a842ee685c73424608[],3,FALSE),"")</f>
        <v>0.87234042553191493</v>
      </c>
      <c r="E572" t="str">
        <f>IFERROR(VLOOKUP($A572,observations_series_id_WPU0613020T_api_key_ecc133893ea92a842ee685c734246086_file[],2,FALSE),"")</f>
        <v/>
      </c>
      <c r="F572" s="2" t="str">
        <f>IFERROR(VLOOKUP($A572,observations_series_id_WPU0613020T_api_key_ecc133893ea92a842ee685c734246086_file[],3,FALSE),"")</f>
        <v/>
      </c>
      <c r="G572">
        <f>IFERROR(VLOOKUP($A572,observations_series_id_PCU22122212_api_key_ecc133893ea92a842ee685c734246086_file[],2,FALSE),"")</f>
        <v>119.2</v>
      </c>
      <c r="H572" s="2">
        <f>IFERROR(VLOOKUP($A572,observations_series_id_PCU22122212_api_key_ecc133893ea92a842ee685c734246086_file[],3,FALSE),"")</f>
        <v>0.16107382550335569</v>
      </c>
      <c r="I572">
        <f>IFERROR(VLOOKUP($A572,observations_series_id_PCU3241913241910_api_key_ecc133893ea92a842ee685c734246086[],2,FALSE),"")</f>
        <v>231.7</v>
      </c>
      <c r="J572" s="2">
        <f>IFERROR(VLOOKUP($A572,observations_series_id_PCU3241913241910_api_key_ecc133893ea92a842ee685c734246086[],3,FALSE),"")</f>
        <v>0.77816141562365126</v>
      </c>
      <c r="K572">
        <f>IFERROR(VLOOKUP($A572,observations_series_id_EXJPUS_api_key_ecc133893ea92a842ee685c734246086_file_type[],2,FALSE),"")</f>
        <v>111.95350000000001</v>
      </c>
      <c r="L572" s="2">
        <f>IFERROR(VLOOKUP($A572,observations_series_id_EXJPUS_api_key_ecc133893ea92a842ee685c734246086_file_type[],3,FALSE),"")</f>
        <v>-2.1979348568825445</v>
      </c>
      <c r="M572" t="str">
        <f>IFERROR(AVERAGEIFS(timeseries_access_key_fqeas14oitk235763mntlb1c0brnk9w3fenzqbk313q5kvxyf52kukw1pa[Value.LME-ZNC],timeseries_access_key_fqeas14oitk235763mntlb1c0brnk9w3fenzqbk313q5kvxyf52kukw1pa[Month],MONTH(Data!$A572),timeseries_access_key_fqeas14oitk235763mntlb1c0brnk9w3fenzqbk313q5kvxyf52kukw1pa[Year],YEAR(Data!$A572)),"")</f>
        <v/>
      </c>
      <c r="N572" s="2" t="str">
        <f>IFERROR(AVERAGEIFS(timeseries_access_key_fqeas14oitk235763mntlb1c0brnk9w3fenzqbk313q5kvxyf52kukw1pa[Column1],timeseries_access_key_fqeas14oitk235763mntlb1c0brnk9w3fenzqbk313q5kvxyf52kukw1pa[Month],MONTH(Data!$A572),timeseries_access_key_fqeas14oitk235763mntlb1c0brnk9w3fenzqbk313q5kvxyf52kukw1pa[Year],YEAR(Data!$A572)),"")</f>
        <v/>
      </c>
      <c r="O572" s="8">
        <f>IFERROR(VLOOKUP($A572,Text_1_2[[Text.1.1.3]:[Text.1.3]],2,FALSE),"")</f>
        <v>39100</v>
      </c>
      <c r="P572" s="2"/>
    </row>
    <row r="573" spans="1:16" x14ac:dyDescent="0.25">
      <c r="A573" s="1">
        <v>38565</v>
      </c>
      <c r="B573">
        <f>HLOOKUP(Dashboard!$I$27,results,ROW(A573),FALSE)</f>
        <v>0.17695473251028804</v>
      </c>
      <c r="C573">
        <f>IFERROR(VLOOKUP(A573,observations_series_id_PCU22112222112243_api_key_ecc133893ea92a842ee685c73424608[],2,FALSE),"")</f>
        <v>136.6</v>
      </c>
      <c r="D573" s="2">
        <f>IFERROR(VLOOKUP(A573,observations_series_id_PCU22112222112243_api_key_ecc133893ea92a842ee685c73424608[],3,FALSE),"")</f>
        <v>0.87262079062957543</v>
      </c>
      <c r="E573" t="str">
        <f>IFERROR(VLOOKUP($A573,observations_series_id_WPU0613020T_api_key_ecc133893ea92a842ee685c734246086_file[],2,FALSE),"")</f>
        <v/>
      </c>
      <c r="F573" s="2" t="str">
        <f>IFERROR(VLOOKUP($A573,observations_series_id_WPU0613020T_api_key_ecc133893ea92a842ee685c734246086_file[],3,FALSE),"")</f>
        <v/>
      </c>
      <c r="G573">
        <f>IFERROR(VLOOKUP($A573,observations_series_id_PCU22122212_api_key_ecc133893ea92a842ee685c734246086_file[],2,FALSE),"")</f>
        <v>121.5</v>
      </c>
      <c r="H573" s="2">
        <f>IFERROR(VLOOKUP($A573,observations_series_id_PCU22122212_api_key_ecc133893ea92a842ee685c734246086_file[],3,FALSE),"")</f>
        <v>0.17695473251028804</v>
      </c>
      <c r="I573">
        <f>IFERROR(VLOOKUP($A573,observations_series_id_PCU3241913241910_api_key_ecc133893ea92a842ee685c734246086[],2,FALSE),"")</f>
        <v>241</v>
      </c>
      <c r="J573" s="2">
        <f>IFERROR(VLOOKUP($A573,observations_series_id_PCU3241913241910_api_key_ecc133893ea92a842ee685c734246086[],3,FALSE),"")</f>
        <v>0.78672199170124479</v>
      </c>
      <c r="K573">
        <f>IFERROR(VLOOKUP($A573,observations_series_id_EXJPUS_api_key_ecc133893ea92a842ee685c734246086_file_type[],2,FALSE),"")</f>
        <v>110.6065</v>
      </c>
      <c r="L573" s="2">
        <f>IFERROR(VLOOKUP($A573,observations_series_id_EXJPUS_api_key_ecc133893ea92a842ee685c734246086_file_type[],3,FALSE),"")</f>
        <v>-2.236880291845416</v>
      </c>
      <c r="M573" t="str">
        <f>IFERROR(AVERAGEIFS(timeseries_access_key_fqeas14oitk235763mntlb1c0brnk9w3fenzqbk313q5kvxyf52kukw1pa[Value.LME-ZNC],timeseries_access_key_fqeas14oitk235763mntlb1c0brnk9w3fenzqbk313q5kvxyf52kukw1pa[Month],MONTH(Data!$A573),timeseries_access_key_fqeas14oitk235763mntlb1c0brnk9w3fenzqbk313q5kvxyf52kukw1pa[Year],YEAR(Data!$A573)),"")</f>
        <v/>
      </c>
      <c r="N573" s="2" t="str">
        <f>IFERROR(AVERAGEIFS(timeseries_access_key_fqeas14oitk235763mntlb1c0brnk9w3fenzqbk313q5kvxyf52kukw1pa[Column1],timeseries_access_key_fqeas14oitk235763mntlb1c0brnk9w3fenzqbk313q5kvxyf52kukw1pa[Month],MONTH(Data!$A573),timeseries_access_key_fqeas14oitk235763mntlb1c0brnk9w3fenzqbk313q5kvxyf52kukw1pa[Year],YEAR(Data!$A573)),"")</f>
        <v/>
      </c>
      <c r="O573" s="8" t="str">
        <f>IFERROR(VLOOKUP($A573,Text_1_2[[Text.1.1.3]:[Text.1.3]],2,FALSE),"")</f>
        <v/>
      </c>
      <c r="P573" s="2"/>
    </row>
    <row r="574" spans="1:16" x14ac:dyDescent="0.25">
      <c r="A574" s="1">
        <v>38596</v>
      </c>
      <c r="B574">
        <f>HLOOKUP(Dashboard!$I$27,results,ROW(A574),FALSE)</f>
        <v>0.25980754996299038</v>
      </c>
      <c r="C574">
        <f>IFERROR(VLOOKUP(A574,observations_series_id_PCU22112222112243_api_key_ecc133893ea92a842ee685c73424608[],2,FALSE),"")</f>
        <v>136.9</v>
      </c>
      <c r="D574" s="2">
        <f>IFERROR(VLOOKUP(A574,observations_series_id_PCU22112222112243_api_key_ecc133893ea92a842ee685c73424608[],3,FALSE),"")</f>
        <v>0.872899926953981</v>
      </c>
      <c r="E574" t="str">
        <f>IFERROR(VLOOKUP($A574,observations_series_id_WPU0613020T_api_key_ecc133893ea92a842ee685c734246086_file[],2,FALSE),"")</f>
        <v/>
      </c>
      <c r="F574" s="2" t="str">
        <f>IFERROR(VLOOKUP($A574,observations_series_id_WPU0613020T_api_key_ecc133893ea92a842ee685c734246086_file[],3,FALSE),"")</f>
        <v/>
      </c>
      <c r="G574">
        <f>IFERROR(VLOOKUP($A574,observations_series_id_PCU22122212_api_key_ecc133893ea92a842ee685c734246086_file[],2,FALSE),"")</f>
        <v>135.1</v>
      </c>
      <c r="H574" s="2">
        <f>IFERROR(VLOOKUP($A574,observations_series_id_PCU22122212_api_key_ecc133893ea92a842ee685c734246086_file[],3,FALSE),"")</f>
        <v>0.25980754996299038</v>
      </c>
      <c r="I574">
        <f>IFERROR(VLOOKUP($A574,observations_series_id_PCU3241913241910_api_key_ecc133893ea92a842ee685c734246086[],2,FALSE),"")</f>
        <v>247.9</v>
      </c>
      <c r="J574" s="2">
        <f>IFERROR(VLOOKUP($A574,observations_series_id_PCU3241913241910_api_key_ecc133893ea92a842ee685c734246086[],3,FALSE),"")</f>
        <v>0.79265832997176289</v>
      </c>
      <c r="K574">
        <f>IFERROR(VLOOKUP($A574,observations_series_id_EXJPUS_api_key_ecc133893ea92a842ee685c734246086_file_type[],2,FALSE),"")</f>
        <v>111.239</v>
      </c>
      <c r="L574" s="2">
        <f>IFERROR(VLOOKUP($A574,observations_series_id_EXJPUS_api_key_ecc133893ea92a842ee685c734246086_file_type[],3,FALSE),"")</f>
        <v>-2.2184755346596066</v>
      </c>
      <c r="M574" t="str">
        <f>IFERROR(AVERAGEIFS(timeseries_access_key_fqeas14oitk235763mntlb1c0brnk9w3fenzqbk313q5kvxyf52kukw1pa[Value.LME-ZNC],timeseries_access_key_fqeas14oitk235763mntlb1c0brnk9w3fenzqbk313q5kvxyf52kukw1pa[Month],MONTH(Data!$A574),timeseries_access_key_fqeas14oitk235763mntlb1c0brnk9w3fenzqbk313q5kvxyf52kukw1pa[Year],YEAR(Data!$A574)),"")</f>
        <v/>
      </c>
      <c r="N574" s="2" t="str">
        <f>IFERROR(AVERAGEIFS(timeseries_access_key_fqeas14oitk235763mntlb1c0brnk9w3fenzqbk313q5kvxyf52kukw1pa[Column1],timeseries_access_key_fqeas14oitk235763mntlb1c0brnk9w3fenzqbk313q5kvxyf52kukw1pa[Month],MONTH(Data!$A574),timeseries_access_key_fqeas14oitk235763mntlb1c0brnk9w3fenzqbk313q5kvxyf52kukw1pa[Year],YEAR(Data!$A574)),"")</f>
        <v/>
      </c>
      <c r="O574" s="8" t="str">
        <f>IFERROR(VLOOKUP($A574,Text_1_2[[Text.1.1.3]:[Text.1.3]],2,FALSE),"")</f>
        <v/>
      </c>
      <c r="P574" s="2"/>
    </row>
    <row r="575" spans="1:16" x14ac:dyDescent="0.25">
      <c r="A575" s="1">
        <v>38626</v>
      </c>
      <c r="B575">
        <f>HLOOKUP(Dashboard!$I$27,results,ROW(A575),FALSE)</f>
        <v>0.34080421885299927</v>
      </c>
      <c r="C575">
        <f>IFERROR(VLOOKUP(A575,observations_series_id_PCU22112222112243_api_key_ecc133893ea92a842ee685c73424608[],2,FALSE),"")</f>
        <v>134.19999999999999</v>
      </c>
      <c r="D575" s="2">
        <f>IFERROR(VLOOKUP(A575,observations_series_id_PCU22112222112243_api_key_ecc133893ea92a842ee685c73424608[],3,FALSE),"")</f>
        <v>0.87034277198211618</v>
      </c>
      <c r="E575" t="str">
        <f>IFERROR(VLOOKUP($A575,observations_series_id_WPU0613020T_api_key_ecc133893ea92a842ee685c734246086_file[],2,FALSE),"")</f>
        <v/>
      </c>
      <c r="F575" s="2" t="str">
        <f>IFERROR(VLOOKUP($A575,observations_series_id_WPU0613020T_api_key_ecc133893ea92a842ee685c734246086_file[],3,FALSE),"")</f>
        <v/>
      </c>
      <c r="G575">
        <f>IFERROR(VLOOKUP($A575,observations_series_id_PCU22122212_api_key_ecc133893ea92a842ee685c734246086_file[],2,FALSE),"")</f>
        <v>151.69999999999999</v>
      </c>
      <c r="H575" s="2">
        <f>IFERROR(VLOOKUP($A575,observations_series_id_PCU22122212_api_key_ecc133893ea92a842ee685c734246086_file[],3,FALSE),"")</f>
        <v>0.34080421885299927</v>
      </c>
      <c r="I575">
        <f>IFERROR(VLOOKUP($A575,observations_series_id_PCU3241913241910_api_key_ecc133893ea92a842ee685c734246086[],2,FALSE),"")</f>
        <v>252.2</v>
      </c>
      <c r="J575" s="2">
        <f>IFERROR(VLOOKUP($A575,observations_series_id_PCU3241913241910_api_key_ecc133893ea92a842ee685c734246086[],3,FALSE),"")</f>
        <v>0.79619349722442512</v>
      </c>
      <c r="K575">
        <f>IFERROR(VLOOKUP($A575,observations_series_id_EXJPUS_api_key_ecc133893ea92a842ee685c734246086_file_type[],2,FALSE),"")</f>
        <v>114.8695</v>
      </c>
      <c r="L575" s="2">
        <f>IFERROR(VLOOKUP($A575,observations_series_id_EXJPUS_api_key_ecc133893ea92a842ee685c734246086_file_type[],3,FALSE),"")</f>
        <v>-2.1167542297999034</v>
      </c>
      <c r="M575" t="str">
        <f>IFERROR(AVERAGEIFS(timeseries_access_key_fqeas14oitk235763mntlb1c0brnk9w3fenzqbk313q5kvxyf52kukw1pa[Value.LME-ZNC],timeseries_access_key_fqeas14oitk235763mntlb1c0brnk9w3fenzqbk313q5kvxyf52kukw1pa[Month],MONTH(Data!$A575),timeseries_access_key_fqeas14oitk235763mntlb1c0brnk9w3fenzqbk313q5kvxyf52kukw1pa[Year],YEAR(Data!$A575)),"")</f>
        <v/>
      </c>
      <c r="N575" s="2" t="str">
        <f>IFERROR(AVERAGEIFS(timeseries_access_key_fqeas14oitk235763mntlb1c0brnk9w3fenzqbk313q5kvxyf52kukw1pa[Column1],timeseries_access_key_fqeas14oitk235763mntlb1c0brnk9w3fenzqbk313q5kvxyf52kukw1pa[Month],MONTH(Data!$A575),timeseries_access_key_fqeas14oitk235763mntlb1c0brnk9w3fenzqbk313q5kvxyf52kukw1pa[Year],YEAR(Data!$A575)),"")</f>
        <v/>
      </c>
      <c r="O575" s="8">
        <f>IFERROR(VLOOKUP($A575,Text_1_2[[Text.1.1.3]:[Text.1.3]],2,FALSE),"")</f>
        <v>47300</v>
      </c>
      <c r="P575" s="2"/>
    </row>
    <row r="576" spans="1:16" x14ac:dyDescent="0.25">
      <c r="A576" s="1">
        <v>38657</v>
      </c>
      <c r="B576">
        <f>HLOOKUP(Dashboard!$I$27,results,ROW(A576),FALSE)</f>
        <v>0.34895833333333326</v>
      </c>
      <c r="C576">
        <f>IFERROR(VLOOKUP(A576,observations_series_id_PCU22112222112243_api_key_ecc133893ea92a842ee685c73424608[],2,FALSE),"")</f>
        <v>135.5</v>
      </c>
      <c r="D576" s="2">
        <f>IFERROR(VLOOKUP(A576,observations_series_id_PCU22112222112243_api_key_ecc133893ea92a842ee685c73424608[],3,FALSE),"")</f>
        <v>0.87158671586715863</v>
      </c>
      <c r="E576" t="str">
        <f>IFERROR(VLOOKUP($A576,observations_series_id_WPU0613020T_api_key_ecc133893ea92a842ee685c734246086_file[],2,FALSE),"")</f>
        <v/>
      </c>
      <c r="F576" s="2" t="str">
        <f>IFERROR(VLOOKUP($A576,observations_series_id_WPU0613020T_api_key_ecc133893ea92a842ee685c734246086_file[],3,FALSE),"")</f>
        <v/>
      </c>
      <c r="G576">
        <f>IFERROR(VLOOKUP($A576,observations_series_id_PCU22122212_api_key_ecc133893ea92a842ee685c734246086_file[],2,FALSE),"")</f>
        <v>153.6</v>
      </c>
      <c r="H576" s="2">
        <f>IFERROR(VLOOKUP($A576,observations_series_id_PCU22122212_api_key_ecc133893ea92a842ee685c734246086_file[],3,FALSE),"")</f>
        <v>0.34895833333333326</v>
      </c>
      <c r="I576">
        <f>IFERROR(VLOOKUP($A576,observations_series_id_PCU3241913241910_api_key_ecc133893ea92a842ee685c734246086[],2,FALSE),"")</f>
        <v>263.2</v>
      </c>
      <c r="J576" s="2">
        <f>IFERROR(VLOOKUP($A576,observations_series_id_PCU3241913241910_api_key_ecc133893ea92a842ee685c734246086[],3,FALSE),"")</f>
        <v>0.80471124620060785</v>
      </c>
      <c r="K576">
        <f>IFERROR(VLOOKUP($A576,observations_series_id_EXJPUS_api_key_ecc133893ea92a842ee685c734246086_file_type[],2,FALSE),"")</f>
        <v>118.45399999999999</v>
      </c>
      <c r="L576" s="2">
        <f>IFERROR(VLOOKUP($A576,observations_series_id_EXJPUS_api_key_ecc133893ea92a842ee685c734246086_file_type[],3,FALSE),"")</f>
        <v>-2.0224390902797711</v>
      </c>
      <c r="M576" t="str">
        <f>IFERROR(AVERAGEIFS(timeseries_access_key_fqeas14oitk235763mntlb1c0brnk9w3fenzqbk313q5kvxyf52kukw1pa[Value.LME-ZNC],timeseries_access_key_fqeas14oitk235763mntlb1c0brnk9w3fenzqbk313q5kvxyf52kukw1pa[Month],MONTH(Data!$A576),timeseries_access_key_fqeas14oitk235763mntlb1c0brnk9w3fenzqbk313q5kvxyf52kukw1pa[Year],YEAR(Data!$A576)),"")</f>
        <v/>
      </c>
      <c r="N576" s="2" t="str">
        <f>IFERROR(AVERAGEIFS(timeseries_access_key_fqeas14oitk235763mntlb1c0brnk9w3fenzqbk313q5kvxyf52kukw1pa[Column1],timeseries_access_key_fqeas14oitk235763mntlb1c0brnk9w3fenzqbk313q5kvxyf52kukw1pa[Month],MONTH(Data!$A576),timeseries_access_key_fqeas14oitk235763mntlb1c0brnk9w3fenzqbk313q5kvxyf52kukw1pa[Year],YEAR(Data!$A576)),"")</f>
        <v/>
      </c>
      <c r="O576" s="8" t="str">
        <f>IFERROR(VLOOKUP($A576,Text_1_2[[Text.1.1.3]:[Text.1.3]],2,FALSE),"")</f>
        <v/>
      </c>
      <c r="P576" s="2"/>
    </row>
    <row r="577" spans="1:16" x14ac:dyDescent="0.25">
      <c r="A577" s="1">
        <v>38687</v>
      </c>
      <c r="B577">
        <f>HLOOKUP(Dashboard!$I$27,results,ROW(A577),FALSE)</f>
        <v>0.31880108991825618</v>
      </c>
      <c r="C577">
        <f>IFERROR(VLOOKUP(A577,observations_series_id_PCU22112222112243_api_key_ecc133893ea92a842ee685c73424608[],2,FALSE),"")</f>
        <v>135.69999999999999</v>
      </c>
      <c r="D577" s="2">
        <f>IFERROR(VLOOKUP(A577,observations_series_id_PCU22112222112243_api_key_ecc133893ea92a842ee685c73424608[],3,FALSE),"")</f>
        <v>0.87177597641857041</v>
      </c>
      <c r="E577" t="str">
        <f>IFERROR(VLOOKUP($A577,observations_series_id_WPU0613020T_api_key_ecc133893ea92a842ee685c734246086_file[],2,FALSE),"")</f>
        <v/>
      </c>
      <c r="F577" s="2" t="str">
        <f>IFERROR(VLOOKUP($A577,observations_series_id_WPU0613020T_api_key_ecc133893ea92a842ee685c734246086_file[],3,FALSE),"")</f>
        <v/>
      </c>
      <c r="G577">
        <f>IFERROR(VLOOKUP($A577,observations_series_id_PCU22122212_api_key_ecc133893ea92a842ee685c734246086_file[],2,FALSE),"")</f>
        <v>146.80000000000001</v>
      </c>
      <c r="H577" s="2">
        <f>IFERROR(VLOOKUP($A577,observations_series_id_PCU22122212_api_key_ecc133893ea92a842ee685c734246086_file[],3,FALSE),"")</f>
        <v>0.31880108991825618</v>
      </c>
      <c r="I577">
        <f>IFERROR(VLOOKUP($A577,observations_series_id_PCU3241913241910_api_key_ecc133893ea92a842ee685c734246086[],2,FALSE),"")</f>
        <v>270.2</v>
      </c>
      <c r="J577" s="2">
        <f>IFERROR(VLOOKUP($A577,observations_series_id_PCU3241913241910_api_key_ecc133893ea92a842ee685c734246086[],3,FALSE),"")</f>
        <v>0.80977054034048856</v>
      </c>
      <c r="K577">
        <f>IFERROR(VLOOKUP($A577,observations_series_id_EXJPUS_api_key_ecc133893ea92a842ee685c734246086_file_type[],2,FALSE),"")</f>
        <v>118.4624</v>
      </c>
      <c r="L577" s="2">
        <f>IFERROR(VLOOKUP($A577,observations_series_id_EXJPUS_api_key_ecc133893ea92a842ee685c734246086_file_type[],3,FALSE),"")</f>
        <v>-2.022224773430219</v>
      </c>
      <c r="M577" t="str">
        <f>IFERROR(AVERAGEIFS(timeseries_access_key_fqeas14oitk235763mntlb1c0brnk9w3fenzqbk313q5kvxyf52kukw1pa[Value.LME-ZNC],timeseries_access_key_fqeas14oitk235763mntlb1c0brnk9w3fenzqbk313q5kvxyf52kukw1pa[Month],MONTH(Data!$A577),timeseries_access_key_fqeas14oitk235763mntlb1c0brnk9w3fenzqbk313q5kvxyf52kukw1pa[Year],YEAR(Data!$A577)),"")</f>
        <v/>
      </c>
      <c r="N577" s="2" t="str">
        <f>IFERROR(AVERAGEIFS(timeseries_access_key_fqeas14oitk235763mntlb1c0brnk9w3fenzqbk313q5kvxyf52kukw1pa[Column1],timeseries_access_key_fqeas14oitk235763mntlb1c0brnk9w3fenzqbk313q5kvxyf52kukw1pa[Month],MONTH(Data!$A577),timeseries_access_key_fqeas14oitk235763mntlb1c0brnk9w3fenzqbk313q5kvxyf52kukw1pa[Year],YEAR(Data!$A577)),"")</f>
        <v/>
      </c>
      <c r="O577" s="8" t="str">
        <f>IFERROR(VLOOKUP($A577,Text_1_2[[Text.1.1.3]:[Text.1.3]],2,FALSE),"")</f>
        <v/>
      </c>
      <c r="P577" s="2"/>
    </row>
    <row r="578" spans="1:16" x14ac:dyDescent="0.25">
      <c r="A578" s="1">
        <v>38718</v>
      </c>
      <c r="B578">
        <f>HLOOKUP(Dashboard!$I$27,results,ROW(A578),FALSE)</f>
        <v>0.33730947647448639</v>
      </c>
      <c r="C578">
        <f>IFERROR(VLOOKUP(A578,observations_series_id_PCU22112222112243_api_key_ecc133893ea92a842ee685c73424608[],2,FALSE),"")</f>
        <v>140.4</v>
      </c>
      <c r="D578" s="2">
        <f>IFERROR(VLOOKUP(A578,observations_series_id_PCU22112222112243_api_key_ecc133893ea92a842ee685c73424608[],3,FALSE),"")</f>
        <v>0.87606837606837606</v>
      </c>
      <c r="E578" t="str">
        <f>IFERROR(VLOOKUP($A578,observations_series_id_WPU0613020T_api_key_ecc133893ea92a842ee685c734246086_file[],2,FALSE),"")</f>
        <v/>
      </c>
      <c r="F578" s="2" t="str">
        <f>IFERROR(VLOOKUP($A578,observations_series_id_WPU0613020T_api_key_ecc133893ea92a842ee685c734246086_file[],3,FALSE),"")</f>
        <v/>
      </c>
      <c r="G578">
        <f>IFERROR(VLOOKUP($A578,observations_series_id_PCU22122212_api_key_ecc133893ea92a842ee685c734246086_file[],2,FALSE),"")</f>
        <v>150.9</v>
      </c>
      <c r="H578" s="2">
        <f>IFERROR(VLOOKUP($A578,observations_series_id_PCU22122212_api_key_ecc133893ea92a842ee685c734246086_file[],3,FALSE),"")</f>
        <v>0.33730947647448639</v>
      </c>
      <c r="I578">
        <f>IFERROR(VLOOKUP($A578,observations_series_id_PCU3241913241910_api_key_ecc133893ea92a842ee685c734246086[],2,FALSE),"")</f>
        <v>273.2</v>
      </c>
      <c r="J578" s="2">
        <f>IFERROR(VLOOKUP($A578,observations_series_id_PCU3241913241910_api_key_ecc133893ea92a842ee685c734246086[],3,FALSE),"")</f>
        <v>0.81185944363103957</v>
      </c>
      <c r="K578">
        <f>IFERROR(VLOOKUP($A578,observations_series_id_EXJPUS_api_key_ecc133893ea92a842ee685c734246086_file_type[],2,FALSE),"")</f>
        <v>115.4765</v>
      </c>
      <c r="L578" s="2">
        <f>IFERROR(VLOOKUP($A578,observations_series_id_EXJPUS_api_key_ecc133893ea92a842ee685c734246086_file_type[],3,FALSE),"")</f>
        <v>-2.1003710711703243</v>
      </c>
      <c r="M578" t="str">
        <f>IFERROR(AVERAGEIFS(timeseries_access_key_fqeas14oitk235763mntlb1c0brnk9w3fenzqbk313q5kvxyf52kukw1pa[Value.LME-ZNC],timeseries_access_key_fqeas14oitk235763mntlb1c0brnk9w3fenzqbk313q5kvxyf52kukw1pa[Month],MONTH(Data!$A578),timeseries_access_key_fqeas14oitk235763mntlb1c0brnk9w3fenzqbk313q5kvxyf52kukw1pa[Year],YEAR(Data!$A578)),"")</f>
        <v/>
      </c>
      <c r="N578" s="2" t="str">
        <f>IFERROR(AVERAGEIFS(timeseries_access_key_fqeas14oitk235763mntlb1c0brnk9w3fenzqbk313q5kvxyf52kukw1pa[Column1],timeseries_access_key_fqeas14oitk235763mntlb1c0brnk9w3fenzqbk313q5kvxyf52kukw1pa[Month],MONTH(Data!$A578),timeseries_access_key_fqeas14oitk235763mntlb1c0brnk9w3fenzqbk313q5kvxyf52kukw1pa[Year],YEAR(Data!$A578)),"")</f>
        <v/>
      </c>
      <c r="O578" s="8">
        <f>IFERROR(VLOOKUP($A578,Text_1_2[[Text.1.1.3]:[Text.1.3]],2,FALSE),"")</f>
        <v>46100</v>
      </c>
      <c r="P578" s="2"/>
    </row>
    <row r="579" spans="1:16" x14ac:dyDescent="0.25">
      <c r="A579" s="1">
        <v>38749</v>
      </c>
      <c r="B579">
        <f>HLOOKUP(Dashboard!$I$27,results,ROW(A579),FALSE)</f>
        <v>0.28774928774928776</v>
      </c>
      <c r="C579">
        <f>IFERROR(VLOOKUP(A579,observations_series_id_PCU22112222112243_api_key_ecc133893ea92a842ee685c73424608[],2,FALSE),"")</f>
        <v>141.80000000000001</v>
      </c>
      <c r="D579" s="2">
        <f>IFERROR(VLOOKUP(A579,observations_series_id_PCU22112222112243_api_key_ecc133893ea92a842ee685c73424608[],3,FALSE),"")</f>
        <v>0.87729196050775737</v>
      </c>
      <c r="E579" t="str">
        <f>IFERROR(VLOOKUP($A579,observations_series_id_WPU0613020T_api_key_ecc133893ea92a842ee685c734246086_file[],2,FALSE),"")</f>
        <v/>
      </c>
      <c r="F579" s="2" t="str">
        <f>IFERROR(VLOOKUP($A579,observations_series_id_WPU0613020T_api_key_ecc133893ea92a842ee685c734246086_file[],3,FALSE),"")</f>
        <v/>
      </c>
      <c r="G579">
        <f>IFERROR(VLOOKUP($A579,observations_series_id_PCU22122212_api_key_ecc133893ea92a842ee685c734246086_file[],2,FALSE),"")</f>
        <v>140.4</v>
      </c>
      <c r="H579" s="2">
        <f>IFERROR(VLOOKUP($A579,observations_series_id_PCU22122212_api_key_ecc133893ea92a842ee685c734246086_file[],3,FALSE),"")</f>
        <v>0.28774928774928776</v>
      </c>
      <c r="I579">
        <f>IFERROR(VLOOKUP($A579,observations_series_id_PCU3241913241910_api_key_ecc133893ea92a842ee685c734246086[],2,FALSE),"")</f>
        <v>270.10000000000002</v>
      </c>
      <c r="J579" s="2">
        <f>IFERROR(VLOOKUP($A579,observations_series_id_PCU3241913241910_api_key_ecc133893ea92a842ee685c734246086[],3,FALSE),"")</f>
        <v>0.80970011106997408</v>
      </c>
      <c r="K579">
        <f>IFERROR(VLOOKUP($A579,observations_series_id_EXJPUS_api_key_ecc133893ea92a842ee685c734246086_file_type[],2,FALSE),"")</f>
        <v>117.8605</v>
      </c>
      <c r="L579" s="2">
        <f>IFERROR(VLOOKUP($A579,observations_series_id_EXJPUS_api_key_ecc133893ea92a842ee685c734246086_file_type[],3,FALSE),"")</f>
        <v>-2.0376589272911616</v>
      </c>
      <c r="M579" t="str">
        <f>IFERROR(AVERAGEIFS(timeseries_access_key_fqeas14oitk235763mntlb1c0brnk9w3fenzqbk313q5kvxyf52kukw1pa[Value.LME-ZNC],timeseries_access_key_fqeas14oitk235763mntlb1c0brnk9w3fenzqbk313q5kvxyf52kukw1pa[Month],MONTH(Data!$A579),timeseries_access_key_fqeas14oitk235763mntlb1c0brnk9w3fenzqbk313q5kvxyf52kukw1pa[Year],YEAR(Data!$A579)),"")</f>
        <v/>
      </c>
      <c r="N579" s="2" t="str">
        <f>IFERROR(AVERAGEIFS(timeseries_access_key_fqeas14oitk235763mntlb1c0brnk9w3fenzqbk313q5kvxyf52kukw1pa[Column1],timeseries_access_key_fqeas14oitk235763mntlb1c0brnk9w3fenzqbk313q5kvxyf52kukw1pa[Month],MONTH(Data!$A579),timeseries_access_key_fqeas14oitk235763mntlb1c0brnk9w3fenzqbk313q5kvxyf52kukw1pa[Year],YEAR(Data!$A579)),"")</f>
        <v/>
      </c>
      <c r="O579" s="8" t="str">
        <f>IFERROR(VLOOKUP($A579,Text_1_2[[Text.1.1.3]:[Text.1.3]],2,FALSE),"")</f>
        <v/>
      </c>
      <c r="P579" s="2"/>
    </row>
    <row r="580" spans="1:16" x14ac:dyDescent="0.25">
      <c r="A580" s="1">
        <v>38777</v>
      </c>
      <c r="B580">
        <f>HLOOKUP(Dashboard!$I$27,results,ROW(A580),FALSE)</f>
        <v>0.25093632958801493</v>
      </c>
      <c r="C580">
        <f>IFERROR(VLOOKUP(A580,observations_series_id_PCU22112222112243_api_key_ecc133893ea92a842ee685c73424608[],2,FALSE),"")</f>
        <v>140.80000000000001</v>
      </c>
      <c r="D580" s="2">
        <f>IFERROR(VLOOKUP(A580,observations_series_id_PCU22112222112243_api_key_ecc133893ea92a842ee685c73424608[],3,FALSE),"")</f>
        <v>0.87642045454545459</v>
      </c>
      <c r="E580" t="str">
        <f>IFERROR(VLOOKUP($A580,observations_series_id_WPU0613020T_api_key_ecc133893ea92a842ee685c734246086_file[],2,FALSE),"")</f>
        <v/>
      </c>
      <c r="F580" s="2" t="str">
        <f>IFERROR(VLOOKUP($A580,observations_series_id_WPU0613020T_api_key_ecc133893ea92a842ee685c734246086_file[],3,FALSE),"")</f>
        <v/>
      </c>
      <c r="G580">
        <f>IFERROR(VLOOKUP($A580,observations_series_id_PCU22122212_api_key_ecc133893ea92a842ee685c734246086_file[],2,FALSE),"")</f>
        <v>133.5</v>
      </c>
      <c r="H580" s="2">
        <f>IFERROR(VLOOKUP($A580,observations_series_id_PCU22122212_api_key_ecc133893ea92a842ee685c734246086_file[],3,FALSE),"")</f>
        <v>0.25093632958801493</v>
      </c>
      <c r="I580">
        <f>IFERROR(VLOOKUP($A580,observations_series_id_PCU3241913241910_api_key_ecc133893ea92a842ee685c734246086[],2,FALSE),"")</f>
        <v>275.89999999999998</v>
      </c>
      <c r="J580" s="2">
        <f>IFERROR(VLOOKUP($A580,observations_series_id_PCU3241913241910_api_key_ecc133893ea92a842ee685c734246086[],3,FALSE),"")</f>
        <v>0.81370061616527722</v>
      </c>
      <c r="K580">
        <f>IFERROR(VLOOKUP($A580,observations_series_id_EXJPUS_api_key_ecc133893ea92a842ee685c734246086_file_type[],2,FALSE),"")</f>
        <v>117.2778</v>
      </c>
      <c r="L580" s="2">
        <f>IFERROR(VLOOKUP($A580,observations_series_id_EXJPUS_api_key_ecc133893ea92a842ee685c734246086_file_type[],3,FALSE),"")</f>
        <v>-2.0527516716718766</v>
      </c>
      <c r="M580" t="str">
        <f>IFERROR(AVERAGEIFS(timeseries_access_key_fqeas14oitk235763mntlb1c0brnk9w3fenzqbk313q5kvxyf52kukw1pa[Value.LME-ZNC],timeseries_access_key_fqeas14oitk235763mntlb1c0brnk9w3fenzqbk313q5kvxyf52kukw1pa[Month],MONTH(Data!$A580),timeseries_access_key_fqeas14oitk235763mntlb1c0brnk9w3fenzqbk313q5kvxyf52kukw1pa[Year],YEAR(Data!$A580)),"")</f>
        <v/>
      </c>
      <c r="N580" s="2" t="str">
        <f>IFERROR(AVERAGEIFS(timeseries_access_key_fqeas14oitk235763mntlb1c0brnk9w3fenzqbk313q5kvxyf52kukw1pa[Column1],timeseries_access_key_fqeas14oitk235763mntlb1c0brnk9w3fenzqbk313q5kvxyf52kukw1pa[Month],MONTH(Data!$A580),timeseries_access_key_fqeas14oitk235763mntlb1c0brnk9w3fenzqbk313q5kvxyf52kukw1pa[Year],YEAR(Data!$A580)),"")</f>
        <v/>
      </c>
      <c r="O580" s="8" t="str">
        <f>IFERROR(VLOOKUP($A580,Text_1_2[[Text.1.1.3]:[Text.1.3]],2,FALSE),"")</f>
        <v/>
      </c>
      <c r="P580" s="2"/>
    </row>
    <row r="581" spans="1:16" x14ac:dyDescent="0.25">
      <c r="A581" s="1">
        <v>38808</v>
      </c>
      <c r="B581">
        <f>HLOOKUP(Dashboard!$I$27,results,ROW(A581),FALSE)</f>
        <v>0.22839506172839508</v>
      </c>
      <c r="C581">
        <f>IFERROR(VLOOKUP(A581,observations_series_id_PCU22112222112243_api_key_ecc133893ea92a842ee685c73424608[],2,FALSE),"")</f>
        <v>142.6</v>
      </c>
      <c r="D581" s="2">
        <f>IFERROR(VLOOKUP(A581,observations_series_id_PCU22112222112243_api_key_ecc133893ea92a842ee685c73424608[],3,FALSE),"")</f>
        <v>0.87798036465638152</v>
      </c>
      <c r="E581" t="str">
        <f>IFERROR(VLOOKUP($A581,observations_series_id_WPU0613020T_api_key_ecc133893ea92a842ee685c734246086_file[],2,FALSE),"")</f>
        <v/>
      </c>
      <c r="F581" s="2" t="str">
        <f>IFERROR(VLOOKUP($A581,observations_series_id_WPU0613020T_api_key_ecc133893ea92a842ee685c734246086_file[],3,FALSE),"")</f>
        <v/>
      </c>
      <c r="G581">
        <f>IFERROR(VLOOKUP($A581,observations_series_id_PCU22122212_api_key_ecc133893ea92a842ee685c734246086_file[],2,FALSE),"")</f>
        <v>129.6</v>
      </c>
      <c r="H581" s="2">
        <f>IFERROR(VLOOKUP($A581,observations_series_id_PCU22122212_api_key_ecc133893ea92a842ee685c734246086_file[],3,FALSE),"")</f>
        <v>0.22839506172839508</v>
      </c>
      <c r="I581">
        <f>IFERROR(VLOOKUP($A581,observations_series_id_PCU3241913241910_api_key_ecc133893ea92a842ee685c734246086[],2,FALSE),"")</f>
        <v>284.10000000000002</v>
      </c>
      <c r="J581" s="2">
        <f>IFERROR(VLOOKUP($A581,observations_series_id_PCU3241913241910_api_key_ecc133893ea92a842ee685c734246086[],3,FALSE),"")</f>
        <v>0.81907778951073573</v>
      </c>
      <c r="K581">
        <f>IFERROR(VLOOKUP($A581,observations_series_id_EXJPUS_api_key_ecc133893ea92a842ee685c734246086_file_type[],2,FALSE),"")</f>
        <v>117.06950000000001</v>
      </c>
      <c r="L581" s="2">
        <f>IFERROR(VLOOKUP($A581,observations_series_id_EXJPUS_api_key_ecc133893ea92a842ee685c734246086_file_type[],3,FALSE),"")</f>
        <v>-2.0581833867916064</v>
      </c>
      <c r="M581" t="str">
        <f>IFERROR(AVERAGEIFS(timeseries_access_key_fqeas14oitk235763mntlb1c0brnk9w3fenzqbk313q5kvxyf52kukw1pa[Value.LME-ZNC],timeseries_access_key_fqeas14oitk235763mntlb1c0brnk9w3fenzqbk313q5kvxyf52kukw1pa[Month],MONTH(Data!$A581),timeseries_access_key_fqeas14oitk235763mntlb1c0brnk9w3fenzqbk313q5kvxyf52kukw1pa[Year],YEAR(Data!$A581)),"")</f>
        <v/>
      </c>
      <c r="N581" s="2" t="str">
        <f>IFERROR(AVERAGEIFS(timeseries_access_key_fqeas14oitk235763mntlb1c0brnk9w3fenzqbk313q5kvxyf52kukw1pa[Column1],timeseries_access_key_fqeas14oitk235763mntlb1c0brnk9w3fenzqbk313q5kvxyf52kukw1pa[Month],MONTH(Data!$A581),timeseries_access_key_fqeas14oitk235763mntlb1c0brnk9w3fenzqbk313q5kvxyf52kukw1pa[Year],YEAR(Data!$A581)),"")</f>
        <v/>
      </c>
      <c r="O581" s="8">
        <f>IFERROR(VLOOKUP($A581,Text_1_2[[Text.1.1.3]:[Text.1.3]],2,FALSE),"")</f>
        <v>48800</v>
      </c>
      <c r="P581" s="2"/>
    </row>
    <row r="582" spans="1:16" x14ac:dyDescent="0.25">
      <c r="A582" s="1">
        <v>38838</v>
      </c>
      <c r="B582">
        <f>HLOOKUP(Dashboard!$I$27,results,ROW(A582),FALSE)</f>
        <v>0.21691464369616287</v>
      </c>
      <c r="C582">
        <f>IFERROR(VLOOKUP(A582,observations_series_id_PCU22112222112243_api_key_ecc133893ea92a842ee685c73424608[],2,FALSE),"")</f>
        <v>143.6</v>
      </c>
      <c r="D582" s="2">
        <f>IFERROR(VLOOKUP(A582,observations_series_id_PCU22112222112243_api_key_ecc133893ea92a842ee685c73424608[],3,FALSE),"")</f>
        <v>0.87883008356545966</v>
      </c>
      <c r="E582" t="str">
        <f>IFERROR(VLOOKUP($A582,observations_series_id_WPU0613020T_api_key_ecc133893ea92a842ee685c734246086_file[],2,FALSE),"")</f>
        <v/>
      </c>
      <c r="F582" s="2" t="str">
        <f>IFERROR(VLOOKUP($A582,observations_series_id_WPU0613020T_api_key_ecc133893ea92a842ee685c734246086_file[],3,FALSE),"")</f>
        <v/>
      </c>
      <c r="G582">
        <f>IFERROR(VLOOKUP($A582,observations_series_id_PCU22122212_api_key_ecc133893ea92a842ee685c734246086_file[],2,FALSE),"")</f>
        <v>127.7</v>
      </c>
      <c r="H582" s="2">
        <f>IFERROR(VLOOKUP($A582,observations_series_id_PCU22122212_api_key_ecc133893ea92a842ee685c734246086_file[],3,FALSE),"")</f>
        <v>0.21691464369616287</v>
      </c>
      <c r="I582">
        <f>IFERROR(VLOOKUP($A582,observations_series_id_PCU3241913241910_api_key_ecc133893ea92a842ee685c734246086[],2,FALSE),"")</f>
        <v>286.89999999999998</v>
      </c>
      <c r="J582" s="2">
        <f>IFERROR(VLOOKUP($A582,observations_series_id_PCU3241913241910_api_key_ecc133893ea92a842ee685c734246086[],3,FALSE),"")</f>
        <v>0.82084349947716972</v>
      </c>
      <c r="K582">
        <f>IFERROR(VLOOKUP($A582,observations_series_id_EXJPUS_api_key_ecc133893ea92a842ee685c734246086_file_type[],2,FALSE),"")</f>
        <v>111.73050000000001</v>
      </c>
      <c r="L582" s="2">
        <f>IFERROR(VLOOKUP($A582,observations_series_id_EXJPUS_api_key_ecc133893ea92a842ee685c734246086_file_type[],3,FALSE),"")</f>
        <v>-2.204317531918321</v>
      </c>
      <c r="M582" t="str">
        <f>IFERROR(AVERAGEIFS(timeseries_access_key_fqeas14oitk235763mntlb1c0brnk9w3fenzqbk313q5kvxyf52kukw1pa[Value.LME-ZNC],timeseries_access_key_fqeas14oitk235763mntlb1c0brnk9w3fenzqbk313q5kvxyf52kukw1pa[Month],MONTH(Data!$A582),timeseries_access_key_fqeas14oitk235763mntlb1c0brnk9w3fenzqbk313q5kvxyf52kukw1pa[Year],YEAR(Data!$A582)),"")</f>
        <v/>
      </c>
      <c r="N582" s="2" t="str">
        <f>IFERROR(AVERAGEIFS(timeseries_access_key_fqeas14oitk235763mntlb1c0brnk9w3fenzqbk313q5kvxyf52kukw1pa[Column1],timeseries_access_key_fqeas14oitk235763mntlb1c0brnk9w3fenzqbk313q5kvxyf52kukw1pa[Month],MONTH(Data!$A582),timeseries_access_key_fqeas14oitk235763mntlb1c0brnk9w3fenzqbk313q5kvxyf52kukw1pa[Year],YEAR(Data!$A582)),"")</f>
        <v/>
      </c>
      <c r="O582" s="8" t="str">
        <f>IFERROR(VLOOKUP($A582,Text_1_2[[Text.1.1.3]:[Text.1.3]],2,FALSE),"")</f>
        <v/>
      </c>
      <c r="P582" s="2"/>
    </row>
    <row r="583" spans="1:16" x14ac:dyDescent="0.25">
      <c r="A583" s="1">
        <v>38869</v>
      </c>
      <c r="B583">
        <f>HLOOKUP(Dashboard!$I$27,results,ROW(A583),FALSE)</f>
        <v>0.18032786885245899</v>
      </c>
      <c r="C583">
        <f>IFERROR(VLOOKUP(A583,observations_series_id_PCU22112222112243_api_key_ecc133893ea92a842ee685c73424608[],2,FALSE),"")</f>
        <v>152.4</v>
      </c>
      <c r="D583" s="2">
        <f>IFERROR(VLOOKUP(A583,observations_series_id_PCU22112222112243_api_key_ecc133893ea92a842ee685c73424608[],3,FALSE),"")</f>
        <v>0.88582677165354329</v>
      </c>
      <c r="E583" t="str">
        <f>IFERROR(VLOOKUP($A583,observations_series_id_WPU0613020T_api_key_ecc133893ea92a842ee685c734246086_file[],2,FALSE),"")</f>
        <v/>
      </c>
      <c r="F583" s="2" t="str">
        <f>IFERROR(VLOOKUP($A583,observations_series_id_WPU0613020T_api_key_ecc133893ea92a842ee685c734246086_file[],3,FALSE),"")</f>
        <v/>
      </c>
      <c r="G583">
        <f>IFERROR(VLOOKUP($A583,observations_series_id_PCU22122212_api_key_ecc133893ea92a842ee685c734246086_file[],2,FALSE),"")</f>
        <v>122</v>
      </c>
      <c r="H583" s="2">
        <f>IFERROR(VLOOKUP($A583,observations_series_id_PCU22122212_api_key_ecc133893ea92a842ee685c734246086_file[],3,FALSE),"")</f>
        <v>0.18032786885245899</v>
      </c>
      <c r="I583">
        <f>IFERROR(VLOOKUP($A583,observations_series_id_PCU3241913241910_api_key_ecc133893ea92a842ee685c734246086[],2,FALSE),"")</f>
        <v>294.7</v>
      </c>
      <c r="J583" s="2">
        <f>IFERROR(VLOOKUP($A583,observations_series_id_PCU3241913241910_api_key_ecc133893ea92a842ee685c734246086[],3,FALSE),"")</f>
        <v>0.82558534102477099</v>
      </c>
      <c r="K583">
        <f>IFERROR(VLOOKUP($A583,observations_series_id_EXJPUS_api_key_ecc133893ea92a842ee685c734246086_file_type[],2,FALSE),"")</f>
        <v>114.625</v>
      </c>
      <c r="L583" s="2">
        <f>IFERROR(VLOOKUP($A583,observations_series_id_EXJPUS_api_key_ecc133893ea92a842ee685c734246086_file_type[],3,FALSE),"")</f>
        <v>-2.1234023991275897</v>
      </c>
      <c r="M583" t="str">
        <f>IFERROR(AVERAGEIFS(timeseries_access_key_fqeas14oitk235763mntlb1c0brnk9w3fenzqbk313q5kvxyf52kukw1pa[Value.LME-ZNC],timeseries_access_key_fqeas14oitk235763mntlb1c0brnk9w3fenzqbk313q5kvxyf52kukw1pa[Month],MONTH(Data!$A583),timeseries_access_key_fqeas14oitk235763mntlb1c0brnk9w3fenzqbk313q5kvxyf52kukw1pa[Year],YEAR(Data!$A583)),"")</f>
        <v/>
      </c>
      <c r="N583" s="2" t="str">
        <f>IFERROR(AVERAGEIFS(timeseries_access_key_fqeas14oitk235763mntlb1c0brnk9w3fenzqbk313q5kvxyf52kukw1pa[Column1],timeseries_access_key_fqeas14oitk235763mntlb1c0brnk9w3fenzqbk313q5kvxyf52kukw1pa[Month],MONTH(Data!$A583),timeseries_access_key_fqeas14oitk235763mntlb1c0brnk9w3fenzqbk313q5kvxyf52kukw1pa[Year],YEAR(Data!$A583)),"")</f>
        <v/>
      </c>
      <c r="O583" s="8" t="str">
        <f>IFERROR(VLOOKUP($A583,Text_1_2[[Text.1.1.3]:[Text.1.3]],2,FALSE),"")</f>
        <v/>
      </c>
      <c r="P583" s="2"/>
    </row>
    <row r="584" spans="1:16" x14ac:dyDescent="0.25">
      <c r="A584" s="1">
        <v>38899</v>
      </c>
      <c r="B584">
        <f>HLOOKUP(Dashboard!$I$27,results,ROW(A584),FALSE)</f>
        <v>0.18300653594771243</v>
      </c>
      <c r="C584">
        <f>IFERROR(VLOOKUP(A584,observations_series_id_PCU22112222112243_api_key_ecc133893ea92a842ee685c73424608[],2,FALSE),"")</f>
        <v>153</v>
      </c>
      <c r="D584" s="2">
        <f>IFERROR(VLOOKUP(A584,observations_series_id_PCU22112222112243_api_key_ecc133893ea92a842ee685c73424608[],3,FALSE),"")</f>
        <v>0.88627450980392153</v>
      </c>
      <c r="E584" t="str">
        <f>IFERROR(VLOOKUP($A584,observations_series_id_WPU0613020T_api_key_ecc133893ea92a842ee685c734246086_file[],2,FALSE),"")</f>
        <v/>
      </c>
      <c r="F584" s="2" t="str">
        <f>IFERROR(VLOOKUP($A584,observations_series_id_WPU0613020T_api_key_ecc133893ea92a842ee685c734246086_file[],3,FALSE),"")</f>
        <v/>
      </c>
      <c r="G584">
        <f>IFERROR(VLOOKUP($A584,observations_series_id_PCU22122212_api_key_ecc133893ea92a842ee685c734246086_file[],2,FALSE),"")</f>
        <v>122.4</v>
      </c>
      <c r="H584" s="2">
        <f>IFERROR(VLOOKUP($A584,observations_series_id_PCU22122212_api_key_ecc133893ea92a842ee685c734246086_file[],3,FALSE),"")</f>
        <v>0.18300653594771243</v>
      </c>
      <c r="I584">
        <f>IFERROR(VLOOKUP($A584,observations_series_id_PCU3241913241910_api_key_ecc133893ea92a842ee685c734246086[],2,FALSE),"")</f>
        <v>300.10000000000002</v>
      </c>
      <c r="J584" s="2">
        <f>IFERROR(VLOOKUP($A584,observations_series_id_PCU3241913241910_api_key_ecc133893ea92a842ee685c734246086[],3,FALSE),"")</f>
        <v>0.82872375874708437</v>
      </c>
      <c r="K584">
        <f>IFERROR(VLOOKUP($A584,observations_series_id_EXJPUS_api_key_ecc133893ea92a842ee685c734246086_file_type[],2,FALSE),"")</f>
        <v>115.767</v>
      </c>
      <c r="L584" s="2">
        <f>IFERROR(VLOOKUP($A584,observations_series_id_EXJPUS_api_key_ecc133893ea92a842ee685c734246086_file_type[],3,FALSE),"")</f>
        <v>-2.0925911529192258</v>
      </c>
      <c r="M584" t="str">
        <f>IFERROR(AVERAGEIFS(timeseries_access_key_fqeas14oitk235763mntlb1c0brnk9w3fenzqbk313q5kvxyf52kukw1pa[Value.LME-ZNC],timeseries_access_key_fqeas14oitk235763mntlb1c0brnk9w3fenzqbk313q5kvxyf52kukw1pa[Month],MONTH(Data!$A584),timeseries_access_key_fqeas14oitk235763mntlb1c0brnk9w3fenzqbk313q5kvxyf52kukw1pa[Year],YEAR(Data!$A584)),"")</f>
        <v/>
      </c>
      <c r="N584" s="2" t="str">
        <f>IFERROR(AVERAGEIFS(timeseries_access_key_fqeas14oitk235763mntlb1c0brnk9w3fenzqbk313q5kvxyf52kukw1pa[Column1],timeseries_access_key_fqeas14oitk235763mntlb1c0brnk9w3fenzqbk313q5kvxyf52kukw1pa[Month],MONTH(Data!$A584),timeseries_access_key_fqeas14oitk235763mntlb1c0brnk9w3fenzqbk313q5kvxyf52kukw1pa[Year],YEAR(Data!$A584)),"")</f>
        <v/>
      </c>
      <c r="O584" s="8">
        <f>IFERROR(VLOOKUP($A584,Text_1_2[[Text.1.1.3]:[Text.1.3]],2,FALSE),"")</f>
        <v>54100</v>
      </c>
      <c r="P584" s="2"/>
    </row>
    <row r="585" spans="1:16" x14ac:dyDescent="0.25">
      <c r="A585" s="1">
        <v>38930</v>
      </c>
      <c r="B585">
        <f>HLOOKUP(Dashboard!$I$27,results,ROW(A585),FALSE)</f>
        <v>0.20127795527156556</v>
      </c>
      <c r="C585">
        <f>IFERROR(VLOOKUP(A585,observations_series_id_PCU22112222112243_api_key_ecc133893ea92a842ee685c73424608[],2,FALSE),"")</f>
        <v>151.5</v>
      </c>
      <c r="D585" s="2">
        <f>IFERROR(VLOOKUP(A585,observations_series_id_PCU22112222112243_api_key_ecc133893ea92a842ee685c73424608[],3,FALSE),"")</f>
        <v>0.88514851485148516</v>
      </c>
      <c r="E585" t="str">
        <f>IFERROR(VLOOKUP($A585,observations_series_id_WPU0613020T_api_key_ecc133893ea92a842ee685c734246086_file[],2,FALSE),"")</f>
        <v/>
      </c>
      <c r="F585" s="2" t="str">
        <f>IFERROR(VLOOKUP($A585,observations_series_id_WPU0613020T_api_key_ecc133893ea92a842ee685c734246086_file[],3,FALSE),"")</f>
        <v/>
      </c>
      <c r="G585">
        <f>IFERROR(VLOOKUP($A585,observations_series_id_PCU22122212_api_key_ecc133893ea92a842ee685c734246086_file[],2,FALSE),"")</f>
        <v>125.2</v>
      </c>
      <c r="H585" s="2">
        <f>IFERROR(VLOOKUP($A585,observations_series_id_PCU22122212_api_key_ecc133893ea92a842ee685c734246086_file[],3,FALSE),"")</f>
        <v>0.20127795527156556</v>
      </c>
      <c r="I585">
        <f>IFERROR(VLOOKUP($A585,observations_series_id_PCU3241913241910_api_key_ecc133893ea92a842ee685c734246086[],2,FALSE),"")</f>
        <v>306</v>
      </c>
      <c r="J585" s="2">
        <f>IFERROR(VLOOKUP($A585,observations_series_id_PCU3241913241910_api_key_ecc133893ea92a842ee685c734246086[],3,FALSE),"")</f>
        <v>0.83202614379084971</v>
      </c>
      <c r="K585">
        <f>IFERROR(VLOOKUP($A585,observations_series_id_EXJPUS_api_key_ecc133893ea92a842ee685c734246086_file_type[],2,FALSE),"")</f>
        <v>115.9243</v>
      </c>
      <c r="L585" s="2">
        <f>IFERROR(VLOOKUP($A585,observations_series_id_EXJPUS_api_key_ecc133893ea92a842ee685c734246086_file_type[],3,FALSE),"")</f>
        <v>-2.0883947541628456</v>
      </c>
      <c r="M585" t="str">
        <f>IFERROR(AVERAGEIFS(timeseries_access_key_fqeas14oitk235763mntlb1c0brnk9w3fenzqbk313q5kvxyf52kukw1pa[Value.LME-ZNC],timeseries_access_key_fqeas14oitk235763mntlb1c0brnk9w3fenzqbk313q5kvxyf52kukw1pa[Month],MONTH(Data!$A585),timeseries_access_key_fqeas14oitk235763mntlb1c0brnk9w3fenzqbk313q5kvxyf52kukw1pa[Year],YEAR(Data!$A585)),"")</f>
        <v/>
      </c>
      <c r="N585" s="2" t="str">
        <f>IFERROR(AVERAGEIFS(timeseries_access_key_fqeas14oitk235763mntlb1c0brnk9w3fenzqbk313q5kvxyf52kukw1pa[Column1],timeseries_access_key_fqeas14oitk235763mntlb1c0brnk9w3fenzqbk313q5kvxyf52kukw1pa[Month],MONTH(Data!$A585),timeseries_access_key_fqeas14oitk235763mntlb1c0brnk9w3fenzqbk313q5kvxyf52kukw1pa[Year],YEAR(Data!$A585)),"")</f>
        <v/>
      </c>
      <c r="O585" s="8" t="str">
        <f>IFERROR(VLOOKUP($A585,Text_1_2[[Text.1.1.3]:[Text.1.3]],2,FALSE),"")</f>
        <v/>
      </c>
      <c r="P585" s="2"/>
    </row>
    <row r="586" spans="1:16" x14ac:dyDescent="0.25">
      <c r="A586" s="1">
        <v>38961</v>
      </c>
      <c r="B586">
        <f>HLOOKUP(Dashboard!$I$27,results,ROW(A586),FALSE)</f>
        <v>0.20318725099601598</v>
      </c>
      <c r="C586">
        <f>IFERROR(VLOOKUP(A586,observations_series_id_PCU22112222112243_api_key_ecc133893ea92a842ee685c73424608[],2,FALSE),"")</f>
        <v>152.19999999999999</v>
      </c>
      <c r="D586" s="2">
        <f>IFERROR(VLOOKUP(A586,observations_series_id_PCU22112222112243_api_key_ecc133893ea92a842ee685c73424608[],3,FALSE),"")</f>
        <v>0.88567674113009198</v>
      </c>
      <c r="E586" t="str">
        <f>IFERROR(VLOOKUP($A586,observations_series_id_WPU0613020T_api_key_ecc133893ea92a842ee685c734246086_file[],2,FALSE),"")</f>
        <v/>
      </c>
      <c r="F586" s="2" t="str">
        <f>IFERROR(VLOOKUP($A586,observations_series_id_WPU0613020T_api_key_ecc133893ea92a842ee685c734246086_file[],3,FALSE),"")</f>
        <v/>
      </c>
      <c r="G586">
        <f>IFERROR(VLOOKUP($A586,observations_series_id_PCU22122212_api_key_ecc133893ea92a842ee685c734246086_file[],2,FALSE),"")</f>
        <v>125.5</v>
      </c>
      <c r="H586" s="2">
        <f>IFERROR(VLOOKUP($A586,observations_series_id_PCU22122212_api_key_ecc133893ea92a842ee685c734246086_file[],3,FALSE),"")</f>
        <v>0.20318725099601598</v>
      </c>
      <c r="I586">
        <f>IFERROR(VLOOKUP($A586,observations_series_id_PCU3241913241910_api_key_ecc133893ea92a842ee685c734246086[],2,FALSE),"")</f>
        <v>307.60000000000002</v>
      </c>
      <c r="J586" s="2">
        <f>IFERROR(VLOOKUP($A586,observations_series_id_PCU3241913241910_api_key_ecc133893ea92a842ee685c734246086[],3,FALSE),"")</f>
        <v>0.8328998699609883</v>
      </c>
      <c r="K586">
        <f>IFERROR(VLOOKUP($A586,observations_series_id_EXJPUS_api_key_ecc133893ea92a842ee685c734246086_file_type[],2,FALSE),"")</f>
        <v>117.2145</v>
      </c>
      <c r="L586" s="2">
        <f>IFERROR(VLOOKUP($A586,observations_series_id_EXJPUS_api_key_ecc133893ea92a842ee685c734246086_file_type[],3,FALSE),"")</f>
        <v>-2.0544002661786722</v>
      </c>
      <c r="M586" t="str">
        <f>IFERROR(AVERAGEIFS(timeseries_access_key_fqeas14oitk235763mntlb1c0brnk9w3fenzqbk313q5kvxyf52kukw1pa[Value.LME-ZNC],timeseries_access_key_fqeas14oitk235763mntlb1c0brnk9w3fenzqbk313q5kvxyf52kukw1pa[Month],MONTH(Data!$A586),timeseries_access_key_fqeas14oitk235763mntlb1c0brnk9w3fenzqbk313q5kvxyf52kukw1pa[Year],YEAR(Data!$A586)),"")</f>
        <v/>
      </c>
      <c r="N586" s="2" t="str">
        <f>IFERROR(AVERAGEIFS(timeseries_access_key_fqeas14oitk235763mntlb1c0brnk9w3fenzqbk313q5kvxyf52kukw1pa[Column1],timeseries_access_key_fqeas14oitk235763mntlb1c0brnk9w3fenzqbk313q5kvxyf52kukw1pa[Month],MONTH(Data!$A586),timeseries_access_key_fqeas14oitk235763mntlb1c0brnk9w3fenzqbk313q5kvxyf52kukw1pa[Year],YEAR(Data!$A586)),"")</f>
        <v/>
      </c>
      <c r="O586" s="8" t="str">
        <f>IFERROR(VLOOKUP($A586,Text_1_2[[Text.1.1.3]:[Text.1.3]],2,FALSE),"")</f>
        <v/>
      </c>
      <c r="P586" s="2"/>
    </row>
    <row r="587" spans="1:16" x14ac:dyDescent="0.25">
      <c r="A587" s="1">
        <v>38991</v>
      </c>
      <c r="B587">
        <f>HLOOKUP(Dashboard!$I$27,results,ROW(A587),FALSE)</f>
        <v>0.13269731136166518</v>
      </c>
      <c r="C587">
        <f>IFERROR(VLOOKUP(A587,observations_series_id_PCU22112222112243_api_key_ecc133893ea92a842ee685c73424608[],2,FALSE),"")</f>
        <v>144</v>
      </c>
      <c r="D587" s="2">
        <f>IFERROR(VLOOKUP(A587,observations_series_id_PCU22112222112243_api_key_ecc133893ea92a842ee685c73424608[],3,FALSE),"")</f>
        <v>0.87916666666666665</v>
      </c>
      <c r="E587" t="str">
        <f>IFERROR(VLOOKUP($A587,observations_series_id_WPU0613020T_api_key_ecc133893ea92a842ee685c734246086_file[],2,FALSE),"")</f>
        <v/>
      </c>
      <c r="F587" s="2" t="str">
        <f>IFERROR(VLOOKUP($A587,observations_series_id_WPU0613020T_api_key_ecc133893ea92a842ee685c734246086_file[],3,FALSE),"")</f>
        <v/>
      </c>
      <c r="G587">
        <f>IFERROR(VLOOKUP($A587,observations_series_id_PCU22122212_api_key_ecc133893ea92a842ee685c734246086_file[],2,FALSE),"")</f>
        <v>115.3</v>
      </c>
      <c r="H587" s="2">
        <f>IFERROR(VLOOKUP($A587,observations_series_id_PCU22122212_api_key_ecc133893ea92a842ee685c734246086_file[],3,FALSE),"")</f>
        <v>0.13269731136166518</v>
      </c>
      <c r="I587">
        <f>IFERROR(VLOOKUP($A587,observations_series_id_PCU3241913241910_api_key_ecc133893ea92a842ee685c734246086[],2,FALSE),"")</f>
        <v>307.89999999999998</v>
      </c>
      <c r="J587" s="2">
        <f>IFERROR(VLOOKUP($A587,observations_series_id_PCU3241913241910_api_key_ecc133893ea92a842ee685c734246086[],3,FALSE),"")</f>
        <v>0.83306268268918482</v>
      </c>
      <c r="K587">
        <f>IFERROR(VLOOKUP($A587,observations_series_id_EXJPUS_api_key_ecc133893ea92a842ee685c734246086_file_type[],2,FALSE),"")</f>
        <v>118.60899999999999</v>
      </c>
      <c r="L587" s="2">
        <f>IFERROR(VLOOKUP($A587,observations_series_id_EXJPUS_api_key_ecc133893ea92a842ee685c734246086_file_type[],3,FALSE),"")</f>
        <v>-2.018489322058191</v>
      </c>
      <c r="M587" t="str">
        <f>IFERROR(AVERAGEIFS(timeseries_access_key_fqeas14oitk235763mntlb1c0brnk9w3fenzqbk313q5kvxyf52kukw1pa[Value.LME-ZNC],timeseries_access_key_fqeas14oitk235763mntlb1c0brnk9w3fenzqbk313q5kvxyf52kukw1pa[Month],MONTH(Data!$A587),timeseries_access_key_fqeas14oitk235763mntlb1c0brnk9w3fenzqbk313q5kvxyf52kukw1pa[Year],YEAR(Data!$A587)),"")</f>
        <v/>
      </c>
      <c r="N587" s="2" t="str">
        <f>IFERROR(AVERAGEIFS(timeseries_access_key_fqeas14oitk235763mntlb1c0brnk9w3fenzqbk313q5kvxyf52kukw1pa[Column1],timeseries_access_key_fqeas14oitk235763mntlb1c0brnk9w3fenzqbk313q5kvxyf52kukw1pa[Month],MONTH(Data!$A587),timeseries_access_key_fqeas14oitk235763mntlb1c0brnk9w3fenzqbk313q5kvxyf52kukw1pa[Year],YEAR(Data!$A587)),"")</f>
        <v/>
      </c>
      <c r="O587" s="8">
        <f>IFERROR(VLOOKUP($A587,Text_1_2[[Text.1.1.3]:[Text.1.3]],2,FALSE),"")</f>
        <v>48100</v>
      </c>
      <c r="P587" s="2"/>
    </row>
    <row r="588" spans="1:16" x14ac:dyDescent="0.25">
      <c r="A588" s="1">
        <v>39022</v>
      </c>
      <c r="B588">
        <f>HLOOKUP(Dashboard!$I$27,results,ROW(A588),FALSE)</f>
        <v>0.21813917122752158</v>
      </c>
      <c r="C588">
        <f>IFERROR(VLOOKUP(A588,observations_series_id_PCU22112222112243_api_key_ecc133893ea92a842ee685c73424608[],2,FALSE),"")</f>
        <v>140.6</v>
      </c>
      <c r="D588" s="2">
        <f>IFERROR(VLOOKUP(A588,observations_series_id_PCU22112222112243_api_key_ecc133893ea92a842ee685c73424608[],3,FALSE),"")</f>
        <v>0.87624466571834991</v>
      </c>
      <c r="E588" t="str">
        <f>IFERROR(VLOOKUP($A588,observations_series_id_WPU0613020T_api_key_ecc133893ea92a842ee685c734246086_file[],2,FALSE),"")</f>
        <v/>
      </c>
      <c r="F588" s="2" t="str">
        <f>IFERROR(VLOOKUP($A588,observations_series_id_WPU0613020T_api_key_ecc133893ea92a842ee685c734246086_file[],3,FALSE),"")</f>
        <v/>
      </c>
      <c r="G588">
        <f>IFERROR(VLOOKUP($A588,observations_series_id_PCU22122212_api_key_ecc133893ea92a842ee685c734246086_file[],2,FALSE),"")</f>
        <v>127.9</v>
      </c>
      <c r="H588" s="2">
        <f>IFERROR(VLOOKUP($A588,observations_series_id_PCU22122212_api_key_ecc133893ea92a842ee685c734246086_file[],3,FALSE),"")</f>
        <v>0.21813917122752158</v>
      </c>
      <c r="I588">
        <f>IFERROR(VLOOKUP($A588,observations_series_id_PCU3241913241910_api_key_ecc133893ea92a842ee685c734246086[],2,FALSE),"")</f>
        <v>309.8</v>
      </c>
      <c r="J588" s="2">
        <f>IFERROR(VLOOKUP($A588,observations_series_id_PCU3241913241910_api_key_ecc133893ea92a842ee685c734246086[],3,FALSE),"")</f>
        <v>0.83408650742414459</v>
      </c>
      <c r="K588">
        <f>IFERROR(VLOOKUP($A588,observations_series_id_EXJPUS_api_key_ecc133893ea92a842ee685c734246086_file_type[],2,FALSE),"")</f>
        <v>117.3205</v>
      </c>
      <c r="L588" s="2">
        <f>IFERROR(VLOOKUP($A588,observations_series_id_EXJPUS_api_key_ecc133893ea92a842ee685c734246086_file_type[],3,FALSE),"")</f>
        <v>-2.0516405913714992</v>
      </c>
      <c r="M588" t="str">
        <f>IFERROR(AVERAGEIFS(timeseries_access_key_fqeas14oitk235763mntlb1c0brnk9w3fenzqbk313q5kvxyf52kukw1pa[Value.LME-ZNC],timeseries_access_key_fqeas14oitk235763mntlb1c0brnk9w3fenzqbk313q5kvxyf52kukw1pa[Month],MONTH(Data!$A588),timeseries_access_key_fqeas14oitk235763mntlb1c0brnk9w3fenzqbk313q5kvxyf52kukw1pa[Year],YEAR(Data!$A588)),"")</f>
        <v/>
      </c>
      <c r="N588" s="2" t="str">
        <f>IFERROR(AVERAGEIFS(timeseries_access_key_fqeas14oitk235763mntlb1c0brnk9w3fenzqbk313q5kvxyf52kukw1pa[Column1],timeseries_access_key_fqeas14oitk235763mntlb1c0brnk9w3fenzqbk313q5kvxyf52kukw1pa[Month],MONTH(Data!$A588),timeseries_access_key_fqeas14oitk235763mntlb1c0brnk9w3fenzqbk313q5kvxyf52kukw1pa[Year],YEAR(Data!$A588)),"")</f>
        <v/>
      </c>
      <c r="O588" s="8" t="str">
        <f>IFERROR(VLOOKUP($A588,Text_1_2[[Text.1.1.3]:[Text.1.3]],2,FALSE),"")</f>
        <v/>
      </c>
      <c r="P588" s="2"/>
    </row>
    <row r="589" spans="1:16" x14ac:dyDescent="0.25">
      <c r="A589" s="1">
        <v>39052</v>
      </c>
      <c r="B589">
        <f>HLOOKUP(Dashboard!$I$27,results,ROW(A589),FALSE)</f>
        <v>0.23838537699923845</v>
      </c>
      <c r="C589">
        <f>IFERROR(VLOOKUP(A589,observations_series_id_PCU22112222112243_api_key_ecc133893ea92a842ee685c73424608[],2,FALSE),"")</f>
        <v>141.1</v>
      </c>
      <c r="D589" s="2">
        <f>IFERROR(VLOOKUP(A589,observations_series_id_PCU22112222112243_api_key_ecc133893ea92a842ee685c73424608[],3,FALSE),"")</f>
        <v>0.87668320340184269</v>
      </c>
      <c r="E589" t="str">
        <f>IFERROR(VLOOKUP($A589,observations_series_id_WPU0613020T_api_key_ecc133893ea92a842ee685c734246086_file[],2,FALSE),"")</f>
        <v/>
      </c>
      <c r="F589" s="2" t="str">
        <f>IFERROR(VLOOKUP($A589,observations_series_id_WPU0613020T_api_key_ecc133893ea92a842ee685c734246086_file[],3,FALSE),"")</f>
        <v/>
      </c>
      <c r="G589">
        <f>IFERROR(VLOOKUP($A589,observations_series_id_PCU22122212_api_key_ecc133893ea92a842ee685c734246086_file[],2,FALSE),"")</f>
        <v>131.30000000000001</v>
      </c>
      <c r="H589" s="2">
        <f>IFERROR(VLOOKUP($A589,observations_series_id_PCU22122212_api_key_ecc133893ea92a842ee685c734246086_file[],3,FALSE),"")</f>
        <v>0.23838537699923845</v>
      </c>
      <c r="I589">
        <f>IFERROR(VLOOKUP($A589,observations_series_id_PCU3241913241910_api_key_ecc133893ea92a842ee685c734246086[],2,FALSE),"")</f>
        <v>309.7</v>
      </c>
      <c r="J589" s="2">
        <f>IFERROR(VLOOKUP($A589,observations_series_id_PCU3241913241910_api_key_ecc133893ea92a842ee685c734246086[],3,FALSE),"")</f>
        <v>0.83403293509848242</v>
      </c>
      <c r="K589">
        <f>IFERROR(VLOOKUP($A589,observations_series_id_EXJPUS_api_key_ecc133893ea92a842ee685c734246086_file_type[],2,FALSE),"")</f>
        <v>117.322</v>
      </c>
      <c r="L589" s="2">
        <f>IFERROR(VLOOKUP($A589,observations_series_id_EXJPUS_api_key_ecc133893ea92a842ee685c734246086_file_type[],3,FALSE),"")</f>
        <v>-2.0516015751521453</v>
      </c>
      <c r="M589" t="str">
        <f>IFERROR(AVERAGEIFS(timeseries_access_key_fqeas14oitk235763mntlb1c0brnk9w3fenzqbk313q5kvxyf52kukw1pa[Value.LME-ZNC],timeseries_access_key_fqeas14oitk235763mntlb1c0brnk9w3fenzqbk313q5kvxyf52kukw1pa[Month],MONTH(Data!$A589),timeseries_access_key_fqeas14oitk235763mntlb1c0brnk9w3fenzqbk313q5kvxyf52kukw1pa[Year],YEAR(Data!$A589)),"")</f>
        <v/>
      </c>
      <c r="N589" s="2" t="str">
        <f>IFERROR(AVERAGEIFS(timeseries_access_key_fqeas14oitk235763mntlb1c0brnk9w3fenzqbk313q5kvxyf52kukw1pa[Column1],timeseries_access_key_fqeas14oitk235763mntlb1c0brnk9w3fenzqbk313q5kvxyf52kukw1pa[Month],MONTH(Data!$A589),timeseries_access_key_fqeas14oitk235763mntlb1c0brnk9w3fenzqbk313q5kvxyf52kukw1pa[Year],YEAR(Data!$A589)),"")</f>
        <v/>
      </c>
      <c r="O589" s="8" t="str">
        <f>IFERROR(VLOOKUP($A589,Text_1_2[[Text.1.1.3]:[Text.1.3]],2,FALSE),"")</f>
        <v/>
      </c>
      <c r="P589" s="2"/>
    </row>
    <row r="590" spans="1:16" x14ac:dyDescent="0.25">
      <c r="A590" s="1">
        <v>39083</v>
      </c>
      <c r="B590">
        <f>HLOOKUP(Dashboard!$I$27,results,ROW(A590),FALSE)</f>
        <v>0.21691464369616287</v>
      </c>
      <c r="C590">
        <f>IFERROR(VLOOKUP(A590,observations_series_id_PCU22112222112243_api_key_ecc133893ea92a842ee685c73424608[],2,FALSE),"")</f>
        <v>144.5</v>
      </c>
      <c r="D590" s="2">
        <f>IFERROR(VLOOKUP(A590,observations_series_id_PCU22112222112243_api_key_ecc133893ea92a842ee685c73424608[],3,FALSE),"")</f>
        <v>0.87958477508650523</v>
      </c>
      <c r="E590" t="str">
        <f>IFERROR(VLOOKUP($A590,observations_series_id_WPU0613020T_api_key_ecc133893ea92a842ee685c734246086_file[],2,FALSE),"")</f>
        <v/>
      </c>
      <c r="F590" s="2" t="str">
        <f>IFERROR(VLOOKUP($A590,observations_series_id_WPU0613020T_api_key_ecc133893ea92a842ee685c734246086_file[],3,FALSE),"")</f>
        <v/>
      </c>
      <c r="G590">
        <f>IFERROR(VLOOKUP($A590,observations_series_id_PCU22122212_api_key_ecc133893ea92a842ee685c734246086_file[],2,FALSE),"")</f>
        <v>127.7</v>
      </c>
      <c r="H590" s="2">
        <f>IFERROR(VLOOKUP($A590,observations_series_id_PCU22122212_api_key_ecc133893ea92a842ee685c734246086_file[],3,FALSE),"")</f>
        <v>0.21691464369616287</v>
      </c>
      <c r="I590">
        <f>IFERROR(VLOOKUP($A590,observations_series_id_PCU3241913241910_api_key_ecc133893ea92a842ee685c734246086[],2,FALSE),"")</f>
        <v>315.8</v>
      </c>
      <c r="J590" s="2">
        <f>IFERROR(VLOOKUP($A590,observations_series_id_PCU3241913241910_api_key_ecc133893ea92a842ee685c734246086[],3,FALSE),"")</f>
        <v>0.8372387587080431</v>
      </c>
      <c r="K590">
        <f>IFERROR(VLOOKUP($A590,observations_series_id_EXJPUS_api_key_ecc133893ea92a842ee685c734246086_file_type[],2,FALSE),"")</f>
        <v>120.44710000000001</v>
      </c>
      <c r="L590" s="2">
        <f>IFERROR(VLOOKUP($A590,observations_series_id_EXJPUS_api_key_ecc133893ea92a842ee685c734246086_file_type[],3,FALSE),"")</f>
        <v>-1.9724252389638268</v>
      </c>
      <c r="M590" t="str">
        <f>IFERROR(AVERAGEIFS(timeseries_access_key_fqeas14oitk235763mntlb1c0brnk9w3fenzqbk313q5kvxyf52kukw1pa[Value.LME-ZNC],timeseries_access_key_fqeas14oitk235763mntlb1c0brnk9w3fenzqbk313q5kvxyf52kukw1pa[Month],MONTH(Data!$A590),timeseries_access_key_fqeas14oitk235763mntlb1c0brnk9w3fenzqbk313q5kvxyf52kukw1pa[Year],YEAR(Data!$A590)),"")</f>
        <v/>
      </c>
      <c r="N590" s="2" t="str">
        <f>IFERROR(AVERAGEIFS(timeseries_access_key_fqeas14oitk235763mntlb1c0brnk9w3fenzqbk313q5kvxyf52kukw1pa[Column1],timeseries_access_key_fqeas14oitk235763mntlb1c0brnk9w3fenzqbk313q5kvxyf52kukw1pa[Month],MONTH(Data!$A590),timeseries_access_key_fqeas14oitk235763mntlb1c0brnk9w3fenzqbk313q5kvxyf52kukw1pa[Year],YEAR(Data!$A590)),"")</f>
        <v/>
      </c>
      <c r="O590" s="8">
        <f>IFERROR(VLOOKUP($A590,Text_1_2[[Text.1.1.3]:[Text.1.3]],2,FALSE),"")</f>
        <v>48800</v>
      </c>
      <c r="P590" s="2"/>
    </row>
    <row r="591" spans="1:16" x14ac:dyDescent="0.25">
      <c r="A591" s="1">
        <v>39114</v>
      </c>
      <c r="B591">
        <f>HLOOKUP(Dashboard!$I$27,results,ROW(A591),FALSE)</f>
        <v>0.21935987509757993</v>
      </c>
      <c r="C591">
        <f>IFERROR(VLOOKUP(A591,observations_series_id_PCU22112222112243_api_key_ecc133893ea92a842ee685c73424608[],2,FALSE),"")</f>
        <v>147.69999999999999</v>
      </c>
      <c r="D591" s="2">
        <f>IFERROR(VLOOKUP(A591,observations_series_id_PCU22112222112243_api_key_ecc133893ea92a842ee685c73424608[],3,FALSE),"")</f>
        <v>0.88219363574813814</v>
      </c>
      <c r="E591" t="str">
        <f>IFERROR(VLOOKUP($A591,observations_series_id_WPU0613020T_api_key_ecc133893ea92a842ee685c734246086_file[],2,FALSE),"")</f>
        <v/>
      </c>
      <c r="F591" s="2" t="str">
        <f>IFERROR(VLOOKUP($A591,observations_series_id_WPU0613020T_api_key_ecc133893ea92a842ee685c734246086_file[],3,FALSE),"")</f>
        <v/>
      </c>
      <c r="G591">
        <f>IFERROR(VLOOKUP($A591,observations_series_id_PCU22122212_api_key_ecc133893ea92a842ee685c734246086_file[],2,FALSE),"")</f>
        <v>128.1</v>
      </c>
      <c r="H591" s="2">
        <f>IFERROR(VLOOKUP($A591,observations_series_id_PCU22122212_api_key_ecc133893ea92a842ee685c734246086_file[],3,FALSE),"")</f>
        <v>0.21935987509757993</v>
      </c>
      <c r="I591">
        <f>IFERROR(VLOOKUP($A591,observations_series_id_PCU3241913241910_api_key_ecc133893ea92a842ee685c734246086[],2,FALSE),"")</f>
        <v>316.39999999999998</v>
      </c>
      <c r="J591" s="2">
        <f>IFERROR(VLOOKUP($A591,observations_series_id_PCU3241913241910_api_key_ecc133893ea92a842ee685c734246086[],3,FALSE),"")</f>
        <v>0.83754740834386854</v>
      </c>
      <c r="K591">
        <f>IFERROR(VLOOKUP($A591,observations_series_id_EXJPUS_api_key_ecc133893ea92a842ee685c734246086_file_type[],2,FALSE),"")</f>
        <v>120.5047</v>
      </c>
      <c r="L591" s="2">
        <f>IFERROR(VLOOKUP($A591,observations_series_id_EXJPUS_api_key_ecc133893ea92a842ee685c734246086_file_type[],3,FALSE),"")</f>
        <v>-1.9710044504488207</v>
      </c>
      <c r="M591" t="str">
        <f>IFERROR(AVERAGEIFS(timeseries_access_key_fqeas14oitk235763mntlb1c0brnk9w3fenzqbk313q5kvxyf52kukw1pa[Value.LME-ZNC],timeseries_access_key_fqeas14oitk235763mntlb1c0brnk9w3fenzqbk313q5kvxyf52kukw1pa[Month],MONTH(Data!$A591),timeseries_access_key_fqeas14oitk235763mntlb1c0brnk9w3fenzqbk313q5kvxyf52kukw1pa[Year],YEAR(Data!$A591)),"")</f>
        <v/>
      </c>
      <c r="N591" s="2" t="str">
        <f>IFERROR(AVERAGEIFS(timeseries_access_key_fqeas14oitk235763mntlb1c0brnk9w3fenzqbk313q5kvxyf52kukw1pa[Column1],timeseries_access_key_fqeas14oitk235763mntlb1c0brnk9w3fenzqbk313q5kvxyf52kukw1pa[Month],MONTH(Data!$A591),timeseries_access_key_fqeas14oitk235763mntlb1c0brnk9w3fenzqbk313q5kvxyf52kukw1pa[Year],YEAR(Data!$A591)),"")</f>
        <v/>
      </c>
      <c r="O591" s="8" t="str">
        <f>IFERROR(VLOOKUP($A591,Text_1_2[[Text.1.1.3]:[Text.1.3]],2,FALSE),"")</f>
        <v/>
      </c>
      <c r="P591" s="2"/>
    </row>
    <row r="592" spans="1:16" x14ac:dyDescent="0.25">
      <c r="A592" s="1">
        <v>39142</v>
      </c>
      <c r="B592">
        <f>HLOOKUP(Dashboard!$I$27,results,ROW(A592),FALSE)</f>
        <v>0.23780487804878048</v>
      </c>
      <c r="C592">
        <f>IFERROR(VLOOKUP(A592,observations_series_id_PCU22112222112243_api_key_ecc133893ea92a842ee685c73424608[],2,FALSE),"")</f>
        <v>144.69999999999999</v>
      </c>
      <c r="D592" s="2">
        <f>IFERROR(VLOOKUP(A592,observations_series_id_PCU22112222112243_api_key_ecc133893ea92a842ee685c73424608[],3,FALSE),"")</f>
        <v>0.87975120939875606</v>
      </c>
      <c r="E592" t="str">
        <f>IFERROR(VLOOKUP($A592,observations_series_id_WPU0613020T_api_key_ecc133893ea92a842ee685c734246086_file[],2,FALSE),"")</f>
        <v/>
      </c>
      <c r="F592" s="2" t="str">
        <f>IFERROR(VLOOKUP($A592,observations_series_id_WPU0613020T_api_key_ecc133893ea92a842ee685c734246086_file[],3,FALSE),"")</f>
        <v/>
      </c>
      <c r="G592">
        <f>IFERROR(VLOOKUP($A592,observations_series_id_PCU22122212_api_key_ecc133893ea92a842ee685c734246086_file[],2,FALSE),"")</f>
        <v>131.19999999999999</v>
      </c>
      <c r="H592" s="2">
        <f>IFERROR(VLOOKUP($A592,observations_series_id_PCU22122212_api_key_ecc133893ea92a842ee685c734246086_file[],3,FALSE),"")</f>
        <v>0.23780487804878048</v>
      </c>
      <c r="I592">
        <f>IFERROR(VLOOKUP($A592,observations_series_id_PCU3241913241910_api_key_ecc133893ea92a842ee685c734246086[],2,FALSE),"")</f>
        <v>315.60000000000002</v>
      </c>
      <c r="J592" s="2">
        <f>IFERROR(VLOOKUP($A592,observations_series_id_PCU3241913241910_api_key_ecc133893ea92a842ee685c734246086[],3,FALSE),"")</f>
        <v>0.8371356147021547</v>
      </c>
      <c r="K592">
        <f>IFERROR(VLOOKUP($A592,observations_series_id_EXJPUS_api_key_ecc133893ea92a842ee685c734246086_file_type[],2,FALSE),"")</f>
        <v>117.26</v>
      </c>
      <c r="L592" s="2">
        <f>IFERROR(VLOOKUP($A592,observations_series_id_EXJPUS_api_key_ecc133893ea92a842ee685c734246086_file_type[],3,FALSE),"")</f>
        <v>-2.0532150776053211</v>
      </c>
      <c r="M592" t="str">
        <f>IFERROR(AVERAGEIFS(timeseries_access_key_fqeas14oitk235763mntlb1c0brnk9w3fenzqbk313q5kvxyf52kukw1pa[Value.LME-ZNC],timeseries_access_key_fqeas14oitk235763mntlb1c0brnk9w3fenzqbk313q5kvxyf52kukw1pa[Month],MONTH(Data!$A592),timeseries_access_key_fqeas14oitk235763mntlb1c0brnk9w3fenzqbk313q5kvxyf52kukw1pa[Year],YEAR(Data!$A592)),"")</f>
        <v/>
      </c>
      <c r="N592" s="2" t="str">
        <f>IFERROR(AVERAGEIFS(timeseries_access_key_fqeas14oitk235763mntlb1c0brnk9w3fenzqbk313q5kvxyf52kukw1pa[Column1],timeseries_access_key_fqeas14oitk235763mntlb1c0brnk9w3fenzqbk313q5kvxyf52kukw1pa[Month],MONTH(Data!$A592),timeseries_access_key_fqeas14oitk235763mntlb1c0brnk9w3fenzqbk313q5kvxyf52kukw1pa[Year],YEAR(Data!$A592)),"")</f>
        <v/>
      </c>
      <c r="O592" s="8" t="str">
        <f>IFERROR(VLOOKUP($A592,Text_1_2[[Text.1.1.3]:[Text.1.3]],2,FALSE),"")</f>
        <v/>
      </c>
      <c r="P592" s="2"/>
    </row>
    <row r="593" spans="1:16" x14ac:dyDescent="0.25">
      <c r="A593" s="1">
        <v>39173</v>
      </c>
      <c r="B593">
        <f>HLOOKUP(Dashboard!$I$27,results,ROW(A593),FALSE)</f>
        <v>0.23136049192928509</v>
      </c>
      <c r="C593">
        <f>IFERROR(VLOOKUP(A593,observations_series_id_PCU22112222112243_api_key_ecc133893ea92a842ee685c73424608[],2,FALSE),"")</f>
        <v>145.6</v>
      </c>
      <c r="D593" s="2">
        <f>IFERROR(VLOOKUP(A593,observations_series_id_PCU22112222112243_api_key_ecc133893ea92a842ee685c73424608[],3,FALSE),"")</f>
        <v>0.88049450549450547</v>
      </c>
      <c r="E593" t="str">
        <f>IFERROR(VLOOKUP($A593,observations_series_id_WPU0613020T_api_key_ecc133893ea92a842ee685c734246086_file[],2,FALSE),"")</f>
        <v/>
      </c>
      <c r="F593" s="2" t="str">
        <f>IFERROR(VLOOKUP($A593,observations_series_id_WPU0613020T_api_key_ecc133893ea92a842ee685c734246086_file[],3,FALSE),"")</f>
        <v/>
      </c>
      <c r="G593">
        <f>IFERROR(VLOOKUP($A593,observations_series_id_PCU22122212_api_key_ecc133893ea92a842ee685c734246086_file[],2,FALSE),"")</f>
        <v>130.1</v>
      </c>
      <c r="H593" s="2">
        <f>IFERROR(VLOOKUP($A593,observations_series_id_PCU22122212_api_key_ecc133893ea92a842ee685c734246086_file[],3,FALSE),"")</f>
        <v>0.23136049192928509</v>
      </c>
      <c r="I593">
        <f>IFERROR(VLOOKUP($A593,observations_series_id_PCU3241913241910_api_key_ecc133893ea92a842ee685c734246086[],2,FALSE),"")</f>
        <v>315</v>
      </c>
      <c r="J593" s="2">
        <f>IFERROR(VLOOKUP($A593,observations_series_id_PCU3241913241910_api_key_ecc133893ea92a842ee685c734246086[],3,FALSE),"")</f>
        <v>0.83682539682539681</v>
      </c>
      <c r="K593">
        <f>IFERROR(VLOOKUP($A593,observations_series_id_EXJPUS_api_key_ecc133893ea92a842ee685c734246086_file_type[],2,FALSE),"")</f>
        <v>118.9324</v>
      </c>
      <c r="L593" s="2">
        <f>IFERROR(VLOOKUP($A593,observations_series_id_EXJPUS_api_key_ecc133893ea92a842ee685c734246086_file_type[],3,FALSE),"")</f>
        <v>-2.0102814708187169</v>
      </c>
      <c r="M593" t="str">
        <f>IFERROR(AVERAGEIFS(timeseries_access_key_fqeas14oitk235763mntlb1c0brnk9w3fenzqbk313q5kvxyf52kukw1pa[Value.LME-ZNC],timeseries_access_key_fqeas14oitk235763mntlb1c0brnk9w3fenzqbk313q5kvxyf52kukw1pa[Month],MONTH(Data!$A593),timeseries_access_key_fqeas14oitk235763mntlb1c0brnk9w3fenzqbk313q5kvxyf52kukw1pa[Year],YEAR(Data!$A593)),"")</f>
        <v/>
      </c>
      <c r="N593" s="2" t="str">
        <f>IFERROR(AVERAGEIFS(timeseries_access_key_fqeas14oitk235763mntlb1c0brnk9w3fenzqbk313q5kvxyf52kukw1pa[Column1],timeseries_access_key_fqeas14oitk235763mntlb1c0brnk9w3fenzqbk313q5kvxyf52kukw1pa[Month],MONTH(Data!$A593),timeseries_access_key_fqeas14oitk235763mntlb1c0brnk9w3fenzqbk313q5kvxyf52kukw1pa[Year],YEAR(Data!$A593)),"")</f>
        <v/>
      </c>
      <c r="O593" s="8">
        <f>IFERROR(VLOOKUP($A593,Text_1_2[[Text.1.1.3]:[Text.1.3]],2,FALSE),"")</f>
        <v>57800</v>
      </c>
      <c r="P593" s="2"/>
    </row>
    <row r="594" spans="1:16" x14ac:dyDescent="0.25">
      <c r="A594" s="1">
        <v>39203</v>
      </c>
      <c r="B594">
        <f>HLOOKUP(Dashboard!$I$27,results,ROW(A594),FALSE)</f>
        <v>0.23136049192928509</v>
      </c>
      <c r="C594">
        <f>IFERROR(VLOOKUP(A594,observations_series_id_PCU22112222112243_api_key_ecc133893ea92a842ee685c73424608[],2,FALSE),"")</f>
        <v>150.69999999999999</v>
      </c>
      <c r="D594" s="2">
        <f>IFERROR(VLOOKUP(A594,observations_series_id_PCU22112222112243_api_key_ecc133893ea92a842ee685c73424608[],3,FALSE),"")</f>
        <v>0.88453881884538821</v>
      </c>
      <c r="E594" t="str">
        <f>IFERROR(VLOOKUP($A594,observations_series_id_WPU0613020T_api_key_ecc133893ea92a842ee685c734246086_file[],2,FALSE),"")</f>
        <v/>
      </c>
      <c r="F594" s="2" t="str">
        <f>IFERROR(VLOOKUP($A594,observations_series_id_WPU0613020T_api_key_ecc133893ea92a842ee685c734246086_file[],3,FALSE),"")</f>
        <v/>
      </c>
      <c r="G594">
        <f>IFERROR(VLOOKUP($A594,observations_series_id_PCU22122212_api_key_ecc133893ea92a842ee685c734246086_file[],2,FALSE),"")</f>
        <v>130.1</v>
      </c>
      <c r="H594" s="2">
        <f>IFERROR(VLOOKUP($A594,observations_series_id_PCU22122212_api_key_ecc133893ea92a842ee685c734246086_file[],3,FALSE),"")</f>
        <v>0.23136049192928509</v>
      </c>
      <c r="I594">
        <f>IFERROR(VLOOKUP($A594,observations_series_id_PCU3241913241910_api_key_ecc133893ea92a842ee685c734246086[],2,FALSE),"")</f>
        <v>317.8</v>
      </c>
      <c r="J594" s="2">
        <f>IFERROR(VLOOKUP($A594,observations_series_id_PCU3241913241910_api_key_ecc133893ea92a842ee685c734246086[],3,FALSE),"")</f>
        <v>0.8382630585273757</v>
      </c>
      <c r="K594">
        <f>IFERROR(VLOOKUP($A594,observations_series_id_EXJPUS_api_key_ecc133893ea92a842ee685c734246086_file_type[],2,FALSE),"")</f>
        <v>120.7732</v>
      </c>
      <c r="L594" s="2">
        <f>IFERROR(VLOOKUP($A594,observations_series_id_EXJPUS_api_key_ecc133893ea92a842ee685c734246086_file_type[],3,FALSE),"")</f>
        <v>-1.9643993866188856</v>
      </c>
      <c r="M594" t="str">
        <f>IFERROR(AVERAGEIFS(timeseries_access_key_fqeas14oitk235763mntlb1c0brnk9w3fenzqbk313q5kvxyf52kukw1pa[Value.LME-ZNC],timeseries_access_key_fqeas14oitk235763mntlb1c0brnk9w3fenzqbk313q5kvxyf52kukw1pa[Month],MONTH(Data!$A594),timeseries_access_key_fqeas14oitk235763mntlb1c0brnk9w3fenzqbk313q5kvxyf52kukw1pa[Year],YEAR(Data!$A594)),"")</f>
        <v/>
      </c>
      <c r="N594" s="2" t="str">
        <f>IFERROR(AVERAGEIFS(timeseries_access_key_fqeas14oitk235763mntlb1c0brnk9w3fenzqbk313q5kvxyf52kukw1pa[Column1],timeseries_access_key_fqeas14oitk235763mntlb1c0brnk9w3fenzqbk313q5kvxyf52kukw1pa[Month],MONTH(Data!$A594),timeseries_access_key_fqeas14oitk235763mntlb1c0brnk9w3fenzqbk313q5kvxyf52kukw1pa[Year],YEAR(Data!$A594)),"")</f>
        <v/>
      </c>
      <c r="O594" s="8" t="str">
        <f>IFERROR(VLOOKUP($A594,Text_1_2[[Text.1.1.3]:[Text.1.3]],2,FALSE),"")</f>
        <v/>
      </c>
      <c r="P594" s="2"/>
    </row>
    <row r="595" spans="1:16" x14ac:dyDescent="0.25">
      <c r="A595" s="1">
        <v>39234</v>
      </c>
      <c r="B595">
        <f>HLOOKUP(Dashboard!$I$27,results,ROW(A595),FALSE)</f>
        <v>0.24812030075187974</v>
      </c>
      <c r="C595">
        <f>IFERROR(VLOOKUP(A595,observations_series_id_PCU22112222112243_api_key_ecc133893ea92a842ee685c73424608[],2,FALSE),"")</f>
        <v>157</v>
      </c>
      <c r="D595" s="2">
        <f>IFERROR(VLOOKUP(A595,observations_series_id_PCU22112222112243_api_key_ecc133893ea92a842ee685c73424608[],3,FALSE),"")</f>
        <v>0.88917197452229302</v>
      </c>
      <c r="E595" t="str">
        <f>IFERROR(VLOOKUP($A595,observations_series_id_WPU0613020T_api_key_ecc133893ea92a842ee685c734246086_file[],2,FALSE),"")</f>
        <v/>
      </c>
      <c r="F595" s="2" t="str">
        <f>IFERROR(VLOOKUP($A595,observations_series_id_WPU0613020T_api_key_ecc133893ea92a842ee685c734246086_file[],3,FALSE),"")</f>
        <v/>
      </c>
      <c r="G595">
        <f>IFERROR(VLOOKUP($A595,observations_series_id_PCU22122212_api_key_ecc133893ea92a842ee685c734246086_file[],2,FALSE),"")</f>
        <v>133</v>
      </c>
      <c r="H595" s="2">
        <f>IFERROR(VLOOKUP($A595,observations_series_id_PCU22122212_api_key_ecc133893ea92a842ee685c734246086_file[],3,FALSE),"")</f>
        <v>0.24812030075187974</v>
      </c>
      <c r="I595">
        <f>IFERROR(VLOOKUP($A595,observations_series_id_PCU3241913241910_api_key_ecc133893ea92a842ee685c734246086[],2,FALSE),"")</f>
        <v>316.60000000000002</v>
      </c>
      <c r="J595" s="2">
        <f>IFERROR(VLOOKUP($A595,observations_series_id_PCU3241913241910_api_key_ecc133893ea92a842ee685c734246086[],3,FALSE),"")</f>
        <v>0.83765003158559703</v>
      </c>
      <c r="K595">
        <f>IFERROR(VLOOKUP($A595,observations_series_id_EXJPUS_api_key_ecc133893ea92a842ee685c734246086_file_type[],2,FALSE),"")</f>
        <v>122.68859999999999</v>
      </c>
      <c r="L595" s="2">
        <f>IFERROR(VLOOKUP($A595,observations_series_id_EXJPUS_api_key_ecc133893ea92a842ee685c734246086_file_type[],3,FALSE),"")</f>
        <v>-1.9181195318880482</v>
      </c>
      <c r="M595" t="str">
        <f>IFERROR(AVERAGEIFS(timeseries_access_key_fqeas14oitk235763mntlb1c0brnk9w3fenzqbk313q5kvxyf52kukw1pa[Value.LME-ZNC],timeseries_access_key_fqeas14oitk235763mntlb1c0brnk9w3fenzqbk313q5kvxyf52kukw1pa[Month],MONTH(Data!$A595),timeseries_access_key_fqeas14oitk235763mntlb1c0brnk9w3fenzqbk313q5kvxyf52kukw1pa[Year],YEAR(Data!$A595)),"")</f>
        <v/>
      </c>
      <c r="N595" s="2" t="str">
        <f>IFERROR(AVERAGEIFS(timeseries_access_key_fqeas14oitk235763mntlb1c0brnk9w3fenzqbk313q5kvxyf52kukw1pa[Column1],timeseries_access_key_fqeas14oitk235763mntlb1c0brnk9w3fenzqbk313q5kvxyf52kukw1pa[Month],MONTH(Data!$A595),timeseries_access_key_fqeas14oitk235763mntlb1c0brnk9w3fenzqbk313q5kvxyf52kukw1pa[Year],YEAR(Data!$A595)),"")</f>
        <v/>
      </c>
      <c r="O595" s="8" t="str">
        <f>IFERROR(VLOOKUP($A595,Text_1_2[[Text.1.1.3]:[Text.1.3]],2,FALSE),"")</f>
        <v/>
      </c>
      <c r="P595" s="2"/>
    </row>
    <row r="596" spans="1:16" x14ac:dyDescent="0.25">
      <c r="A596" s="1">
        <v>39264</v>
      </c>
      <c r="B596">
        <f>HLOOKUP(Dashboard!$I$27,results,ROW(A596),FALSE)</f>
        <v>0.24924924924924918</v>
      </c>
      <c r="C596">
        <f>IFERROR(VLOOKUP(A596,observations_series_id_PCU22112222112243_api_key_ecc133893ea92a842ee685c73424608[],2,FALSE),"")</f>
        <v>157.19999999999999</v>
      </c>
      <c r="D596" s="2">
        <f>IFERROR(VLOOKUP(A596,observations_series_id_PCU22112222112243_api_key_ecc133893ea92a842ee685c73424608[],3,FALSE),"")</f>
        <v>0.88931297709923662</v>
      </c>
      <c r="E596" t="str">
        <f>IFERROR(VLOOKUP($A596,observations_series_id_WPU0613020T_api_key_ecc133893ea92a842ee685c734246086_file[],2,FALSE),"")</f>
        <v/>
      </c>
      <c r="F596" s="2" t="str">
        <f>IFERROR(VLOOKUP($A596,observations_series_id_WPU0613020T_api_key_ecc133893ea92a842ee685c734246086_file[],3,FALSE),"")</f>
        <v/>
      </c>
      <c r="G596">
        <f>IFERROR(VLOOKUP($A596,observations_series_id_PCU22122212_api_key_ecc133893ea92a842ee685c734246086_file[],2,FALSE),"")</f>
        <v>133.19999999999999</v>
      </c>
      <c r="H596" s="2">
        <f>IFERROR(VLOOKUP($A596,observations_series_id_PCU22122212_api_key_ecc133893ea92a842ee685c734246086_file[],3,FALSE),"")</f>
        <v>0.24924924924924918</v>
      </c>
      <c r="I596">
        <f>IFERROR(VLOOKUP($A596,observations_series_id_PCU3241913241910_api_key_ecc133893ea92a842ee685c734246086[],2,FALSE),"")</f>
        <v>312.8</v>
      </c>
      <c r="J596" s="2">
        <f>IFERROR(VLOOKUP($A596,observations_series_id_PCU3241913241910_api_key_ecc133893ea92a842ee685c734246086[],3,FALSE),"")</f>
        <v>0.83567774936061379</v>
      </c>
      <c r="K596">
        <f>IFERROR(VLOOKUP($A596,observations_series_id_EXJPUS_api_key_ecc133893ea92a842ee685c734246086_file_type[],2,FALSE),"")</f>
        <v>121.4148</v>
      </c>
      <c r="L596" s="2">
        <f>IFERROR(VLOOKUP($A596,observations_series_id_EXJPUS_api_key_ecc133893ea92a842ee685c734246086_file_type[],3,FALSE),"")</f>
        <v>-1.948734421174354</v>
      </c>
      <c r="M596" t="str">
        <f>IFERROR(AVERAGEIFS(timeseries_access_key_fqeas14oitk235763mntlb1c0brnk9w3fenzqbk313q5kvxyf52kukw1pa[Value.LME-ZNC],timeseries_access_key_fqeas14oitk235763mntlb1c0brnk9w3fenzqbk313q5kvxyf52kukw1pa[Month],MONTH(Data!$A596),timeseries_access_key_fqeas14oitk235763mntlb1c0brnk9w3fenzqbk313q5kvxyf52kukw1pa[Year],YEAR(Data!$A596)),"")</f>
        <v/>
      </c>
      <c r="N596" s="2" t="str">
        <f>IFERROR(AVERAGEIFS(timeseries_access_key_fqeas14oitk235763mntlb1c0brnk9w3fenzqbk313q5kvxyf52kukw1pa[Column1],timeseries_access_key_fqeas14oitk235763mntlb1c0brnk9w3fenzqbk313q5kvxyf52kukw1pa[Month],MONTH(Data!$A596),timeseries_access_key_fqeas14oitk235763mntlb1c0brnk9w3fenzqbk313q5kvxyf52kukw1pa[Year],YEAR(Data!$A596)),"")</f>
        <v/>
      </c>
      <c r="O596" s="8">
        <f>IFERROR(VLOOKUP($A596,Text_1_2[[Text.1.1.3]:[Text.1.3]],2,FALSE),"")</f>
        <v>59700</v>
      </c>
      <c r="P596" s="2"/>
    </row>
    <row r="597" spans="1:16" x14ac:dyDescent="0.25">
      <c r="A597" s="1">
        <v>39295</v>
      </c>
      <c r="B597">
        <f>HLOOKUP(Dashboard!$I$27,results,ROW(A597),FALSE)</f>
        <v>0.20571882446386025</v>
      </c>
      <c r="C597">
        <f>IFERROR(VLOOKUP(A597,observations_series_id_PCU22112222112243_api_key_ecc133893ea92a842ee685c73424608[],2,FALSE),"")</f>
        <v>157.80000000000001</v>
      </c>
      <c r="D597" s="2">
        <f>IFERROR(VLOOKUP(A597,observations_series_id_PCU22112222112243_api_key_ecc133893ea92a842ee685c73424608[],3,FALSE),"")</f>
        <v>0.88973384030418257</v>
      </c>
      <c r="E597" t="str">
        <f>IFERROR(VLOOKUP($A597,observations_series_id_WPU0613020T_api_key_ecc133893ea92a842ee685c734246086_file[],2,FALSE),"")</f>
        <v/>
      </c>
      <c r="F597" s="2" t="str">
        <f>IFERROR(VLOOKUP($A597,observations_series_id_WPU0613020T_api_key_ecc133893ea92a842ee685c734246086_file[],3,FALSE),"")</f>
        <v/>
      </c>
      <c r="G597">
        <f>IFERROR(VLOOKUP($A597,observations_series_id_PCU22122212_api_key_ecc133893ea92a842ee685c734246086_file[],2,FALSE),"")</f>
        <v>125.9</v>
      </c>
      <c r="H597" s="2">
        <f>IFERROR(VLOOKUP($A597,observations_series_id_PCU22122212_api_key_ecc133893ea92a842ee685c734246086_file[],3,FALSE),"")</f>
        <v>0.20571882446386025</v>
      </c>
      <c r="I597">
        <f>IFERROR(VLOOKUP($A597,observations_series_id_PCU3241913241910_api_key_ecc133893ea92a842ee685c734246086[],2,FALSE),"")</f>
        <v>315.2</v>
      </c>
      <c r="J597" s="2">
        <f>IFERROR(VLOOKUP($A597,observations_series_id_PCU3241913241910_api_key_ecc133893ea92a842ee685c734246086[],3,FALSE),"")</f>
        <v>0.83692893401015223</v>
      </c>
      <c r="K597">
        <f>IFERROR(VLOOKUP($A597,observations_series_id_EXJPUS_api_key_ecc133893ea92a842ee685c734246086_file_type[],2,FALSE),"")</f>
        <v>116.73350000000001</v>
      </c>
      <c r="L597" s="2">
        <f>IFERROR(VLOOKUP($A597,observations_series_id_EXJPUS_api_key_ecc133893ea92a842ee685c734246086_file_type[],3,FALSE),"")</f>
        <v>-2.0669859123559213</v>
      </c>
      <c r="M597" t="str">
        <f>IFERROR(AVERAGEIFS(timeseries_access_key_fqeas14oitk235763mntlb1c0brnk9w3fenzqbk313q5kvxyf52kukw1pa[Value.LME-ZNC],timeseries_access_key_fqeas14oitk235763mntlb1c0brnk9w3fenzqbk313q5kvxyf52kukw1pa[Month],MONTH(Data!$A597),timeseries_access_key_fqeas14oitk235763mntlb1c0brnk9w3fenzqbk313q5kvxyf52kukw1pa[Year],YEAR(Data!$A597)),"")</f>
        <v/>
      </c>
      <c r="N597" s="2" t="str">
        <f>IFERROR(AVERAGEIFS(timeseries_access_key_fqeas14oitk235763mntlb1c0brnk9w3fenzqbk313q5kvxyf52kukw1pa[Column1],timeseries_access_key_fqeas14oitk235763mntlb1c0brnk9w3fenzqbk313q5kvxyf52kukw1pa[Month],MONTH(Data!$A597),timeseries_access_key_fqeas14oitk235763mntlb1c0brnk9w3fenzqbk313q5kvxyf52kukw1pa[Year],YEAR(Data!$A597)),"")</f>
        <v/>
      </c>
      <c r="O597" s="8" t="str">
        <f>IFERROR(VLOOKUP($A597,Text_1_2[[Text.1.1.3]:[Text.1.3]],2,FALSE),"")</f>
        <v/>
      </c>
      <c r="P597" s="2"/>
    </row>
    <row r="598" spans="1:16" x14ac:dyDescent="0.25">
      <c r="A598" s="1">
        <v>39326</v>
      </c>
      <c r="B598">
        <f>HLOOKUP(Dashboard!$I$27,results,ROW(A598),FALSE)</f>
        <v>0.20508744038155802</v>
      </c>
      <c r="C598">
        <f>IFERROR(VLOOKUP(A598,observations_series_id_PCU22112222112243_api_key_ecc133893ea92a842ee685c73424608[],2,FALSE),"")</f>
        <v>158.4</v>
      </c>
      <c r="D598" s="2">
        <f>IFERROR(VLOOKUP(A598,observations_series_id_PCU22112222112243_api_key_ecc133893ea92a842ee685c73424608[],3,FALSE),"")</f>
        <v>0.89015151515151514</v>
      </c>
      <c r="E598" t="str">
        <f>IFERROR(VLOOKUP($A598,observations_series_id_WPU0613020T_api_key_ecc133893ea92a842ee685c734246086_file[],2,FALSE),"")</f>
        <v/>
      </c>
      <c r="F598" s="2" t="str">
        <f>IFERROR(VLOOKUP($A598,observations_series_id_WPU0613020T_api_key_ecc133893ea92a842ee685c734246086_file[],3,FALSE),"")</f>
        <v/>
      </c>
      <c r="G598">
        <f>IFERROR(VLOOKUP($A598,observations_series_id_PCU22122212_api_key_ecc133893ea92a842ee685c734246086_file[],2,FALSE),"")</f>
        <v>125.8</v>
      </c>
      <c r="H598" s="2">
        <f>IFERROR(VLOOKUP($A598,observations_series_id_PCU22122212_api_key_ecc133893ea92a842ee685c734246086_file[],3,FALSE),"")</f>
        <v>0.20508744038155802</v>
      </c>
      <c r="I598">
        <f>IFERROR(VLOOKUP($A598,observations_series_id_PCU3241913241910_api_key_ecc133893ea92a842ee685c734246086[],2,FALSE),"")</f>
        <v>313.5</v>
      </c>
      <c r="J598" s="2">
        <f>IFERROR(VLOOKUP($A598,observations_series_id_PCU3241913241910_api_key_ecc133893ea92a842ee685c734246086[],3,FALSE),"")</f>
        <v>0.8360446570972887</v>
      </c>
      <c r="K598">
        <f>IFERROR(VLOOKUP($A598,observations_series_id_EXJPUS_api_key_ecc133893ea92a842ee685c734246086_file_type[],2,FALSE),"")</f>
        <v>115.04349999999999</v>
      </c>
      <c r="L598" s="2">
        <f>IFERROR(VLOOKUP($A598,observations_series_id_EXJPUS_api_key_ecc133893ea92a842ee685c734246086_file_type[],3,FALSE),"")</f>
        <v>-2.1120402282614839</v>
      </c>
      <c r="M598" t="str">
        <f>IFERROR(AVERAGEIFS(timeseries_access_key_fqeas14oitk235763mntlb1c0brnk9w3fenzqbk313q5kvxyf52kukw1pa[Value.LME-ZNC],timeseries_access_key_fqeas14oitk235763mntlb1c0brnk9w3fenzqbk313q5kvxyf52kukw1pa[Month],MONTH(Data!$A598),timeseries_access_key_fqeas14oitk235763mntlb1c0brnk9w3fenzqbk313q5kvxyf52kukw1pa[Year],YEAR(Data!$A598)),"")</f>
        <v/>
      </c>
      <c r="N598" s="2" t="str">
        <f>IFERROR(AVERAGEIFS(timeseries_access_key_fqeas14oitk235763mntlb1c0brnk9w3fenzqbk313q5kvxyf52kukw1pa[Column1],timeseries_access_key_fqeas14oitk235763mntlb1c0brnk9w3fenzqbk313q5kvxyf52kukw1pa[Month],MONTH(Data!$A598),timeseries_access_key_fqeas14oitk235763mntlb1c0brnk9w3fenzqbk313q5kvxyf52kukw1pa[Year],YEAR(Data!$A598)),"")</f>
        <v/>
      </c>
      <c r="O598" s="8" t="str">
        <f>IFERROR(VLOOKUP($A598,Text_1_2[[Text.1.1.3]:[Text.1.3]],2,FALSE),"")</f>
        <v/>
      </c>
      <c r="P598" s="2"/>
    </row>
    <row r="599" spans="1:16" x14ac:dyDescent="0.25">
      <c r="A599" s="1">
        <v>39356</v>
      </c>
      <c r="B599">
        <f>HLOOKUP(Dashboard!$I$27,results,ROW(A599),FALSE)</f>
        <v>0.19871794871794868</v>
      </c>
      <c r="C599">
        <f>IFERROR(VLOOKUP(A599,observations_series_id_PCU22112222112243_api_key_ecc133893ea92a842ee685c73424608[],2,FALSE),"")</f>
        <v>153.6</v>
      </c>
      <c r="D599" s="2">
        <f>IFERROR(VLOOKUP(A599,observations_series_id_PCU22112222112243_api_key_ecc133893ea92a842ee685c73424608[],3,FALSE),"")</f>
        <v>0.88671875</v>
      </c>
      <c r="E599" t="str">
        <f>IFERROR(VLOOKUP($A599,observations_series_id_WPU0613020T_api_key_ecc133893ea92a842ee685c734246086_file[],2,FALSE),"")</f>
        <v/>
      </c>
      <c r="F599" s="2" t="str">
        <f>IFERROR(VLOOKUP($A599,observations_series_id_WPU0613020T_api_key_ecc133893ea92a842ee685c734246086_file[],3,FALSE),"")</f>
        <v/>
      </c>
      <c r="G599">
        <f>IFERROR(VLOOKUP($A599,observations_series_id_PCU22122212_api_key_ecc133893ea92a842ee685c734246086_file[],2,FALSE),"")</f>
        <v>124.8</v>
      </c>
      <c r="H599" s="2">
        <f>IFERROR(VLOOKUP($A599,observations_series_id_PCU22122212_api_key_ecc133893ea92a842ee685c734246086_file[],3,FALSE),"")</f>
        <v>0.19871794871794868</v>
      </c>
      <c r="I599">
        <f>IFERROR(VLOOKUP($A599,observations_series_id_PCU3241913241910_api_key_ecc133893ea92a842ee685c734246086[],2,FALSE),"")</f>
        <v>314</v>
      </c>
      <c r="J599" s="2">
        <f>IFERROR(VLOOKUP($A599,observations_series_id_PCU3241913241910_api_key_ecc133893ea92a842ee685c734246086[],3,FALSE),"")</f>
        <v>0.83630573248407647</v>
      </c>
      <c r="K599">
        <f>IFERROR(VLOOKUP($A599,observations_series_id_EXJPUS_api_key_ecc133893ea92a842ee685c734246086_file_type[],2,FALSE),"")</f>
        <v>115.8661</v>
      </c>
      <c r="L599" s="2">
        <f>IFERROR(VLOOKUP($A599,observations_series_id_EXJPUS_api_key_ecc133893ea92a842ee685c734246086_file_type[],3,FALSE),"")</f>
        <v>-2.0899460670549881</v>
      </c>
      <c r="M599" t="str">
        <f>IFERROR(AVERAGEIFS(timeseries_access_key_fqeas14oitk235763mntlb1c0brnk9w3fenzqbk313q5kvxyf52kukw1pa[Value.LME-ZNC],timeseries_access_key_fqeas14oitk235763mntlb1c0brnk9w3fenzqbk313q5kvxyf52kukw1pa[Month],MONTH(Data!$A599),timeseries_access_key_fqeas14oitk235763mntlb1c0brnk9w3fenzqbk313q5kvxyf52kukw1pa[Year],YEAR(Data!$A599)),"")</f>
        <v/>
      </c>
      <c r="N599" s="2" t="str">
        <f>IFERROR(AVERAGEIFS(timeseries_access_key_fqeas14oitk235763mntlb1c0brnk9w3fenzqbk313q5kvxyf52kukw1pa[Column1],timeseries_access_key_fqeas14oitk235763mntlb1c0brnk9w3fenzqbk313q5kvxyf52kukw1pa[Month],MONTH(Data!$A599),timeseries_access_key_fqeas14oitk235763mntlb1c0brnk9w3fenzqbk313q5kvxyf52kukw1pa[Year],YEAR(Data!$A599)),"")</f>
        <v/>
      </c>
      <c r="O599" s="8">
        <f>IFERROR(VLOOKUP($A599,Text_1_2[[Text.1.1.3]:[Text.1.3]],2,FALSE),"")</f>
        <v>61600</v>
      </c>
      <c r="P599" s="2"/>
    </row>
    <row r="600" spans="1:16" x14ac:dyDescent="0.25">
      <c r="A600" s="1">
        <v>39387</v>
      </c>
      <c r="B600">
        <f>HLOOKUP(Dashboard!$I$27,results,ROW(A600),FALSE)</f>
        <v>0.22178988326848248</v>
      </c>
      <c r="C600">
        <f>IFERROR(VLOOKUP(A600,observations_series_id_PCU22112222112243_api_key_ecc133893ea92a842ee685c73424608[],2,FALSE),"")</f>
        <v>151.6</v>
      </c>
      <c r="D600" s="2">
        <f>IFERROR(VLOOKUP(A600,observations_series_id_PCU22112222112243_api_key_ecc133893ea92a842ee685c73424608[],3,FALSE),"")</f>
        <v>0.88522427440633245</v>
      </c>
      <c r="E600" t="str">
        <f>IFERROR(VLOOKUP($A600,observations_series_id_WPU0613020T_api_key_ecc133893ea92a842ee685c734246086_file[],2,FALSE),"")</f>
        <v/>
      </c>
      <c r="F600" s="2" t="str">
        <f>IFERROR(VLOOKUP($A600,observations_series_id_WPU0613020T_api_key_ecc133893ea92a842ee685c734246086_file[],3,FALSE),"")</f>
        <v/>
      </c>
      <c r="G600">
        <f>IFERROR(VLOOKUP($A600,observations_series_id_PCU22122212_api_key_ecc133893ea92a842ee685c734246086_file[],2,FALSE),"")</f>
        <v>128.5</v>
      </c>
      <c r="H600" s="2">
        <f>IFERROR(VLOOKUP($A600,observations_series_id_PCU22122212_api_key_ecc133893ea92a842ee685c734246086_file[],3,FALSE),"")</f>
        <v>0.22178988326848248</v>
      </c>
      <c r="I600">
        <f>IFERROR(VLOOKUP($A600,observations_series_id_PCU3241913241910_api_key_ecc133893ea92a842ee685c734246086[],2,FALSE),"")</f>
        <v>317.8</v>
      </c>
      <c r="J600" s="2">
        <f>IFERROR(VLOOKUP($A600,observations_series_id_PCU3241913241910_api_key_ecc133893ea92a842ee685c734246086[],3,FALSE),"")</f>
        <v>0.8382630585273757</v>
      </c>
      <c r="K600">
        <f>IFERROR(VLOOKUP($A600,observations_series_id_EXJPUS_api_key_ecc133893ea92a842ee685c734246086_file_type[],2,FALSE),"")</f>
        <v>111.0729</v>
      </c>
      <c r="L600" s="2">
        <f>IFERROR(VLOOKUP($A600,observations_series_id_EXJPUS_api_key_ecc133893ea92a842ee685c734246086_file_type[],3,FALSE),"")</f>
        <v>-2.2232884889113365</v>
      </c>
      <c r="M600" t="str">
        <f>IFERROR(AVERAGEIFS(timeseries_access_key_fqeas14oitk235763mntlb1c0brnk9w3fenzqbk313q5kvxyf52kukw1pa[Value.LME-ZNC],timeseries_access_key_fqeas14oitk235763mntlb1c0brnk9w3fenzqbk313q5kvxyf52kukw1pa[Month],MONTH(Data!$A600),timeseries_access_key_fqeas14oitk235763mntlb1c0brnk9w3fenzqbk313q5kvxyf52kukw1pa[Year],YEAR(Data!$A600)),"")</f>
        <v/>
      </c>
      <c r="N600" s="2" t="str">
        <f>IFERROR(AVERAGEIFS(timeseries_access_key_fqeas14oitk235763mntlb1c0brnk9w3fenzqbk313q5kvxyf52kukw1pa[Column1],timeseries_access_key_fqeas14oitk235763mntlb1c0brnk9w3fenzqbk313q5kvxyf52kukw1pa[Month],MONTH(Data!$A600),timeseries_access_key_fqeas14oitk235763mntlb1c0brnk9w3fenzqbk313q5kvxyf52kukw1pa[Year],YEAR(Data!$A600)),"")</f>
        <v/>
      </c>
      <c r="O600" s="8" t="str">
        <f>IFERROR(VLOOKUP($A600,Text_1_2[[Text.1.1.3]:[Text.1.3]],2,FALSE),"")</f>
        <v/>
      </c>
      <c r="P600" s="2"/>
    </row>
    <row r="601" spans="1:16" x14ac:dyDescent="0.25">
      <c r="A601" s="1">
        <v>39417</v>
      </c>
      <c r="B601">
        <f>HLOOKUP(Dashboard!$I$27,results,ROW(A601),FALSE)</f>
        <v>0.22720247295208662</v>
      </c>
      <c r="C601">
        <f>IFERROR(VLOOKUP(A601,observations_series_id_PCU22112222112243_api_key_ecc133893ea92a842ee685c73424608[],2,FALSE),"")</f>
        <v>151.30000000000001</v>
      </c>
      <c r="D601" s="2">
        <f>IFERROR(VLOOKUP(A601,observations_series_id_PCU22112222112243_api_key_ecc133893ea92a842ee685c73424608[],3,FALSE),"")</f>
        <v>0.88499669530733649</v>
      </c>
      <c r="E601" t="str">
        <f>IFERROR(VLOOKUP($A601,observations_series_id_WPU0613020T_api_key_ecc133893ea92a842ee685c734246086_file[],2,FALSE),"")</f>
        <v/>
      </c>
      <c r="F601" s="2" t="str">
        <f>IFERROR(VLOOKUP($A601,observations_series_id_WPU0613020T_api_key_ecc133893ea92a842ee685c734246086_file[],3,FALSE),"")</f>
        <v/>
      </c>
      <c r="G601">
        <f>IFERROR(VLOOKUP($A601,observations_series_id_PCU22122212_api_key_ecc133893ea92a842ee685c734246086_file[],2,FALSE),"")</f>
        <v>129.4</v>
      </c>
      <c r="H601" s="2">
        <f>IFERROR(VLOOKUP($A601,observations_series_id_PCU22122212_api_key_ecc133893ea92a842ee685c734246086_file[],3,FALSE),"")</f>
        <v>0.22720247295208662</v>
      </c>
      <c r="I601">
        <f>IFERROR(VLOOKUP($A601,observations_series_id_PCU3241913241910_api_key_ecc133893ea92a842ee685c734246086[],2,FALSE),"")</f>
        <v>319.8</v>
      </c>
      <c r="J601" s="2">
        <f>IFERROR(VLOOKUP($A601,observations_series_id_PCU3241913241910_api_key_ecc133893ea92a842ee685c734246086[],3,FALSE),"")</f>
        <v>0.83927454659161982</v>
      </c>
      <c r="K601">
        <f>IFERROR(VLOOKUP($A601,observations_series_id_EXJPUS_api_key_ecc133893ea92a842ee685c734246086_file_type[],2,FALSE),"")</f>
        <v>112.449</v>
      </c>
      <c r="L601" s="2">
        <f>IFERROR(VLOOKUP($A601,observations_series_id_EXJPUS_api_key_ecc133893ea92a842ee685c734246086_file_type[],3,FALSE),"")</f>
        <v>-2.1838433423151828</v>
      </c>
      <c r="M601" t="str">
        <f>IFERROR(AVERAGEIFS(timeseries_access_key_fqeas14oitk235763mntlb1c0brnk9w3fenzqbk313q5kvxyf52kukw1pa[Value.LME-ZNC],timeseries_access_key_fqeas14oitk235763mntlb1c0brnk9w3fenzqbk313q5kvxyf52kukw1pa[Month],MONTH(Data!$A601),timeseries_access_key_fqeas14oitk235763mntlb1c0brnk9w3fenzqbk313q5kvxyf52kukw1pa[Year],YEAR(Data!$A601)),"")</f>
        <v/>
      </c>
      <c r="N601" s="2" t="str">
        <f>IFERROR(AVERAGEIFS(timeseries_access_key_fqeas14oitk235763mntlb1c0brnk9w3fenzqbk313q5kvxyf52kukw1pa[Column1],timeseries_access_key_fqeas14oitk235763mntlb1c0brnk9w3fenzqbk313q5kvxyf52kukw1pa[Month],MONTH(Data!$A601),timeseries_access_key_fqeas14oitk235763mntlb1c0brnk9w3fenzqbk313q5kvxyf52kukw1pa[Year],YEAR(Data!$A601)),"")</f>
        <v/>
      </c>
      <c r="O601" s="8" t="str">
        <f>IFERROR(VLOOKUP($A601,Text_1_2[[Text.1.1.3]:[Text.1.3]],2,FALSE),"")</f>
        <v/>
      </c>
      <c r="P601" s="2"/>
    </row>
    <row r="602" spans="1:16" x14ac:dyDescent="0.25">
      <c r="A602" s="1">
        <v>39448</v>
      </c>
      <c r="B602">
        <f>HLOOKUP(Dashboard!$I$27,results,ROW(A602),FALSE)</f>
        <v>0.22360248447204978</v>
      </c>
      <c r="C602">
        <f>IFERROR(VLOOKUP(A602,observations_series_id_PCU22112222112243_api_key_ecc133893ea92a842ee685c73424608[],2,FALSE),"")</f>
        <v>153</v>
      </c>
      <c r="D602" s="2">
        <f>IFERROR(VLOOKUP(A602,observations_series_id_PCU22112222112243_api_key_ecc133893ea92a842ee685c73424608[],3,FALSE),"")</f>
        <v>0.88627450980392153</v>
      </c>
      <c r="E602" t="str">
        <f>IFERROR(VLOOKUP($A602,observations_series_id_WPU0613020T_api_key_ecc133893ea92a842ee685c734246086_file[],2,FALSE),"")</f>
        <v/>
      </c>
      <c r="F602" s="2" t="str">
        <f>IFERROR(VLOOKUP($A602,observations_series_id_WPU0613020T_api_key_ecc133893ea92a842ee685c734246086_file[],3,FALSE),"")</f>
        <v/>
      </c>
      <c r="G602">
        <f>IFERROR(VLOOKUP($A602,observations_series_id_PCU22122212_api_key_ecc133893ea92a842ee685c734246086_file[],2,FALSE),"")</f>
        <v>128.80000000000001</v>
      </c>
      <c r="H602" s="2">
        <f>IFERROR(VLOOKUP($A602,observations_series_id_PCU22122212_api_key_ecc133893ea92a842ee685c734246086_file[],3,FALSE),"")</f>
        <v>0.22360248447204978</v>
      </c>
      <c r="I602">
        <f>IFERROR(VLOOKUP($A602,observations_series_id_PCU3241913241910_api_key_ecc133893ea92a842ee685c734246086[],2,FALSE),"")</f>
        <v>326.60000000000002</v>
      </c>
      <c r="J602" s="2">
        <f>IFERROR(VLOOKUP($A602,observations_series_id_PCU3241913241910_api_key_ecc133893ea92a842ee685c734246086[],3,FALSE),"")</f>
        <v>0.842620943049602</v>
      </c>
      <c r="K602">
        <f>IFERROR(VLOOKUP($A602,observations_series_id_EXJPUS_api_key_ecc133893ea92a842ee685c734246086_file_type[],2,FALSE),"")</f>
        <v>107.8181</v>
      </c>
      <c r="L602" s="2">
        <f>IFERROR(VLOOKUP($A602,observations_series_id_EXJPUS_api_key_ecc133893ea92a842ee685c734246086_file_type[],3,FALSE),"")</f>
        <v>-2.3205927390670023</v>
      </c>
      <c r="M602" t="str">
        <f>IFERROR(AVERAGEIFS(timeseries_access_key_fqeas14oitk235763mntlb1c0brnk9w3fenzqbk313q5kvxyf52kukw1pa[Value.LME-ZNC],timeseries_access_key_fqeas14oitk235763mntlb1c0brnk9w3fenzqbk313q5kvxyf52kukw1pa[Month],MONTH(Data!$A602),timeseries_access_key_fqeas14oitk235763mntlb1c0brnk9w3fenzqbk313q5kvxyf52kukw1pa[Year],YEAR(Data!$A602)),"")</f>
        <v/>
      </c>
      <c r="N602" s="2" t="str">
        <f>IFERROR(AVERAGEIFS(timeseries_access_key_fqeas14oitk235763mntlb1c0brnk9w3fenzqbk313q5kvxyf52kukw1pa[Column1],timeseries_access_key_fqeas14oitk235763mntlb1c0brnk9w3fenzqbk313q5kvxyf52kukw1pa[Month],MONTH(Data!$A602),timeseries_access_key_fqeas14oitk235763mntlb1c0brnk9w3fenzqbk313q5kvxyf52kukw1pa[Year],YEAR(Data!$A602)),"")</f>
        <v/>
      </c>
      <c r="O602" s="8">
        <f>IFERROR(VLOOKUP($A602,Text_1_2[[Text.1.1.3]:[Text.1.3]],2,FALSE),"")</f>
        <v>66700</v>
      </c>
      <c r="P602" s="2"/>
    </row>
    <row r="603" spans="1:16" x14ac:dyDescent="0.25">
      <c r="A603" s="1">
        <v>39479</v>
      </c>
      <c r="B603">
        <f>HLOOKUP(Dashboard!$I$27,results,ROW(A603),FALSE)</f>
        <v>0.24357034795763988</v>
      </c>
      <c r="C603">
        <f>IFERROR(VLOOKUP(A603,observations_series_id_PCU22112222112243_api_key_ecc133893ea92a842ee685c73424608[],2,FALSE),"")</f>
        <v>151.1</v>
      </c>
      <c r="D603" s="2">
        <f>IFERROR(VLOOKUP(A603,observations_series_id_PCU22112222112243_api_key_ecc133893ea92a842ee685c73424608[],3,FALSE),"")</f>
        <v>0.88484447385837195</v>
      </c>
      <c r="E603" t="str">
        <f>IFERROR(VLOOKUP($A603,observations_series_id_WPU0613020T_api_key_ecc133893ea92a842ee685c734246086_file[],2,FALSE),"")</f>
        <v/>
      </c>
      <c r="F603" s="2" t="str">
        <f>IFERROR(VLOOKUP($A603,observations_series_id_WPU0613020T_api_key_ecc133893ea92a842ee685c734246086_file[],3,FALSE),"")</f>
        <v/>
      </c>
      <c r="G603">
        <f>IFERROR(VLOOKUP($A603,observations_series_id_PCU22122212_api_key_ecc133893ea92a842ee685c734246086_file[],2,FALSE),"")</f>
        <v>132.19999999999999</v>
      </c>
      <c r="H603" s="2">
        <f>IFERROR(VLOOKUP($A603,observations_series_id_PCU22122212_api_key_ecc133893ea92a842ee685c734246086_file[],3,FALSE),"")</f>
        <v>0.24357034795763988</v>
      </c>
      <c r="I603">
        <f>IFERROR(VLOOKUP($A603,observations_series_id_PCU3241913241910_api_key_ecc133893ea92a842ee685c734246086[],2,FALSE),"")</f>
        <v>329</v>
      </c>
      <c r="J603" s="2">
        <f>IFERROR(VLOOKUP($A603,observations_series_id_PCU3241913241910_api_key_ecc133893ea92a842ee685c734246086[],3,FALSE),"")</f>
        <v>0.84376899696048635</v>
      </c>
      <c r="K603">
        <f>IFERROR(VLOOKUP($A603,observations_series_id_EXJPUS_api_key_ecc133893ea92a842ee685c734246086_file_type[],2,FALSE),"")</f>
        <v>107.03</v>
      </c>
      <c r="L603" s="2">
        <f>IFERROR(VLOOKUP($A603,observations_series_id_EXJPUS_api_key_ecc133893ea92a842ee685c734246086_file_type[],3,FALSE),"")</f>
        <v>-2.3450434457628702</v>
      </c>
      <c r="M603" t="str">
        <f>IFERROR(AVERAGEIFS(timeseries_access_key_fqeas14oitk235763mntlb1c0brnk9w3fenzqbk313q5kvxyf52kukw1pa[Value.LME-ZNC],timeseries_access_key_fqeas14oitk235763mntlb1c0brnk9w3fenzqbk313q5kvxyf52kukw1pa[Month],MONTH(Data!$A603),timeseries_access_key_fqeas14oitk235763mntlb1c0brnk9w3fenzqbk313q5kvxyf52kukw1pa[Year],YEAR(Data!$A603)),"")</f>
        <v/>
      </c>
      <c r="N603" s="2" t="str">
        <f>IFERROR(AVERAGEIFS(timeseries_access_key_fqeas14oitk235763mntlb1c0brnk9w3fenzqbk313q5kvxyf52kukw1pa[Column1],timeseries_access_key_fqeas14oitk235763mntlb1c0brnk9w3fenzqbk313q5kvxyf52kukw1pa[Month],MONTH(Data!$A603),timeseries_access_key_fqeas14oitk235763mntlb1c0brnk9w3fenzqbk313q5kvxyf52kukw1pa[Year],YEAR(Data!$A603)),"")</f>
        <v/>
      </c>
      <c r="O603" s="8" t="str">
        <f>IFERROR(VLOOKUP($A603,Text_1_2[[Text.1.1.3]:[Text.1.3]],2,FALSE),"")</f>
        <v/>
      </c>
      <c r="P603" s="2"/>
    </row>
    <row r="604" spans="1:16" x14ac:dyDescent="0.25">
      <c r="A604" s="1">
        <v>39508</v>
      </c>
      <c r="B604">
        <f>HLOOKUP(Dashboard!$I$27,results,ROW(A604),FALSE)</f>
        <v>0.2706053975200583</v>
      </c>
      <c r="C604">
        <f>IFERROR(VLOOKUP(A604,observations_series_id_PCU22112222112243_api_key_ecc133893ea92a842ee685c73424608[],2,FALSE),"")</f>
        <v>154.1</v>
      </c>
      <c r="D604" s="2">
        <f>IFERROR(VLOOKUP(A604,observations_series_id_PCU22112222112243_api_key_ecc133893ea92a842ee685c73424608[],3,FALSE),"")</f>
        <v>0.88708630759247242</v>
      </c>
      <c r="E604" t="str">
        <f>IFERROR(VLOOKUP($A604,observations_series_id_WPU0613020T_api_key_ecc133893ea92a842ee685c734246086_file[],2,FALSE),"")</f>
        <v/>
      </c>
      <c r="F604" s="2" t="str">
        <f>IFERROR(VLOOKUP($A604,observations_series_id_WPU0613020T_api_key_ecc133893ea92a842ee685c734246086_file[],3,FALSE),"")</f>
        <v/>
      </c>
      <c r="G604">
        <f>IFERROR(VLOOKUP($A604,observations_series_id_PCU22122212_api_key_ecc133893ea92a842ee685c734246086_file[],2,FALSE),"")</f>
        <v>137.1</v>
      </c>
      <c r="H604" s="2">
        <f>IFERROR(VLOOKUP($A604,observations_series_id_PCU22122212_api_key_ecc133893ea92a842ee685c734246086_file[],3,FALSE),"")</f>
        <v>0.2706053975200583</v>
      </c>
      <c r="I604">
        <f>IFERROR(VLOOKUP($A604,observations_series_id_PCU3241913241910_api_key_ecc133893ea92a842ee685c734246086[],2,FALSE),"")</f>
        <v>332.2</v>
      </c>
      <c r="J604" s="2">
        <f>IFERROR(VLOOKUP($A604,observations_series_id_PCU3241913241910_api_key_ecc133893ea92a842ee685c734246086[],3,FALSE),"")</f>
        <v>0.84527393136664664</v>
      </c>
      <c r="K604">
        <f>IFERROR(VLOOKUP($A604,observations_series_id_EXJPUS_api_key_ecc133893ea92a842ee685c734246086_file_type[],2,FALSE),"")</f>
        <v>100.75620000000001</v>
      </c>
      <c r="L604" s="2">
        <f>IFERROR(VLOOKUP($A604,observations_series_id_EXJPUS_api_key_ecc133893ea92a842ee685c734246086_file_type[],3,FALSE),"")</f>
        <v>-2.5533297206524259</v>
      </c>
      <c r="M604" t="str">
        <f>IFERROR(AVERAGEIFS(timeseries_access_key_fqeas14oitk235763mntlb1c0brnk9w3fenzqbk313q5kvxyf52kukw1pa[Value.LME-ZNC],timeseries_access_key_fqeas14oitk235763mntlb1c0brnk9w3fenzqbk313q5kvxyf52kukw1pa[Month],MONTH(Data!$A604),timeseries_access_key_fqeas14oitk235763mntlb1c0brnk9w3fenzqbk313q5kvxyf52kukw1pa[Year],YEAR(Data!$A604)),"")</f>
        <v/>
      </c>
      <c r="N604" s="2" t="str">
        <f>IFERROR(AVERAGEIFS(timeseries_access_key_fqeas14oitk235763mntlb1c0brnk9w3fenzqbk313q5kvxyf52kukw1pa[Column1],timeseries_access_key_fqeas14oitk235763mntlb1c0brnk9w3fenzqbk313q5kvxyf52kukw1pa[Month],MONTH(Data!$A604),timeseries_access_key_fqeas14oitk235763mntlb1c0brnk9w3fenzqbk313q5kvxyf52kukw1pa[Year],YEAR(Data!$A604)),"")</f>
        <v/>
      </c>
      <c r="O604" s="8" t="str">
        <f>IFERROR(VLOOKUP($A604,Text_1_2[[Text.1.1.3]:[Text.1.3]],2,FALSE),"")</f>
        <v/>
      </c>
      <c r="P604" s="2"/>
    </row>
    <row r="605" spans="1:16" x14ac:dyDescent="0.25">
      <c r="A605" s="1">
        <v>39539</v>
      </c>
      <c r="B605">
        <f>HLOOKUP(Dashboard!$I$27,results,ROW(A605),FALSE)</f>
        <v>0.29378531073446323</v>
      </c>
      <c r="C605">
        <f>IFERROR(VLOOKUP(A605,observations_series_id_PCU22112222112243_api_key_ecc133893ea92a842ee685c73424608[],2,FALSE),"")</f>
        <v>156.1</v>
      </c>
      <c r="D605" s="2">
        <f>IFERROR(VLOOKUP(A605,observations_series_id_PCU22112222112243_api_key_ecc133893ea92a842ee685c73424608[],3,FALSE),"")</f>
        <v>0.88853299167200517</v>
      </c>
      <c r="E605" t="str">
        <f>IFERROR(VLOOKUP($A605,observations_series_id_WPU0613020T_api_key_ecc133893ea92a842ee685c734246086_file[],2,FALSE),"")</f>
        <v/>
      </c>
      <c r="F605" s="2" t="str">
        <f>IFERROR(VLOOKUP($A605,observations_series_id_WPU0613020T_api_key_ecc133893ea92a842ee685c734246086_file[],3,FALSE),"")</f>
        <v/>
      </c>
      <c r="G605">
        <f>IFERROR(VLOOKUP($A605,observations_series_id_PCU22122212_api_key_ecc133893ea92a842ee685c734246086_file[],2,FALSE),"")</f>
        <v>141.6</v>
      </c>
      <c r="H605" s="2">
        <f>IFERROR(VLOOKUP($A605,observations_series_id_PCU22122212_api_key_ecc133893ea92a842ee685c734246086_file[],3,FALSE),"")</f>
        <v>0.29378531073446323</v>
      </c>
      <c r="I605">
        <f>IFERROR(VLOOKUP($A605,observations_series_id_PCU3241913241910_api_key_ecc133893ea92a842ee685c734246086[],2,FALSE),"")</f>
        <v>342.5</v>
      </c>
      <c r="J605" s="2">
        <f>IFERROR(VLOOKUP($A605,observations_series_id_PCU3241913241910_api_key_ecc133893ea92a842ee685c734246086[],3,FALSE),"")</f>
        <v>0.84992700729927007</v>
      </c>
      <c r="K605">
        <f>IFERROR(VLOOKUP($A605,observations_series_id_EXJPUS_api_key_ecc133893ea92a842ee685c734246086_file_type[],2,FALSE),"")</f>
        <v>102.6777</v>
      </c>
      <c r="L605" s="2">
        <f>IFERROR(VLOOKUP($A605,observations_series_id_EXJPUS_api_key_ecc133893ea92a842ee685c734246086_file_type[],3,FALSE),"")</f>
        <v>-2.4868330708615405</v>
      </c>
      <c r="M605" t="str">
        <f>IFERROR(AVERAGEIFS(timeseries_access_key_fqeas14oitk235763mntlb1c0brnk9w3fenzqbk313q5kvxyf52kukw1pa[Value.LME-ZNC],timeseries_access_key_fqeas14oitk235763mntlb1c0brnk9w3fenzqbk313q5kvxyf52kukw1pa[Month],MONTH(Data!$A605),timeseries_access_key_fqeas14oitk235763mntlb1c0brnk9w3fenzqbk313q5kvxyf52kukw1pa[Year],YEAR(Data!$A605)),"")</f>
        <v/>
      </c>
      <c r="N605" s="2" t="str">
        <f>IFERROR(AVERAGEIFS(timeseries_access_key_fqeas14oitk235763mntlb1c0brnk9w3fenzqbk313q5kvxyf52kukw1pa[Column1],timeseries_access_key_fqeas14oitk235763mntlb1c0brnk9w3fenzqbk313q5kvxyf52kukw1pa[Month],MONTH(Data!$A605),timeseries_access_key_fqeas14oitk235763mntlb1c0brnk9w3fenzqbk313q5kvxyf52kukw1pa[Year],YEAR(Data!$A605)),"")</f>
        <v/>
      </c>
      <c r="O605" s="8">
        <f>IFERROR(VLOOKUP($A605,Text_1_2[[Text.1.1.3]:[Text.1.3]],2,FALSE),"")</f>
        <v>70900</v>
      </c>
      <c r="P605" s="2"/>
    </row>
    <row r="606" spans="1:16" x14ac:dyDescent="0.25">
      <c r="A606" s="1">
        <v>39569</v>
      </c>
      <c r="B606">
        <f>HLOOKUP(Dashboard!$I$27,results,ROW(A606),FALSE)</f>
        <v>0.32795698924731187</v>
      </c>
      <c r="C606">
        <f>IFERROR(VLOOKUP(A606,observations_series_id_PCU22112222112243_api_key_ecc133893ea92a842ee685c73424608[],2,FALSE),"")</f>
        <v>159.69999999999999</v>
      </c>
      <c r="D606" s="2">
        <f>IFERROR(VLOOKUP(A606,observations_series_id_PCU22112222112243_api_key_ecc133893ea92a842ee685c73424608[],3,FALSE),"")</f>
        <v>0.89104571070757665</v>
      </c>
      <c r="E606" t="str">
        <f>IFERROR(VLOOKUP($A606,observations_series_id_WPU0613020T_api_key_ecc133893ea92a842ee685c734246086_file[],2,FALSE),"")</f>
        <v/>
      </c>
      <c r="F606" s="2" t="str">
        <f>IFERROR(VLOOKUP($A606,observations_series_id_WPU0613020T_api_key_ecc133893ea92a842ee685c734246086_file[],3,FALSE),"")</f>
        <v/>
      </c>
      <c r="G606">
        <f>IFERROR(VLOOKUP($A606,observations_series_id_PCU22122212_api_key_ecc133893ea92a842ee685c734246086_file[],2,FALSE),"")</f>
        <v>148.80000000000001</v>
      </c>
      <c r="H606" s="2">
        <f>IFERROR(VLOOKUP($A606,observations_series_id_PCU22122212_api_key_ecc133893ea92a842ee685c734246086_file[],3,FALSE),"")</f>
        <v>0.32795698924731187</v>
      </c>
      <c r="I606">
        <f>IFERROR(VLOOKUP($A606,observations_series_id_PCU3241913241910_api_key_ecc133893ea92a842ee685c734246086[],2,FALSE),"")</f>
        <v>345.1</v>
      </c>
      <c r="J606" s="2">
        <f>IFERROR(VLOOKUP($A606,observations_series_id_PCU3241913241910_api_key_ecc133893ea92a842ee685c734246086[],3,FALSE),"")</f>
        <v>0.85105766444508846</v>
      </c>
      <c r="K606">
        <f>IFERROR(VLOOKUP($A606,observations_series_id_EXJPUS_api_key_ecc133893ea92a842ee685c734246086_file_type[],2,FALSE),"")</f>
        <v>104.3595</v>
      </c>
      <c r="L606" s="2">
        <f>IFERROR(VLOOKUP($A606,observations_series_id_EXJPUS_api_key_ecc133893ea92a842ee685c734246086_file_type[],3,FALSE),"")</f>
        <v>-2.4306411970160839</v>
      </c>
      <c r="M606" t="str">
        <f>IFERROR(AVERAGEIFS(timeseries_access_key_fqeas14oitk235763mntlb1c0brnk9w3fenzqbk313q5kvxyf52kukw1pa[Value.LME-ZNC],timeseries_access_key_fqeas14oitk235763mntlb1c0brnk9w3fenzqbk313q5kvxyf52kukw1pa[Month],MONTH(Data!$A606),timeseries_access_key_fqeas14oitk235763mntlb1c0brnk9w3fenzqbk313q5kvxyf52kukw1pa[Year],YEAR(Data!$A606)),"")</f>
        <v/>
      </c>
      <c r="N606" s="2" t="str">
        <f>IFERROR(AVERAGEIFS(timeseries_access_key_fqeas14oitk235763mntlb1c0brnk9w3fenzqbk313q5kvxyf52kukw1pa[Column1],timeseries_access_key_fqeas14oitk235763mntlb1c0brnk9w3fenzqbk313q5kvxyf52kukw1pa[Month],MONTH(Data!$A606),timeseries_access_key_fqeas14oitk235763mntlb1c0brnk9w3fenzqbk313q5kvxyf52kukw1pa[Year],YEAR(Data!$A606)),"")</f>
        <v/>
      </c>
      <c r="O606" s="8" t="str">
        <f>IFERROR(VLOOKUP($A606,Text_1_2[[Text.1.1.3]:[Text.1.3]],2,FALSE),"")</f>
        <v/>
      </c>
      <c r="P606" s="2"/>
    </row>
    <row r="607" spans="1:16" x14ac:dyDescent="0.25">
      <c r="A607" s="1">
        <v>39600</v>
      </c>
      <c r="B607">
        <f>HLOOKUP(Dashboard!$I$27,results,ROW(A607),FALSE)</f>
        <v>0.35191186001296182</v>
      </c>
      <c r="C607">
        <f>IFERROR(VLOOKUP(A607,observations_series_id_PCU22112222112243_api_key_ecc133893ea92a842ee685c73424608[],2,FALSE),"")</f>
        <v>161.4</v>
      </c>
      <c r="D607" s="2">
        <f>IFERROR(VLOOKUP(A607,observations_series_id_PCU22112222112243_api_key_ecc133893ea92a842ee685c73424608[],3,FALSE),"")</f>
        <v>0.89219330855018586</v>
      </c>
      <c r="E607" t="str">
        <f>IFERROR(VLOOKUP($A607,observations_series_id_WPU0613020T_api_key_ecc133893ea92a842ee685c734246086_file[],2,FALSE),"")</f>
        <v/>
      </c>
      <c r="F607" s="2" t="str">
        <f>IFERROR(VLOOKUP($A607,observations_series_id_WPU0613020T_api_key_ecc133893ea92a842ee685c734246086_file[],3,FALSE),"")</f>
        <v/>
      </c>
      <c r="G607">
        <f>IFERROR(VLOOKUP($A607,observations_series_id_PCU22122212_api_key_ecc133893ea92a842ee685c734246086_file[],2,FALSE),"")</f>
        <v>154.30000000000001</v>
      </c>
      <c r="H607" s="2">
        <f>IFERROR(VLOOKUP($A607,observations_series_id_PCU22122212_api_key_ecc133893ea92a842ee685c734246086_file[],3,FALSE),"")</f>
        <v>0.35191186001296182</v>
      </c>
      <c r="I607">
        <f>IFERROR(VLOOKUP($A607,observations_series_id_PCU3241913241910_api_key_ecc133893ea92a842ee685c734246086[],2,FALSE),"")</f>
        <v>351.3</v>
      </c>
      <c r="J607" s="2">
        <f>IFERROR(VLOOKUP($A607,observations_series_id_PCU3241913241910_api_key_ecc133893ea92a842ee685c734246086[],3,FALSE),"")</f>
        <v>0.85368630799886136</v>
      </c>
      <c r="K607">
        <f>IFERROR(VLOOKUP($A607,observations_series_id_EXJPUS_api_key_ecc133893ea92a842ee685c734246086_file_type[],2,FALSE),"")</f>
        <v>106.9152</v>
      </c>
      <c r="L607" s="2">
        <f>IFERROR(VLOOKUP($A607,observations_series_id_EXJPUS_api_key_ecc133893ea92a842ee685c734246086_file_type[],3,FALSE),"")</f>
        <v>-2.348635180030529</v>
      </c>
      <c r="M607" t="str">
        <f>IFERROR(AVERAGEIFS(timeseries_access_key_fqeas14oitk235763mntlb1c0brnk9w3fenzqbk313q5kvxyf52kukw1pa[Value.LME-ZNC],timeseries_access_key_fqeas14oitk235763mntlb1c0brnk9w3fenzqbk313q5kvxyf52kukw1pa[Month],MONTH(Data!$A607),timeseries_access_key_fqeas14oitk235763mntlb1c0brnk9w3fenzqbk313q5kvxyf52kukw1pa[Year],YEAR(Data!$A607)),"")</f>
        <v/>
      </c>
      <c r="N607" s="2" t="str">
        <f>IFERROR(AVERAGEIFS(timeseries_access_key_fqeas14oitk235763mntlb1c0brnk9w3fenzqbk313q5kvxyf52kukw1pa[Column1],timeseries_access_key_fqeas14oitk235763mntlb1c0brnk9w3fenzqbk313q5kvxyf52kukw1pa[Month],MONTH(Data!$A607),timeseries_access_key_fqeas14oitk235763mntlb1c0brnk9w3fenzqbk313q5kvxyf52kukw1pa[Year],YEAR(Data!$A607)),"")</f>
        <v/>
      </c>
      <c r="O607" s="8" t="str">
        <f>IFERROR(VLOOKUP($A607,Text_1_2[[Text.1.1.3]:[Text.1.3]],2,FALSE),"")</f>
        <v/>
      </c>
      <c r="P607" s="2"/>
    </row>
    <row r="608" spans="1:16" x14ac:dyDescent="0.25">
      <c r="A608" s="1">
        <v>39630</v>
      </c>
      <c r="B608">
        <f>HLOOKUP(Dashboard!$I$27,results,ROW(A608),FALSE)</f>
        <v>0.3964996982498491</v>
      </c>
      <c r="C608">
        <f>IFERROR(VLOOKUP(A608,observations_series_id_PCU22112222112243_api_key_ecc133893ea92a842ee685c73424608[],2,FALSE),"")</f>
        <v>165.6</v>
      </c>
      <c r="D608" s="2">
        <f>IFERROR(VLOOKUP(A608,observations_series_id_PCU22112222112243_api_key_ecc133893ea92a842ee685c73424608[],3,FALSE),"")</f>
        <v>0.89492753623188404</v>
      </c>
      <c r="E608" t="str">
        <f>IFERROR(VLOOKUP($A608,observations_series_id_WPU0613020T_api_key_ecc133893ea92a842ee685c734246086_file[],2,FALSE),"")</f>
        <v/>
      </c>
      <c r="F608" s="2" t="str">
        <f>IFERROR(VLOOKUP($A608,observations_series_id_WPU0613020T_api_key_ecc133893ea92a842ee685c734246086_file[],3,FALSE),"")</f>
        <v/>
      </c>
      <c r="G608">
        <f>IFERROR(VLOOKUP($A608,observations_series_id_PCU22122212_api_key_ecc133893ea92a842ee685c734246086_file[],2,FALSE),"")</f>
        <v>165.7</v>
      </c>
      <c r="H608" s="2">
        <f>IFERROR(VLOOKUP($A608,observations_series_id_PCU22122212_api_key_ecc133893ea92a842ee685c734246086_file[],3,FALSE),"")</f>
        <v>0.3964996982498491</v>
      </c>
      <c r="I608">
        <f>IFERROR(VLOOKUP($A608,observations_series_id_PCU3241913241910_api_key_ecc133893ea92a842ee685c734246086[],2,FALSE),"")</f>
        <v>368.9</v>
      </c>
      <c r="J608" s="2">
        <f>IFERROR(VLOOKUP($A608,observations_series_id_PCU3241913241910_api_key_ecc133893ea92a842ee685c734246086[],3,FALSE),"")</f>
        <v>0.86066684738411492</v>
      </c>
      <c r="K608">
        <f>IFERROR(VLOOKUP($A608,observations_series_id_EXJPUS_api_key_ecc133893ea92a842ee685c734246086_file_type[],2,FALSE),"")</f>
        <v>106.8518</v>
      </c>
      <c r="L608" s="2">
        <f>IFERROR(VLOOKUP($A608,observations_series_id_EXJPUS_api_key_ecc133893ea92a842ee685c734246086_file_type[],3,FALSE),"")</f>
        <v>-2.3506220765583734</v>
      </c>
      <c r="M608" t="str">
        <f>IFERROR(AVERAGEIFS(timeseries_access_key_fqeas14oitk235763mntlb1c0brnk9w3fenzqbk313q5kvxyf52kukw1pa[Value.LME-ZNC],timeseries_access_key_fqeas14oitk235763mntlb1c0brnk9w3fenzqbk313q5kvxyf52kukw1pa[Month],MONTH(Data!$A608),timeseries_access_key_fqeas14oitk235763mntlb1c0brnk9w3fenzqbk313q5kvxyf52kukw1pa[Year],YEAR(Data!$A608)),"")</f>
        <v/>
      </c>
      <c r="N608" s="2" t="str">
        <f>IFERROR(AVERAGEIFS(timeseries_access_key_fqeas14oitk235763mntlb1c0brnk9w3fenzqbk313q5kvxyf52kukw1pa[Column1],timeseries_access_key_fqeas14oitk235763mntlb1c0brnk9w3fenzqbk313q5kvxyf52kukw1pa[Month],MONTH(Data!$A608),timeseries_access_key_fqeas14oitk235763mntlb1c0brnk9w3fenzqbk313q5kvxyf52kukw1pa[Year],YEAR(Data!$A608)),"")</f>
        <v/>
      </c>
      <c r="O608" s="8">
        <f>IFERROR(VLOOKUP($A608,Text_1_2[[Text.1.1.3]:[Text.1.3]],2,FALSE),"")</f>
        <v>85800</v>
      </c>
      <c r="P608" s="2"/>
    </row>
    <row r="609" spans="1:16" x14ac:dyDescent="0.25">
      <c r="A609" s="1">
        <v>39661</v>
      </c>
      <c r="B609">
        <f>HLOOKUP(Dashboard!$I$27,results,ROW(A609),FALSE)</f>
        <v>0.35107073329007132</v>
      </c>
      <c r="C609">
        <f>IFERROR(VLOOKUP(A609,observations_series_id_PCU22112222112243_api_key_ecc133893ea92a842ee685c73424608[],2,FALSE),"")</f>
        <v>166.3</v>
      </c>
      <c r="D609" s="2">
        <f>IFERROR(VLOOKUP(A609,observations_series_id_PCU22112222112243_api_key_ecc133893ea92a842ee685c73424608[],3,FALSE),"")</f>
        <v>0.89536981358989776</v>
      </c>
      <c r="E609" t="str">
        <f>IFERROR(VLOOKUP($A609,observations_series_id_WPU0613020T_api_key_ecc133893ea92a842ee685c734246086_file[],2,FALSE),"")</f>
        <v/>
      </c>
      <c r="F609" s="2" t="str">
        <f>IFERROR(VLOOKUP($A609,observations_series_id_WPU0613020T_api_key_ecc133893ea92a842ee685c734246086_file[],3,FALSE),"")</f>
        <v/>
      </c>
      <c r="G609">
        <f>IFERROR(VLOOKUP($A609,observations_series_id_PCU22122212_api_key_ecc133893ea92a842ee685c734246086_file[],2,FALSE),"")</f>
        <v>154.1</v>
      </c>
      <c r="H609" s="2">
        <f>IFERROR(VLOOKUP($A609,observations_series_id_PCU22122212_api_key_ecc133893ea92a842ee685c734246086_file[],3,FALSE),"")</f>
        <v>0.35107073329007132</v>
      </c>
      <c r="I609">
        <f>IFERROR(VLOOKUP($A609,observations_series_id_PCU3241913241910_api_key_ecc133893ea92a842ee685c734246086[],2,FALSE),"")</f>
        <v>394.3</v>
      </c>
      <c r="J609" s="2">
        <f>IFERROR(VLOOKUP($A609,observations_series_id_PCU3241913241910_api_key_ecc133893ea92a842ee685c734246086[],3,FALSE),"")</f>
        <v>0.86964240426071515</v>
      </c>
      <c r="K609">
        <f>IFERROR(VLOOKUP($A609,observations_series_id_EXJPUS_api_key_ecc133893ea92a842ee685c734246086_file_type[],2,FALSE),"")</f>
        <v>109.36239999999999</v>
      </c>
      <c r="L609" s="2">
        <f>IFERROR(VLOOKUP($A609,observations_series_id_EXJPUS_api_key_ecc133893ea92a842ee685c734246086_file_type[],3,FALSE),"")</f>
        <v>-2.2737028448534415</v>
      </c>
      <c r="M609" t="str">
        <f>IFERROR(AVERAGEIFS(timeseries_access_key_fqeas14oitk235763mntlb1c0brnk9w3fenzqbk313q5kvxyf52kukw1pa[Value.LME-ZNC],timeseries_access_key_fqeas14oitk235763mntlb1c0brnk9w3fenzqbk313q5kvxyf52kukw1pa[Month],MONTH(Data!$A609),timeseries_access_key_fqeas14oitk235763mntlb1c0brnk9w3fenzqbk313q5kvxyf52kukw1pa[Year],YEAR(Data!$A609)),"")</f>
        <v/>
      </c>
      <c r="N609" s="2" t="str">
        <f>IFERROR(AVERAGEIFS(timeseries_access_key_fqeas14oitk235763mntlb1c0brnk9w3fenzqbk313q5kvxyf52kukw1pa[Column1],timeseries_access_key_fqeas14oitk235763mntlb1c0brnk9w3fenzqbk313q5kvxyf52kukw1pa[Month],MONTH(Data!$A609),timeseries_access_key_fqeas14oitk235763mntlb1c0brnk9w3fenzqbk313q5kvxyf52kukw1pa[Year],YEAR(Data!$A609)),"")</f>
        <v/>
      </c>
      <c r="O609" s="8" t="str">
        <f>IFERROR(VLOOKUP($A609,Text_1_2[[Text.1.1.3]:[Text.1.3]],2,FALSE),"")</f>
        <v/>
      </c>
      <c r="P609" s="2"/>
    </row>
    <row r="610" spans="1:16" x14ac:dyDescent="0.25">
      <c r="A610" s="1">
        <v>39692</v>
      </c>
      <c r="B610">
        <f>HLOOKUP(Dashboard!$I$27,results,ROW(A610),FALSE)</f>
        <v>0.3127147766323024</v>
      </c>
      <c r="C610">
        <f>IFERROR(VLOOKUP(A610,observations_series_id_PCU22112222112243_api_key_ecc133893ea92a842ee685c73424608[],2,FALSE),"")</f>
        <v>165</v>
      </c>
      <c r="D610" s="2">
        <f>IFERROR(VLOOKUP(A610,observations_series_id_PCU22112222112243_api_key_ecc133893ea92a842ee685c73424608[],3,FALSE),"")</f>
        <v>0.89454545454545453</v>
      </c>
      <c r="E610" t="str">
        <f>IFERROR(VLOOKUP($A610,observations_series_id_WPU0613020T_api_key_ecc133893ea92a842ee685c734246086_file[],2,FALSE),"")</f>
        <v/>
      </c>
      <c r="F610" s="2" t="str">
        <f>IFERROR(VLOOKUP($A610,observations_series_id_WPU0613020T_api_key_ecc133893ea92a842ee685c734246086_file[],3,FALSE),"")</f>
        <v/>
      </c>
      <c r="G610">
        <f>IFERROR(VLOOKUP($A610,observations_series_id_PCU22122212_api_key_ecc133893ea92a842ee685c734246086_file[],2,FALSE),"")</f>
        <v>145.5</v>
      </c>
      <c r="H610" s="2">
        <f>IFERROR(VLOOKUP($A610,observations_series_id_PCU22122212_api_key_ecc133893ea92a842ee685c734246086_file[],3,FALSE),"")</f>
        <v>0.3127147766323024</v>
      </c>
      <c r="I610">
        <f>IFERROR(VLOOKUP($A610,observations_series_id_PCU3241913241910_api_key_ecc133893ea92a842ee685c734246086[],2,FALSE),"")</f>
        <v>414</v>
      </c>
      <c r="J610" s="2">
        <f>IFERROR(VLOOKUP($A610,observations_series_id_PCU3241913241910_api_key_ecc133893ea92a842ee685c734246086[],3,FALSE),"")</f>
        <v>0.87584541062801935</v>
      </c>
      <c r="K610">
        <f>IFERROR(VLOOKUP($A610,observations_series_id_EXJPUS_api_key_ecc133893ea92a842ee685c734246086_file_type[],2,FALSE),"")</f>
        <v>106.5748</v>
      </c>
      <c r="L610" s="2">
        <f>IFERROR(VLOOKUP($A610,observations_series_id_EXJPUS_api_key_ecc133893ea92a842ee685c734246086_file_type[],3,FALSE),"")</f>
        <v>-2.3593307235856882</v>
      </c>
      <c r="M610" t="str">
        <f>IFERROR(AVERAGEIFS(timeseries_access_key_fqeas14oitk235763mntlb1c0brnk9w3fenzqbk313q5kvxyf52kukw1pa[Value.LME-ZNC],timeseries_access_key_fqeas14oitk235763mntlb1c0brnk9w3fenzqbk313q5kvxyf52kukw1pa[Month],MONTH(Data!$A610),timeseries_access_key_fqeas14oitk235763mntlb1c0brnk9w3fenzqbk313q5kvxyf52kukw1pa[Year],YEAR(Data!$A610)),"")</f>
        <v/>
      </c>
      <c r="N610" s="2" t="str">
        <f>IFERROR(AVERAGEIFS(timeseries_access_key_fqeas14oitk235763mntlb1c0brnk9w3fenzqbk313q5kvxyf52kukw1pa[Column1],timeseries_access_key_fqeas14oitk235763mntlb1c0brnk9w3fenzqbk313q5kvxyf52kukw1pa[Month],MONTH(Data!$A610),timeseries_access_key_fqeas14oitk235763mntlb1c0brnk9w3fenzqbk313q5kvxyf52kukw1pa[Year],YEAR(Data!$A610)),"")</f>
        <v/>
      </c>
      <c r="O610" s="8" t="str">
        <f>IFERROR(VLOOKUP($A610,Text_1_2[[Text.1.1.3]:[Text.1.3]],2,FALSE),"")</f>
        <v/>
      </c>
      <c r="P610" s="2"/>
    </row>
    <row r="611" spans="1:16" x14ac:dyDescent="0.25">
      <c r="A611" s="1">
        <v>39722</v>
      </c>
      <c r="B611">
        <f>HLOOKUP(Dashboard!$I$27,results,ROW(A611),FALSE)</f>
        <v>0.26578560939794416</v>
      </c>
      <c r="C611">
        <f>IFERROR(VLOOKUP(A611,observations_series_id_PCU22112222112243_api_key_ecc133893ea92a842ee685c73424608[],2,FALSE),"")</f>
        <v>162.69999999999999</v>
      </c>
      <c r="D611" s="2">
        <f>IFERROR(VLOOKUP(A611,observations_series_id_PCU22112222112243_api_key_ecc133893ea92a842ee685c73424608[],3,FALSE),"")</f>
        <v>0.8930547019053473</v>
      </c>
      <c r="E611" t="str">
        <f>IFERROR(VLOOKUP($A611,observations_series_id_WPU0613020T_api_key_ecc133893ea92a842ee685c734246086_file[],2,FALSE),"")</f>
        <v/>
      </c>
      <c r="F611" s="2" t="str">
        <f>IFERROR(VLOOKUP($A611,observations_series_id_WPU0613020T_api_key_ecc133893ea92a842ee685c734246086_file[],3,FALSE),"")</f>
        <v/>
      </c>
      <c r="G611">
        <f>IFERROR(VLOOKUP($A611,observations_series_id_PCU22122212_api_key_ecc133893ea92a842ee685c734246086_file[],2,FALSE),"")</f>
        <v>136.19999999999999</v>
      </c>
      <c r="H611" s="2">
        <f>IFERROR(VLOOKUP($A611,observations_series_id_PCU22122212_api_key_ecc133893ea92a842ee685c734246086_file[],3,FALSE),"")</f>
        <v>0.26578560939794416</v>
      </c>
      <c r="I611">
        <f>IFERROR(VLOOKUP($A611,observations_series_id_PCU3241913241910_api_key_ecc133893ea92a842ee685c734246086[],2,FALSE),"")</f>
        <v>420.5</v>
      </c>
      <c r="J611" s="2">
        <f>IFERROR(VLOOKUP($A611,observations_series_id_PCU3241913241910_api_key_ecc133893ea92a842ee685c734246086[],3,FALSE),"")</f>
        <v>0.87776456599286568</v>
      </c>
      <c r="K611">
        <f>IFERROR(VLOOKUP($A611,observations_series_id_EXJPUS_api_key_ecc133893ea92a842ee685c734246086_file_type[],2,FALSE),"")</f>
        <v>99.965900000000005</v>
      </c>
      <c r="L611" s="2">
        <f>IFERROR(VLOOKUP($A611,observations_series_id_EXJPUS_api_key_ecc133893ea92a842ee685c734246086_file_type[],3,FALSE),"")</f>
        <v>-2.5814212646512456</v>
      </c>
      <c r="M611" t="str">
        <f>IFERROR(AVERAGEIFS(timeseries_access_key_fqeas14oitk235763mntlb1c0brnk9w3fenzqbk313q5kvxyf52kukw1pa[Value.LME-ZNC],timeseries_access_key_fqeas14oitk235763mntlb1c0brnk9w3fenzqbk313q5kvxyf52kukw1pa[Month],MONTH(Data!$A611),timeseries_access_key_fqeas14oitk235763mntlb1c0brnk9w3fenzqbk313q5kvxyf52kukw1pa[Year],YEAR(Data!$A611)),"")</f>
        <v/>
      </c>
      <c r="N611" s="2" t="str">
        <f>IFERROR(AVERAGEIFS(timeseries_access_key_fqeas14oitk235763mntlb1c0brnk9w3fenzqbk313q5kvxyf52kukw1pa[Column1],timeseries_access_key_fqeas14oitk235763mntlb1c0brnk9w3fenzqbk313q5kvxyf52kukw1pa[Month],MONTH(Data!$A611),timeseries_access_key_fqeas14oitk235763mntlb1c0brnk9w3fenzqbk313q5kvxyf52kukw1pa[Year],YEAR(Data!$A611)),"")</f>
        <v/>
      </c>
      <c r="O611" s="8">
        <f>IFERROR(VLOOKUP($A611,Text_1_2[[Text.1.1.3]:[Text.1.3]],2,FALSE),"")</f>
        <v>52000</v>
      </c>
      <c r="P611" s="2"/>
    </row>
    <row r="612" spans="1:16" x14ac:dyDescent="0.25">
      <c r="A612" s="1">
        <v>39753</v>
      </c>
      <c r="B612">
        <f>HLOOKUP(Dashboard!$I$27,results,ROW(A612),FALSE)</f>
        <v>0.26253687315634211</v>
      </c>
      <c r="C612">
        <f>IFERROR(VLOOKUP(A612,observations_series_id_PCU22112222112243_api_key_ecc133893ea92a842ee685c73424608[],2,FALSE),"")</f>
        <v>158.19999999999999</v>
      </c>
      <c r="D612" s="2">
        <f>IFERROR(VLOOKUP(A612,observations_series_id_PCU22112222112243_api_key_ecc133893ea92a842ee685c73424608[],3,FALSE),"")</f>
        <v>0.89001264222503162</v>
      </c>
      <c r="E612" t="str">
        <f>IFERROR(VLOOKUP($A612,observations_series_id_WPU0613020T_api_key_ecc133893ea92a842ee685c734246086_file[],2,FALSE),"")</f>
        <v/>
      </c>
      <c r="F612" s="2" t="str">
        <f>IFERROR(VLOOKUP($A612,observations_series_id_WPU0613020T_api_key_ecc133893ea92a842ee685c734246086_file[],3,FALSE),"")</f>
        <v/>
      </c>
      <c r="G612">
        <f>IFERROR(VLOOKUP($A612,observations_series_id_PCU22122212_api_key_ecc133893ea92a842ee685c734246086_file[],2,FALSE),"")</f>
        <v>135.6</v>
      </c>
      <c r="H612" s="2">
        <f>IFERROR(VLOOKUP($A612,observations_series_id_PCU22122212_api_key_ecc133893ea92a842ee685c734246086_file[],3,FALSE),"")</f>
        <v>0.26253687315634211</v>
      </c>
      <c r="I612">
        <f>IFERROR(VLOOKUP($A612,observations_series_id_PCU3241913241910_api_key_ecc133893ea92a842ee685c734246086[],2,FALSE),"")</f>
        <v>420.1</v>
      </c>
      <c r="J612" s="2">
        <f>IFERROR(VLOOKUP($A612,observations_series_id_PCU3241913241910_api_key_ecc133893ea92a842ee685c734246086[],3,FALSE),"")</f>
        <v>0.87764817900499881</v>
      </c>
      <c r="K612">
        <f>IFERROR(VLOOKUP($A612,observations_series_id_EXJPUS_api_key_ecc133893ea92a842ee685c734246086_file_type[],2,FALSE),"")</f>
        <v>96.965599999999995</v>
      </c>
      <c r="L612" s="2">
        <f>IFERROR(VLOOKUP($A612,observations_series_id_EXJPUS_api_key_ecc133893ea92a842ee685c734246086_file_type[],3,FALSE),"")</f>
        <v>-2.6922372470236868</v>
      </c>
      <c r="M612" t="str">
        <f>IFERROR(AVERAGEIFS(timeseries_access_key_fqeas14oitk235763mntlb1c0brnk9w3fenzqbk313q5kvxyf52kukw1pa[Value.LME-ZNC],timeseries_access_key_fqeas14oitk235763mntlb1c0brnk9w3fenzqbk313q5kvxyf52kukw1pa[Month],MONTH(Data!$A612),timeseries_access_key_fqeas14oitk235763mntlb1c0brnk9w3fenzqbk313q5kvxyf52kukw1pa[Year],YEAR(Data!$A612)),"")</f>
        <v/>
      </c>
      <c r="N612" s="2" t="str">
        <f>IFERROR(AVERAGEIFS(timeseries_access_key_fqeas14oitk235763mntlb1c0brnk9w3fenzqbk313q5kvxyf52kukw1pa[Column1],timeseries_access_key_fqeas14oitk235763mntlb1c0brnk9w3fenzqbk313q5kvxyf52kukw1pa[Month],MONTH(Data!$A612),timeseries_access_key_fqeas14oitk235763mntlb1c0brnk9w3fenzqbk313q5kvxyf52kukw1pa[Year],YEAR(Data!$A612)),"")</f>
        <v/>
      </c>
      <c r="O612" s="8" t="str">
        <f>IFERROR(VLOOKUP($A612,Text_1_2[[Text.1.1.3]:[Text.1.3]],2,FALSE),"")</f>
        <v/>
      </c>
      <c r="P612" s="2"/>
    </row>
    <row r="613" spans="1:16" x14ac:dyDescent="0.25">
      <c r="A613" s="1">
        <v>39783</v>
      </c>
      <c r="B613">
        <f>HLOOKUP(Dashboard!$I$27,results,ROW(A613),FALSE)</f>
        <v>0.26199261992619927</v>
      </c>
      <c r="C613">
        <f>IFERROR(VLOOKUP(A613,observations_series_id_PCU22112222112243_api_key_ecc133893ea92a842ee685c73424608[],2,FALSE),"")</f>
        <v>158.69999999999999</v>
      </c>
      <c r="D613" s="2">
        <f>IFERROR(VLOOKUP(A613,observations_series_id_PCU22112222112243_api_key_ecc133893ea92a842ee685c73424608[],3,FALSE),"")</f>
        <v>0.89035916824196604</v>
      </c>
      <c r="E613">
        <f>IFERROR(VLOOKUP($A613,observations_series_id_WPU0613020T_api_key_ecc133893ea92a842ee685c734246086_file[],2,FALSE),"")</f>
        <v>100</v>
      </c>
      <c r="F613" s="2">
        <f>IFERROR(VLOOKUP($A613,observations_series_id_WPU0613020T_api_key_ecc133893ea92a842ee685c734246086_file[],3,FALSE),"")</f>
        <v>0</v>
      </c>
      <c r="G613">
        <f>IFERROR(VLOOKUP($A613,observations_series_id_PCU22122212_api_key_ecc133893ea92a842ee685c734246086_file[],2,FALSE),"")</f>
        <v>135.5</v>
      </c>
      <c r="H613" s="2">
        <f>IFERROR(VLOOKUP($A613,observations_series_id_PCU22122212_api_key_ecc133893ea92a842ee685c734246086_file[],3,FALSE),"")</f>
        <v>0.26199261992619927</v>
      </c>
      <c r="I613">
        <f>IFERROR(VLOOKUP($A613,observations_series_id_PCU3241913241910_api_key_ecc133893ea92a842ee685c734246086[],2,FALSE),"")</f>
        <v>416.4</v>
      </c>
      <c r="J613" s="2">
        <f>IFERROR(VLOOKUP($A613,observations_series_id_PCU3241913241910_api_key_ecc133893ea92a842ee685c734246086[],3,FALSE),"")</f>
        <v>0.87656099903938522</v>
      </c>
      <c r="K613">
        <f>IFERROR(VLOOKUP($A613,observations_series_id_EXJPUS_api_key_ecc133893ea92a842ee685c734246086_file_type[],2,FALSE),"")</f>
        <v>91.275000000000006</v>
      </c>
      <c r="L613" s="2">
        <f>IFERROR(VLOOKUP($A613,observations_series_id_EXJPUS_api_key_ecc133893ea92a842ee685c734246086_file_type[],3,FALSE),"")</f>
        <v>-2.9224322103533273</v>
      </c>
      <c r="M613" t="str">
        <f>IFERROR(AVERAGEIFS(timeseries_access_key_fqeas14oitk235763mntlb1c0brnk9w3fenzqbk313q5kvxyf52kukw1pa[Value.LME-ZNC],timeseries_access_key_fqeas14oitk235763mntlb1c0brnk9w3fenzqbk313q5kvxyf52kukw1pa[Month],MONTH(Data!$A613),timeseries_access_key_fqeas14oitk235763mntlb1c0brnk9w3fenzqbk313q5kvxyf52kukw1pa[Year],YEAR(Data!$A613)),"")</f>
        <v/>
      </c>
      <c r="N613" s="2" t="str">
        <f>IFERROR(AVERAGEIFS(timeseries_access_key_fqeas14oitk235763mntlb1c0brnk9w3fenzqbk313q5kvxyf52kukw1pa[Column1],timeseries_access_key_fqeas14oitk235763mntlb1c0brnk9w3fenzqbk313q5kvxyf52kukw1pa[Month],MONTH(Data!$A613),timeseries_access_key_fqeas14oitk235763mntlb1c0brnk9w3fenzqbk313q5kvxyf52kukw1pa[Year],YEAR(Data!$A613)),"")</f>
        <v/>
      </c>
      <c r="O613" s="8" t="str">
        <f>IFERROR(VLOOKUP($A613,Text_1_2[[Text.1.1.3]:[Text.1.3]],2,FALSE),"")</f>
        <v/>
      </c>
      <c r="P613" s="2"/>
    </row>
    <row r="614" spans="1:16" x14ac:dyDescent="0.25">
      <c r="A614" s="1">
        <v>39814</v>
      </c>
      <c r="B614">
        <f>HLOOKUP(Dashboard!$I$27,results,ROW(A614),FALSE)</f>
        <v>0.25650557620817849</v>
      </c>
      <c r="C614">
        <f>IFERROR(VLOOKUP(A614,observations_series_id_PCU22112222112243_api_key_ecc133893ea92a842ee685c73424608[],2,FALSE),"")</f>
        <v>160</v>
      </c>
      <c r="D614" s="2">
        <f>IFERROR(VLOOKUP(A614,observations_series_id_PCU22112222112243_api_key_ecc133893ea92a842ee685c73424608[],3,FALSE),"")</f>
        <v>0.89124999999999999</v>
      </c>
      <c r="E614">
        <f>IFERROR(VLOOKUP($A614,observations_series_id_WPU0613020T_api_key_ecc133893ea92a842ee685c734246086_file[],2,FALSE),"")</f>
        <v>94.3</v>
      </c>
      <c r="F614" s="2">
        <f>IFERROR(VLOOKUP($A614,observations_series_id_WPU0613020T_api_key_ecc133893ea92a842ee685c734246086_file[],3,FALSE),"")</f>
        <v>-6.0445387062566303E-2</v>
      </c>
      <c r="G614">
        <f>IFERROR(VLOOKUP($A614,observations_series_id_PCU22122212_api_key_ecc133893ea92a842ee685c734246086_file[],2,FALSE),"")</f>
        <v>134.5</v>
      </c>
      <c r="H614" s="2">
        <f>IFERROR(VLOOKUP($A614,observations_series_id_PCU22122212_api_key_ecc133893ea92a842ee685c734246086_file[],3,FALSE),"")</f>
        <v>0.25650557620817849</v>
      </c>
      <c r="I614">
        <f>IFERROR(VLOOKUP($A614,observations_series_id_PCU3241913241910_api_key_ecc133893ea92a842ee685c734246086[],2,FALSE),"")</f>
        <v>403</v>
      </c>
      <c r="J614" s="2">
        <f>IFERROR(VLOOKUP($A614,observations_series_id_PCU3241913241910_api_key_ecc133893ea92a842ee685c734246086[],3,FALSE),"")</f>
        <v>0.87245657568238211</v>
      </c>
      <c r="K614">
        <f>IFERROR(VLOOKUP($A614,observations_series_id_EXJPUS_api_key_ecc133893ea92a842ee685c734246086_file_type[],2,FALSE),"")</f>
        <v>90.120500000000007</v>
      </c>
      <c r="L614" s="2">
        <f>IFERROR(VLOOKUP($A614,observations_series_id_EXJPUS_api_key_ecc133893ea92a842ee685c734246086_file_type[],3,FALSE),"")</f>
        <v>-2.972681021521185</v>
      </c>
      <c r="M614" t="str">
        <f>IFERROR(AVERAGEIFS(timeseries_access_key_fqeas14oitk235763mntlb1c0brnk9w3fenzqbk313q5kvxyf52kukw1pa[Value.LME-ZNC],timeseries_access_key_fqeas14oitk235763mntlb1c0brnk9w3fenzqbk313q5kvxyf52kukw1pa[Month],MONTH(Data!$A614),timeseries_access_key_fqeas14oitk235763mntlb1c0brnk9w3fenzqbk313q5kvxyf52kukw1pa[Year],YEAR(Data!$A614)),"")</f>
        <v/>
      </c>
      <c r="N614" s="2" t="str">
        <f>IFERROR(AVERAGEIFS(timeseries_access_key_fqeas14oitk235763mntlb1c0brnk9w3fenzqbk313q5kvxyf52kukw1pa[Column1],timeseries_access_key_fqeas14oitk235763mntlb1c0brnk9w3fenzqbk313q5kvxyf52kukw1pa[Month],MONTH(Data!$A614),timeseries_access_key_fqeas14oitk235763mntlb1c0brnk9w3fenzqbk313q5kvxyf52kukw1pa[Year],YEAR(Data!$A614)),"")</f>
        <v/>
      </c>
      <c r="O614" s="8">
        <f>IFERROR(VLOOKUP($A614,Text_1_2[[Text.1.1.3]:[Text.1.3]],2,FALSE),"")</f>
        <v>27000</v>
      </c>
      <c r="P614" s="2"/>
    </row>
    <row r="615" spans="1:16" x14ac:dyDescent="0.25">
      <c r="A615" s="1">
        <v>39845</v>
      </c>
      <c r="B615">
        <f>HLOOKUP(Dashboard!$I$27,results,ROW(A615),FALSE)</f>
        <v>0.22178988326848248</v>
      </c>
      <c r="C615">
        <f>IFERROR(VLOOKUP(A615,observations_series_id_PCU22112222112243_api_key_ecc133893ea92a842ee685c73424608[],2,FALSE),"")</f>
        <v>160</v>
      </c>
      <c r="D615" s="2">
        <f>IFERROR(VLOOKUP(A615,observations_series_id_PCU22112222112243_api_key_ecc133893ea92a842ee685c73424608[],3,FALSE),"")</f>
        <v>0.89124999999999999</v>
      </c>
      <c r="E615">
        <f>IFERROR(VLOOKUP($A615,observations_series_id_WPU0613020T_api_key_ecc133893ea92a842ee685c734246086_file[],2,FALSE),"")</f>
        <v>96.1</v>
      </c>
      <c r="F615" s="2">
        <f>IFERROR(VLOOKUP($A615,observations_series_id_WPU0613020T_api_key_ecc133893ea92a842ee685c734246086_file[],3,FALSE),"")</f>
        <v>-4.058272632674309E-2</v>
      </c>
      <c r="G615">
        <f>IFERROR(VLOOKUP($A615,observations_series_id_PCU22122212_api_key_ecc133893ea92a842ee685c734246086_file[],2,FALSE),"")</f>
        <v>128.5</v>
      </c>
      <c r="H615" s="2">
        <f>IFERROR(VLOOKUP($A615,observations_series_id_PCU22122212_api_key_ecc133893ea92a842ee685c734246086_file[],3,FALSE),"")</f>
        <v>0.22178988326848248</v>
      </c>
      <c r="I615">
        <f>IFERROR(VLOOKUP($A615,observations_series_id_PCU3241913241910_api_key_ecc133893ea92a842ee685c734246086[],2,FALSE),"")</f>
        <v>397.3</v>
      </c>
      <c r="J615" s="2">
        <f>IFERROR(VLOOKUP($A615,observations_series_id_PCU3241913241910_api_key_ecc133893ea92a842ee685c734246086[],3,FALSE),"")</f>
        <v>0.87062673043040528</v>
      </c>
      <c r="K615">
        <f>IFERROR(VLOOKUP($A615,observations_series_id_EXJPUS_api_key_ecc133893ea92a842ee685c734246086_file_type[],2,FALSE),"")</f>
        <v>92.915800000000004</v>
      </c>
      <c r="L615" s="2">
        <f>IFERROR(VLOOKUP($A615,observations_series_id_EXJPUS_api_key_ecc133893ea92a842ee685c734246086_file_type[],3,FALSE),"")</f>
        <v>-2.8531659846872111</v>
      </c>
      <c r="M615" t="str">
        <f>IFERROR(AVERAGEIFS(timeseries_access_key_fqeas14oitk235763mntlb1c0brnk9w3fenzqbk313q5kvxyf52kukw1pa[Value.LME-ZNC],timeseries_access_key_fqeas14oitk235763mntlb1c0brnk9w3fenzqbk313q5kvxyf52kukw1pa[Month],MONTH(Data!$A615),timeseries_access_key_fqeas14oitk235763mntlb1c0brnk9w3fenzqbk313q5kvxyf52kukw1pa[Year],YEAR(Data!$A615)),"")</f>
        <v/>
      </c>
      <c r="N615" s="2" t="str">
        <f>IFERROR(AVERAGEIFS(timeseries_access_key_fqeas14oitk235763mntlb1c0brnk9w3fenzqbk313q5kvxyf52kukw1pa[Column1],timeseries_access_key_fqeas14oitk235763mntlb1c0brnk9w3fenzqbk313q5kvxyf52kukw1pa[Month],MONTH(Data!$A615),timeseries_access_key_fqeas14oitk235763mntlb1c0brnk9w3fenzqbk313q5kvxyf52kukw1pa[Year],YEAR(Data!$A615)),"")</f>
        <v/>
      </c>
      <c r="O615" s="8" t="str">
        <f>IFERROR(VLOOKUP($A615,Text_1_2[[Text.1.1.3]:[Text.1.3]],2,FALSE),"")</f>
        <v/>
      </c>
      <c r="P615" s="2"/>
    </row>
    <row r="616" spans="1:16" x14ac:dyDescent="0.25">
      <c r="A616" s="1">
        <v>39873</v>
      </c>
      <c r="B616">
        <f>HLOOKUP(Dashboard!$I$27,results,ROW(A616),FALSE)</f>
        <v>0.19159256265157643</v>
      </c>
      <c r="C616">
        <f>IFERROR(VLOOKUP(A616,observations_series_id_PCU22112222112243_api_key_ecc133893ea92a842ee685c73424608[],2,FALSE),"")</f>
        <v>157.30000000000001</v>
      </c>
      <c r="D616" s="2">
        <f>IFERROR(VLOOKUP(A616,observations_series_id_PCU22112222112243_api_key_ecc133893ea92a842ee685c73424608[],3,FALSE),"")</f>
        <v>0.88938334392879848</v>
      </c>
      <c r="E616">
        <f>IFERROR(VLOOKUP($A616,observations_series_id_WPU0613020T_api_key_ecc133893ea92a842ee685c734246086_file[],2,FALSE),"")</f>
        <v>86.5</v>
      </c>
      <c r="F616" s="2">
        <f>IFERROR(VLOOKUP($A616,observations_series_id_WPU0613020T_api_key_ecc133893ea92a842ee685c734246086_file[],3,FALSE),"")</f>
        <v>-0.1560693641618498</v>
      </c>
      <c r="G616">
        <f>IFERROR(VLOOKUP($A616,observations_series_id_PCU22122212_api_key_ecc133893ea92a842ee685c734246086_file[],2,FALSE),"")</f>
        <v>123.7</v>
      </c>
      <c r="H616" s="2">
        <f>IFERROR(VLOOKUP($A616,observations_series_id_PCU22122212_api_key_ecc133893ea92a842ee685c734246086_file[],3,FALSE),"")</f>
        <v>0.19159256265157643</v>
      </c>
      <c r="I616">
        <f>IFERROR(VLOOKUP($A616,observations_series_id_PCU3241913241910_api_key_ecc133893ea92a842ee685c734246086[],2,FALSE),"")</f>
        <v>386.3</v>
      </c>
      <c r="J616" s="2">
        <f>IFERROR(VLOOKUP($A616,observations_series_id_PCU3241913241910_api_key_ecc133893ea92a842ee685c734246086[],3,FALSE),"")</f>
        <v>0.86694279057727153</v>
      </c>
      <c r="K616">
        <f>IFERROR(VLOOKUP($A616,observations_series_id_EXJPUS_api_key_ecc133893ea92a842ee685c734246086_file_type[],2,FALSE),"")</f>
        <v>97.855000000000004</v>
      </c>
      <c r="L616" s="2">
        <f>IFERROR(VLOOKUP($A616,observations_series_id_EXJPUS_api_key_ecc133893ea92a842ee685c734246086_file_type[],3,FALSE),"")</f>
        <v>-2.6586786571968726</v>
      </c>
      <c r="M616" t="str">
        <f>IFERROR(AVERAGEIFS(timeseries_access_key_fqeas14oitk235763mntlb1c0brnk9w3fenzqbk313q5kvxyf52kukw1pa[Value.LME-ZNC],timeseries_access_key_fqeas14oitk235763mntlb1c0brnk9w3fenzqbk313q5kvxyf52kukw1pa[Month],MONTH(Data!$A616),timeseries_access_key_fqeas14oitk235763mntlb1c0brnk9w3fenzqbk313q5kvxyf52kukw1pa[Year],YEAR(Data!$A616)),"")</f>
        <v/>
      </c>
      <c r="N616" s="2" t="str">
        <f>IFERROR(AVERAGEIFS(timeseries_access_key_fqeas14oitk235763mntlb1c0brnk9w3fenzqbk313q5kvxyf52kukw1pa[Column1],timeseries_access_key_fqeas14oitk235763mntlb1c0brnk9w3fenzqbk313q5kvxyf52kukw1pa[Month],MONTH(Data!$A616),timeseries_access_key_fqeas14oitk235763mntlb1c0brnk9w3fenzqbk313q5kvxyf52kukw1pa[Year],YEAR(Data!$A616)),"")</f>
        <v/>
      </c>
      <c r="O616" s="8" t="str">
        <f>IFERROR(VLOOKUP($A616,Text_1_2[[Text.1.1.3]:[Text.1.3]],2,FALSE),"")</f>
        <v/>
      </c>
      <c r="P616" s="2"/>
    </row>
    <row r="617" spans="1:16" x14ac:dyDescent="0.25">
      <c r="A617" s="1">
        <v>39904</v>
      </c>
      <c r="B617">
        <f>HLOOKUP(Dashboard!$I$27,results,ROW(A617),FALSE)</f>
        <v>0.15182357930449542</v>
      </c>
      <c r="C617">
        <f>IFERROR(VLOOKUP(A617,observations_series_id_PCU22112222112243_api_key_ecc133893ea92a842ee685c73424608[],2,FALSE),"")</f>
        <v>156.30000000000001</v>
      </c>
      <c r="D617" s="2">
        <f>IFERROR(VLOOKUP(A617,observations_series_id_PCU22112222112243_api_key_ecc133893ea92a842ee685c73424608[],3,FALSE),"")</f>
        <v>0.8886756238003839</v>
      </c>
      <c r="E617">
        <f>IFERROR(VLOOKUP($A617,observations_series_id_WPU0613020T_api_key_ecc133893ea92a842ee685c734246086_file[],2,FALSE),"")</f>
        <v>86.5</v>
      </c>
      <c r="F617" s="2">
        <f>IFERROR(VLOOKUP($A617,observations_series_id_WPU0613020T_api_key_ecc133893ea92a842ee685c734246086_file[],3,FALSE),"")</f>
        <v>-0.1560693641618498</v>
      </c>
      <c r="G617">
        <f>IFERROR(VLOOKUP($A617,observations_series_id_PCU22122212_api_key_ecc133893ea92a842ee685c734246086_file[],2,FALSE),"")</f>
        <v>117.9</v>
      </c>
      <c r="H617" s="2">
        <f>IFERROR(VLOOKUP($A617,observations_series_id_PCU22122212_api_key_ecc133893ea92a842ee685c734246086_file[],3,FALSE),"")</f>
        <v>0.15182357930449542</v>
      </c>
      <c r="I617">
        <f>IFERROR(VLOOKUP($A617,observations_series_id_PCU3241913241910_api_key_ecc133893ea92a842ee685c734246086[],2,FALSE),"")</f>
        <v>375.6</v>
      </c>
      <c r="J617" s="2">
        <f>IFERROR(VLOOKUP($A617,observations_series_id_PCU3241913241910_api_key_ecc133893ea92a842ee685c734246086[],3,FALSE),"")</f>
        <v>0.86315228966986157</v>
      </c>
      <c r="K617">
        <f>IFERROR(VLOOKUP($A617,observations_series_id_EXJPUS_api_key_ecc133893ea92a842ee685c734246086_file_type[],2,FALSE),"")</f>
        <v>98.92</v>
      </c>
      <c r="L617" s="2">
        <f>IFERROR(VLOOKUP($A617,observations_series_id_EXJPUS_api_key_ecc133893ea92a842ee685c734246086_file_type[],3,FALSE),"")</f>
        <v>-2.6192883137889202</v>
      </c>
      <c r="M617" t="str">
        <f>IFERROR(AVERAGEIFS(timeseries_access_key_fqeas14oitk235763mntlb1c0brnk9w3fenzqbk313q5kvxyf52kukw1pa[Value.LME-ZNC],timeseries_access_key_fqeas14oitk235763mntlb1c0brnk9w3fenzqbk313q5kvxyf52kukw1pa[Month],MONTH(Data!$A617),timeseries_access_key_fqeas14oitk235763mntlb1c0brnk9w3fenzqbk313q5kvxyf52kukw1pa[Year],YEAR(Data!$A617)),"")</f>
        <v/>
      </c>
      <c r="N617" s="2" t="str">
        <f>IFERROR(AVERAGEIFS(timeseries_access_key_fqeas14oitk235763mntlb1c0brnk9w3fenzqbk313q5kvxyf52kukw1pa[Column1],timeseries_access_key_fqeas14oitk235763mntlb1c0brnk9w3fenzqbk313q5kvxyf52kukw1pa[Month],MONTH(Data!$A617),timeseries_access_key_fqeas14oitk235763mntlb1c0brnk9w3fenzqbk313q5kvxyf52kukw1pa[Year],YEAR(Data!$A617)),"")</f>
        <v/>
      </c>
      <c r="O617" s="8">
        <f>IFERROR(VLOOKUP($A617,Text_1_2[[Text.1.1.3]:[Text.1.3]],2,FALSE),"")</f>
        <v>33300</v>
      </c>
      <c r="P617" s="2"/>
    </row>
    <row r="618" spans="1:16" x14ac:dyDescent="0.25">
      <c r="A618" s="1">
        <v>39934</v>
      </c>
      <c r="B618">
        <f>HLOOKUP(Dashboard!$I$27,results,ROW(A618),FALSE)</f>
        <v>0.11032028469750899</v>
      </c>
      <c r="C618">
        <f>IFERROR(VLOOKUP(A618,observations_series_id_PCU22112222112243_api_key_ecc133893ea92a842ee685c73424608[],2,FALSE),"")</f>
        <v>158.9</v>
      </c>
      <c r="D618" s="2">
        <f>IFERROR(VLOOKUP(A618,observations_series_id_PCU22112222112243_api_key_ecc133893ea92a842ee685c73424608[],3,FALSE),"")</f>
        <v>0.89049716803020773</v>
      </c>
      <c r="E618">
        <f>IFERROR(VLOOKUP($A618,observations_series_id_WPU0613020T_api_key_ecc133893ea92a842ee685c734246086_file[],2,FALSE),"")</f>
        <v>84.7</v>
      </c>
      <c r="F618" s="2">
        <f>IFERROR(VLOOKUP($A618,observations_series_id_WPU0613020T_api_key_ecc133893ea92a842ee685c734246086_file[],3,FALSE),"")</f>
        <v>-0.18063754427390788</v>
      </c>
      <c r="G618">
        <f>IFERROR(VLOOKUP($A618,observations_series_id_PCU22122212_api_key_ecc133893ea92a842ee685c734246086_file[],2,FALSE),"")</f>
        <v>112.4</v>
      </c>
      <c r="H618" s="2">
        <f>IFERROR(VLOOKUP($A618,observations_series_id_PCU22122212_api_key_ecc133893ea92a842ee685c734246086_file[],3,FALSE),"")</f>
        <v>0.11032028469750899</v>
      </c>
      <c r="I618">
        <f>IFERROR(VLOOKUP($A618,observations_series_id_PCU3241913241910_api_key_ecc133893ea92a842ee685c734246086[],2,FALSE),"")</f>
        <v>369.1</v>
      </c>
      <c r="J618" s="2">
        <f>IFERROR(VLOOKUP($A618,observations_series_id_PCU3241913241910_api_key_ecc133893ea92a842ee685c734246086[],3,FALSE),"")</f>
        <v>0.86074234624762935</v>
      </c>
      <c r="K618">
        <f>IFERROR(VLOOKUP($A618,observations_series_id_EXJPUS_api_key_ecc133893ea92a842ee685c734246086_file_type[],2,FALSE),"")</f>
        <v>96.644499999999994</v>
      </c>
      <c r="L618" s="2">
        <f>IFERROR(VLOOKUP($A618,observations_series_id_EXJPUS_api_key_ecc133893ea92a842ee685c734246086_file_type[],3,FALSE),"")</f>
        <v>-2.7045046536533377</v>
      </c>
      <c r="M618" t="str">
        <f>IFERROR(AVERAGEIFS(timeseries_access_key_fqeas14oitk235763mntlb1c0brnk9w3fenzqbk313q5kvxyf52kukw1pa[Value.LME-ZNC],timeseries_access_key_fqeas14oitk235763mntlb1c0brnk9w3fenzqbk313q5kvxyf52kukw1pa[Month],MONTH(Data!$A618),timeseries_access_key_fqeas14oitk235763mntlb1c0brnk9w3fenzqbk313q5kvxyf52kukw1pa[Year],YEAR(Data!$A618)),"")</f>
        <v/>
      </c>
      <c r="N618" s="2" t="str">
        <f>IFERROR(AVERAGEIFS(timeseries_access_key_fqeas14oitk235763mntlb1c0brnk9w3fenzqbk313q5kvxyf52kukw1pa[Column1],timeseries_access_key_fqeas14oitk235763mntlb1c0brnk9w3fenzqbk313q5kvxyf52kukw1pa[Month],MONTH(Data!$A618),timeseries_access_key_fqeas14oitk235763mntlb1c0brnk9w3fenzqbk313q5kvxyf52kukw1pa[Year],YEAR(Data!$A618)),"")</f>
        <v/>
      </c>
      <c r="O618" s="8" t="str">
        <f>IFERROR(VLOOKUP($A618,Text_1_2[[Text.1.1.3]:[Text.1.3]],2,FALSE),"")</f>
        <v/>
      </c>
      <c r="P618" s="2"/>
    </row>
    <row r="619" spans="1:16" x14ac:dyDescent="0.25">
      <c r="A619" s="1">
        <v>39965</v>
      </c>
      <c r="B619">
        <f>HLOOKUP(Dashboard!$I$27,results,ROW(A619),FALSE)</f>
        <v>9.9099099099099086E-2</v>
      </c>
      <c r="C619">
        <f>IFERROR(VLOOKUP(A619,observations_series_id_PCU22112222112243_api_key_ecc133893ea92a842ee685c73424608[],2,FALSE),"")</f>
        <v>160.9</v>
      </c>
      <c r="D619" s="2">
        <f>IFERROR(VLOOKUP(A619,observations_series_id_PCU22112222112243_api_key_ecc133893ea92a842ee685c73424608[],3,FALSE),"")</f>
        <v>0.89185829707893105</v>
      </c>
      <c r="E619">
        <f>IFERROR(VLOOKUP($A619,observations_series_id_WPU0613020T_api_key_ecc133893ea92a842ee685c734246086_file[],2,FALSE),"")</f>
        <v>78</v>
      </c>
      <c r="F619" s="2">
        <f>IFERROR(VLOOKUP($A619,observations_series_id_WPU0613020T_api_key_ecc133893ea92a842ee685c734246086_file[],3,FALSE),"")</f>
        <v>-0.28205128205128216</v>
      </c>
      <c r="G619">
        <f>IFERROR(VLOOKUP($A619,observations_series_id_PCU22122212_api_key_ecc133893ea92a842ee685c734246086_file[],2,FALSE),"")</f>
        <v>111</v>
      </c>
      <c r="H619" s="2">
        <f>IFERROR(VLOOKUP($A619,observations_series_id_PCU22122212_api_key_ecc133893ea92a842ee685c734246086_file[],3,FALSE),"")</f>
        <v>9.9099099099099086E-2</v>
      </c>
      <c r="I619">
        <f>IFERROR(VLOOKUP($A619,observations_series_id_PCU3241913241910_api_key_ecc133893ea92a842ee685c734246086[],2,FALSE),"")</f>
        <v>355.1</v>
      </c>
      <c r="J619" s="2">
        <f>IFERROR(VLOOKUP($A619,observations_series_id_PCU3241913241910_api_key_ecc133893ea92a842ee685c734246086[],3,FALSE),"")</f>
        <v>0.85525204167840041</v>
      </c>
      <c r="K619">
        <f>IFERROR(VLOOKUP($A619,observations_series_id_EXJPUS_api_key_ecc133893ea92a842ee685c734246086_file_type[],2,FALSE),"")</f>
        <v>96.614500000000007</v>
      </c>
      <c r="L619" s="2">
        <f>IFERROR(VLOOKUP($A619,observations_series_id_EXJPUS_api_key_ecc133893ea92a842ee685c734246086_file_type[],3,FALSE),"")</f>
        <v>-2.7056549482738093</v>
      </c>
      <c r="M619" t="str">
        <f>IFERROR(AVERAGEIFS(timeseries_access_key_fqeas14oitk235763mntlb1c0brnk9w3fenzqbk313q5kvxyf52kukw1pa[Value.LME-ZNC],timeseries_access_key_fqeas14oitk235763mntlb1c0brnk9w3fenzqbk313q5kvxyf52kukw1pa[Month],MONTH(Data!$A619),timeseries_access_key_fqeas14oitk235763mntlb1c0brnk9w3fenzqbk313q5kvxyf52kukw1pa[Year],YEAR(Data!$A619)),"")</f>
        <v/>
      </c>
      <c r="N619" s="2" t="str">
        <f>IFERROR(AVERAGEIFS(timeseries_access_key_fqeas14oitk235763mntlb1c0brnk9w3fenzqbk313q5kvxyf52kukw1pa[Column1],timeseries_access_key_fqeas14oitk235763mntlb1c0brnk9w3fenzqbk313q5kvxyf52kukw1pa[Month],MONTH(Data!$A619),timeseries_access_key_fqeas14oitk235763mntlb1c0brnk9w3fenzqbk313q5kvxyf52kukw1pa[Year],YEAR(Data!$A619)),"")</f>
        <v/>
      </c>
      <c r="O619" s="8" t="str">
        <f>IFERROR(VLOOKUP($A619,Text_1_2[[Text.1.1.3]:[Text.1.3]],2,FALSE),"")</f>
        <v/>
      </c>
      <c r="P619" s="2"/>
    </row>
    <row r="620" spans="1:16" x14ac:dyDescent="0.25">
      <c r="A620" s="1">
        <v>39995</v>
      </c>
      <c r="B620">
        <f>HLOOKUP(Dashboard!$I$27,results,ROW(A620),FALSE)</f>
        <v>0.11894273127753308</v>
      </c>
      <c r="C620">
        <f>IFERROR(VLOOKUP(A620,observations_series_id_PCU22112222112243_api_key_ecc133893ea92a842ee685c73424608[],2,FALSE),"")</f>
        <v>163.5</v>
      </c>
      <c r="D620" s="2">
        <f>IFERROR(VLOOKUP(A620,observations_series_id_PCU22112222112243_api_key_ecc133893ea92a842ee685c73424608[],3,FALSE),"")</f>
        <v>0.89357798165137614</v>
      </c>
      <c r="E620">
        <f>IFERROR(VLOOKUP($A620,observations_series_id_WPU0613020T_api_key_ecc133893ea92a842ee685c734246086_file[],2,FALSE),"")</f>
        <v>78.599999999999994</v>
      </c>
      <c r="F620" s="2">
        <f>IFERROR(VLOOKUP($A620,observations_series_id_WPU0613020T_api_key_ecc133893ea92a842ee685c734246086_file[],3,FALSE),"")</f>
        <v>-0.27226463104325704</v>
      </c>
      <c r="G620">
        <f>IFERROR(VLOOKUP($A620,observations_series_id_PCU22122212_api_key_ecc133893ea92a842ee685c734246086_file[],2,FALSE),"")</f>
        <v>113.5</v>
      </c>
      <c r="H620" s="2">
        <f>IFERROR(VLOOKUP($A620,observations_series_id_PCU22122212_api_key_ecc133893ea92a842ee685c734246086_file[],3,FALSE),"")</f>
        <v>0.11894273127753308</v>
      </c>
      <c r="I620">
        <f>IFERROR(VLOOKUP($A620,observations_series_id_PCU3241913241910_api_key_ecc133893ea92a842ee685c734246086[],2,FALSE),"")</f>
        <v>356.5</v>
      </c>
      <c r="J620" s="2">
        <f>IFERROR(VLOOKUP($A620,observations_series_id_PCU3241913241910_api_key_ecc133893ea92a842ee685c734246086[],3,FALSE),"")</f>
        <v>0.85582047685834506</v>
      </c>
      <c r="K620">
        <f>IFERROR(VLOOKUP($A620,observations_series_id_EXJPUS_api_key_ecc133893ea92a842ee685c734246086_file_type[],2,FALSE),"")</f>
        <v>94.367000000000004</v>
      </c>
      <c r="L620" s="2">
        <f>IFERROR(VLOOKUP($A620,observations_series_id_EXJPUS_api_key_ecc133893ea92a842ee685c734246086_file_type[],3,FALSE),"")</f>
        <v>-2.7939110070257609</v>
      </c>
      <c r="M620" t="str">
        <f>IFERROR(AVERAGEIFS(timeseries_access_key_fqeas14oitk235763mntlb1c0brnk9w3fenzqbk313q5kvxyf52kukw1pa[Value.LME-ZNC],timeseries_access_key_fqeas14oitk235763mntlb1c0brnk9w3fenzqbk313q5kvxyf52kukw1pa[Month],MONTH(Data!$A620),timeseries_access_key_fqeas14oitk235763mntlb1c0brnk9w3fenzqbk313q5kvxyf52kukw1pa[Year],YEAR(Data!$A620)),"")</f>
        <v/>
      </c>
      <c r="N620" s="2" t="str">
        <f>IFERROR(AVERAGEIFS(timeseries_access_key_fqeas14oitk235763mntlb1c0brnk9w3fenzqbk313q5kvxyf52kukw1pa[Column1],timeseries_access_key_fqeas14oitk235763mntlb1c0brnk9w3fenzqbk313q5kvxyf52kukw1pa[Month],MONTH(Data!$A620),timeseries_access_key_fqeas14oitk235763mntlb1c0brnk9w3fenzqbk313q5kvxyf52kukw1pa[Year],YEAR(Data!$A620)),"")</f>
        <v/>
      </c>
      <c r="O620" s="8">
        <f>IFERROR(VLOOKUP($A620,Text_1_2[[Text.1.1.3]:[Text.1.3]],2,FALSE),"")</f>
        <v>41200</v>
      </c>
      <c r="P620" s="2"/>
    </row>
    <row r="621" spans="1:16" x14ac:dyDescent="0.25">
      <c r="A621" s="1">
        <v>40026</v>
      </c>
      <c r="B621">
        <f>HLOOKUP(Dashboard!$I$27,results,ROW(A621),FALSE)</f>
        <v>0.12126537785588754</v>
      </c>
      <c r="C621">
        <f>IFERROR(VLOOKUP(A621,observations_series_id_PCU22112222112243_api_key_ecc133893ea92a842ee685c73424608[],2,FALSE),"")</f>
        <v>161.9</v>
      </c>
      <c r="D621" s="2">
        <f>IFERROR(VLOOKUP(A621,observations_series_id_PCU22112222112243_api_key_ecc133893ea92a842ee685c73424608[],3,FALSE),"")</f>
        <v>0.89252625077208159</v>
      </c>
      <c r="E621">
        <f>IFERROR(VLOOKUP($A621,observations_series_id_WPU0613020T_api_key_ecc133893ea92a842ee685c734246086_file[],2,FALSE),"")</f>
        <v>76.8</v>
      </c>
      <c r="F621" s="2">
        <f>IFERROR(VLOOKUP($A621,observations_series_id_WPU0613020T_api_key_ecc133893ea92a842ee685c734246086_file[],3,FALSE),"")</f>
        <v>-0.30208333333333348</v>
      </c>
      <c r="G621">
        <f>IFERROR(VLOOKUP($A621,observations_series_id_PCU22122212_api_key_ecc133893ea92a842ee685c734246086_file[],2,FALSE),"")</f>
        <v>113.8</v>
      </c>
      <c r="H621" s="2">
        <f>IFERROR(VLOOKUP($A621,observations_series_id_PCU22122212_api_key_ecc133893ea92a842ee685c734246086_file[],3,FALSE),"")</f>
        <v>0.12126537785588754</v>
      </c>
      <c r="I621">
        <f>IFERROR(VLOOKUP($A621,observations_series_id_PCU3241913241910_api_key_ecc133893ea92a842ee685c734246086[],2,FALSE),"")</f>
        <v>360.2</v>
      </c>
      <c r="J621" s="2">
        <f>IFERROR(VLOOKUP($A621,observations_series_id_PCU3241913241910_api_key_ecc133893ea92a842ee685c734246086[],3,FALSE),"")</f>
        <v>0.85730149916712939</v>
      </c>
      <c r="K621">
        <f>IFERROR(VLOOKUP($A621,observations_series_id_EXJPUS_api_key_ecc133893ea92a842ee685c734246086_file_type[],2,FALSE),"")</f>
        <v>94.897099999999995</v>
      </c>
      <c r="L621" s="2">
        <f>IFERROR(VLOOKUP($A621,observations_series_id_EXJPUS_api_key_ecc133893ea92a842ee685c734246086_file_type[],3,FALSE),"")</f>
        <v>-2.7727180282642991</v>
      </c>
      <c r="M621" t="str">
        <f>IFERROR(AVERAGEIFS(timeseries_access_key_fqeas14oitk235763mntlb1c0brnk9w3fenzqbk313q5kvxyf52kukw1pa[Value.LME-ZNC],timeseries_access_key_fqeas14oitk235763mntlb1c0brnk9w3fenzqbk313q5kvxyf52kukw1pa[Month],MONTH(Data!$A621),timeseries_access_key_fqeas14oitk235763mntlb1c0brnk9w3fenzqbk313q5kvxyf52kukw1pa[Year],YEAR(Data!$A621)),"")</f>
        <v/>
      </c>
      <c r="N621" s="2" t="str">
        <f>IFERROR(AVERAGEIFS(timeseries_access_key_fqeas14oitk235763mntlb1c0brnk9w3fenzqbk313q5kvxyf52kukw1pa[Column1],timeseries_access_key_fqeas14oitk235763mntlb1c0brnk9w3fenzqbk313q5kvxyf52kukw1pa[Month],MONTH(Data!$A621),timeseries_access_key_fqeas14oitk235763mntlb1c0brnk9w3fenzqbk313q5kvxyf52kukw1pa[Year],YEAR(Data!$A621)),"")</f>
        <v/>
      </c>
      <c r="O621" s="8" t="str">
        <f>IFERROR(VLOOKUP($A621,Text_1_2[[Text.1.1.3]:[Text.1.3]],2,FALSE),"")</f>
        <v/>
      </c>
      <c r="P621" s="2"/>
    </row>
    <row r="622" spans="1:16" x14ac:dyDescent="0.25">
      <c r="A622" s="1">
        <v>40057</v>
      </c>
      <c r="B622">
        <f>HLOOKUP(Dashboard!$I$27,results,ROW(A622),FALSE)</f>
        <v>0.10634495084897233</v>
      </c>
      <c r="C622">
        <f>IFERROR(VLOOKUP(A622,observations_series_id_PCU22112222112243_api_key_ecc133893ea92a842ee685c73424608[],2,FALSE),"")</f>
        <v>162</v>
      </c>
      <c r="D622" s="2">
        <f>IFERROR(VLOOKUP(A622,observations_series_id_PCU22112222112243_api_key_ecc133893ea92a842ee685c73424608[],3,FALSE),"")</f>
        <v>0.8925925925925926</v>
      </c>
      <c r="E622">
        <f>IFERROR(VLOOKUP($A622,observations_series_id_WPU0613020T_api_key_ecc133893ea92a842ee685c734246086_file[],2,FALSE),"")</f>
        <v>77.400000000000006</v>
      </c>
      <c r="F622" s="2">
        <f>IFERROR(VLOOKUP($A622,observations_series_id_WPU0613020T_api_key_ecc133893ea92a842ee685c734246086_file[],3,FALSE),"")</f>
        <v>-0.29198966408268734</v>
      </c>
      <c r="G622">
        <f>IFERROR(VLOOKUP($A622,observations_series_id_PCU22122212_api_key_ecc133893ea92a842ee685c734246086_file[],2,FALSE),"")</f>
        <v>111.9</v>
      </c>
      <c r="H622" s="2">
        <f>IFERROR(VLOOKUP($A622,observations_series_id_PCU22122212_api_key_ecc133893ea92a842ee685c734246086_file[],3,FALSE),"")</f>
        <v>0.10634495084897233</v>
      </c>
      <c r="I622">
        <f>IFERROR(VLOOKUP($A622,observations_series_id_PCU3241913241910_api_key_ecc133893ea92a842ee685c734246086[],2,FALSE),"")</f>
        <v>358</v>
      </c>
      <c r="J622" s="2">
        <f>IFERROR(VLOOKUP($A622,observations_series_id_PCU3241913241910_api_key_ecc133893ea92a842ee685c734246086[],3,FALSE),"")</f>
        <v>0.8564245810055866</v>
      </c>
      <c r="K622">
        <f>IFERROR(VLOOKUP($A622,observations_series_id_EXJPUS_api_key_ecc133893ea92a842ee685c734246086_file_type[],2,FALSE),"")</f>
        <v>91.274799999999999</v>
      </c>
      <c r="L622" s="2">
        <f>IFERROR(VLOOKUP($A622,observations_series_id_EXJPUS_api_key_ecc133893ea92a842ee685c734246086_file_type[],3,FALSE),"")</f>
        <v>-2.9224408051291264</v>
      </c>
      <c r="M622" t="str">
        <f>IFERROR(AVERAGEIFS(timeseries_access_key_fqeas14oitk235763mntlb1c0brnk9w3fenzqbk313q5kvxyf52kukw1pa[Value.LME-ZNC],timeseries_access_key_fqeas14oitk235763mntlb1c0brnk9w3fenzqbk313q5kvxyf52kukw1pa[Month],MONTH(Data!$A622),timeseries_access_key_fqeas14oitk235763mntlb1c0brnk9w3fenzqbk313q5kvxyf52kukw1pa[Year],YEAR(Data!$A622)),"")</f>
        <v/>
      </c>
      <c r="N622" s="2" t="str">
        <f>IFERROR(AVERAGEIFS(timeseries_access_key_fqeas14oitk235763mntlb1c0brnk9w3fenzqbk313q5kvxyf52kukw1pa[Column1],timeseries_access_key_fqeas14oitk235763mntlb1c0brnk9w3fenzqbk313q5kvxyf52kukw1pa[Month],MONTH(Data!$A622),timeseries_access_key_fqeas14oitk235763mntlb1c0brnk9w3fenzqbk313q5kvxyf52kukw1pa[Year],YEAR(Data!$A622)),"")</f>
        <v/>
      </c>
      <c r="O622" s="8" t="str">
        <f>IFERROR(VLOOKUP($A622,Text_1_2[[Text.1.1.3]:[Text.1.3]],2,FALSE),"")</f>
        <v/>
      </c>
      <c r="P622" s="2"/>
    </row>
    <row r="623" spans="1:16" x14ac:dyDescent="0.25">
      <c r="A623" s="1">
        <v>40087</v>
      </c>
      <c r="B623">
        <f>HLOOKUP(Dashboard!$I$27,results,ROW(A623),FALSE)</f>
        <v>0.11894273127753308</v>
      </c>
      <c r="C623">
        <f>IFERROR(VLOOKUP(A623,observations_series_id_PCU22112222112243_api_key_ecc133893ea92a842ee685c73424608[],2,FALSE),"")</f>
        <v>158</v>
      </c>
      <c r="D623" s="2">
        <f>IFERROR(VLOOKUP(A623,observations_series_id_PCU22112222112243_api_key_ecc133893ea92a842ee685c73424608[],3,FALSE),"")</f>
        <v>0.88987341772151896</v>
      </c>
      <c r="E623">
        <f>IFERROR(VLOOKUP($A623,observations_series_id_WPU0613020T_api_key_ecc133893ea92a842ee685c734246086_file[],2,FALSE),"")</f>
        <v>73.900000000000006</v>
      </c>
      <c r="F623" s="2">
        <f>IFERROR(VLOOKUP($A623,observations_series_id_WPU0613020T_api_key_ecc133893ea92a842ee685c734246086_file[],3,FALSE),"")</f>
        <v>-0.35317997293640047</v>
      </c>
      <c r="G623">
        <f>IFERROR(VLOOKUP($A623,observations_series_id_PCU22122212_api_key_ecc133893ea92a842ee685c734246086_file[],2,FALSE),"")</f>
        <v>113.5</v>
      </c>
      <c r="H623" s="2">
        <f>IFERROR(VLOOKUP($A623,observations_series_id_PCU22122212_api_key_ecc133893ea92a842ee685c734246086_file[],3,FALSE),"")</f>
        <v>0.11894273127753308</v>
      </c>
      <c r="I623">
        <f>IFERROR(VLOOKUP($A623,observations_series_id_PCU3241913241910_api_key_ecc133893ea92a842ee685c734246086[],2,FALSE),"")</f>
        <v>364.5</v>
      </c>
      <c r="J623" s="2">
        <f>IFERROR(VLOOKUP($A623,observations_series_id_PCU3241913241910_api_key_ecc133893ea92a842ee685c734246086[],3,FALSE),"")</f>
        <v>0.85898491083676265</v>
      </c>
      <c r="K623">
        <f>IFERROR(VLOOKUP($A623,observations_series_id_EXJPUS_api_key_ecc133893ea92a842ee685c734246086_file_type[],2,FALSE),"")</f>
        <v>90.367099999999994</v>
      </c>
      <c r="L623" s="2">
        <f>IFERROR(VLOOKUP($A623,observations_series_id_EXJPUS_api_key_ecc133893ea92a842ee685c734246086_file_type[],3,FALSE),"")</f>
        <v>-2.9618400944591561</v>
      </c>
      <c r="M623" t="str">
        <f>IFERROR(AVERAGEIFS(timeseries_access_key_fqeas14oitk235763mntlb1c0brnk9w3fenzqbk313q5kvxyf52kukw1pa[Value.LME-ZNC],timeseries_access_key_fqeas14oitk235763mntlb1c0brnk9w3fenzqbk313q5kvxyf52kukw1pa[Month],MONTH(Data!$A623),timeseries_access_key_fqeas14oitk235763mntlb1c0brnk9w3fenzqbk313q5kvxyf52kukw1pa[Year],YEAR(Data!$A623)),"")</f>
        <v/>
      </c>
      <c r="N623" s="2" t="str">
        <f>IFERROR(AVERAGEIFS(timeseries_access_key_fqeas14oitk235763mntlb1c0brnk9w3fenzqbk313q5kvxyf52kukw1pa[Column1],timeseries_access_key_fqeas14oitk235763mntlb1c0brnk9w3fenzqbk313q5kvxyf52kukw1pa[Month],MONTH(Data!$A623),timeseries_access_key_fqeas14oitk235763mntlb1c0brnk9w3fenzqbk313q5kvxyf52kukw1pa[Year],YEAR(Data!$A623)),"")</f>
        <v/>
      </c>
      <c r="O623" s="8">
        <f>IFERROR(VLOOKUP($A623,Text_1_2[[Text.1.1.3]:[Text.1.3]],2,FALSE),"")</f>
        <v>42500</v>
      </c>
      <c r="P623" s="2"/>
    </row>
    <row r="624" spans="1:16" x14ac:dyDescent="0.25">
      <c r="A624" s="1">
        <v>40118</v>
      </c>
      <c r="B624">
        <f>HLOOKUP(Dashboard!$I$27,results,ROW(A624),FALSE)</f>
        <v>0.14821124361158433</v>
      </c>
      <c r="C624">
        <f>IFERROR(VLOOKUP(A624,observations_series_id_PCU22112222112243_api_key_ecc133893ea92a842ee685c73424608[],2,FALSE),"")</f>
        <v>155.19999999999999</v>
      </c>
      <c r="D624" s="2">
        <f>IFERROR(VLOOKUP(A624,observations_series_id_PCU22112222112243_api_key_ecc133893ea92a842ee685c73424608[],3,FALSE),"")</f>
        <v>0.88788659793814428</v>
      </c>
      <c r="E624">
        <f>IFERROR(VLOOKUP($A624,observations_series_id_WPU0613020T_api_key_ecc133893ea92a842ee685c734246086_file[],2,FALSE),"")</f>
        <v>74.5</v>
      </c>
      <c r="F624" s="2">
        <f>IFERROR(VLOOKUP($A624,observations_series_id_WPU0613020T_api_key_ecc133893ea92a842ee685c734246086_file[],3,FALSE),"")</f>
        <v>-0.34228187919463093</v>
      </c>
      <c r="G624">
        <f>IFERROR(VLOOKUP($A624,observations_series_id_PCU22122212_api_key_ecc133893ea92a842ee685c734246086_file[],2,FALSE),"")</f>
        <v>117.4</v>
      </c>
      <c r="H624" s="2">
        <f>IFERROR(VLOOKUP($A624,observations_series_id_PCU22122212_api_key_ecc133893ea92a842ee685c734246086_file[],3,FALSE),"")</f>
        <v>0.14821124361158433</v>
      </c>
      <c r="I624">
        <f>IFERROR(VLOOKUP($A624,observations_series_id_PCU3241913241910_api_key_ecc133893ea92a842ee685c734246086[],2,FALSE),"")</f>
        <v>361.4</v>
      </c>
      <c r="J624" s="2">
        <f>IFERROR(VLOOKUP($A624,observations_series_id_PCU3241913241910_api_key_ecc133893ea92a842ee685c734246086[],3,FALSE),"")</f>
        <v>0.85777531820697284</v>
      </c>
      <c r="K624">
        <f>IFERROR(VLOOKUP($A624,observations_series_id_EXJPUS_api_key_ecc133893ea92a842ee685c734246086_file_type[],2,FALSE),"")</f>
        <v>89.267399999999995</v>
      </c>
      <c r="L624" s="2">
        <f>IFERROR(VLOOKUP($A624,observations_series_id_EXJPUS_api_key_ecc133893ea92a842ee685c734246086_file_type[],3,FALSE),"")</f>
        <v>-3.010646663843688</v>
      </c>
      <c r="M624" t="str">
        <f>IFERROR(AVERAGEIFS(timeseries_access_key_fqeas14oitk235763mntlb1c0brnk9w3fenzqbk313q5kvxyf52kukw1pa[Value.LME-ZNC],timeseries_access_key_fqeas14oitk235763mntlb1c0brnk9w3fenzqbk313q5kvxyf52kukw1pa[Month],MONTH(Data!$A624),timeseries_access_key_fqeas14oitk235763mntlb1c0brnk9w3fenzqbk313q5kvxyf52kukw1pa[Year],YEAR(Data!$A624)),"")</f>
        <v/>
      </c>
      <c r="N624" s="2" t="str">
        <f>IFERROR(AVERAGEIFS(timeseries_access_key_fqeas14oitk235763mntlb1c0brnk9w3fenzqbk313q5kvxyf52kukw1pa[Column1],timeseries_access_key_fqeas14oitk235763mntlb1c0brnk9w3fenzqbk313q5kvxyf52kukw1pa[Month],MONTH(Data!$A624),timeseries_access_key_fqeas14oitk235763mntlb1c0brnk9w3fenzqbk313q5kvxyf52kukw1pa[Year],YEAR(Data!$A624)),"")</f>
        <v/>
      </c>
      <c r="O624" s="8" t="str">
        <f>IFERROR(VLOOKUP($A624,Text_1_2[[Text.1.1.3]:[Text.1.3]],2,FALSE),"")</f>
        <v/>
      </c>
      <c r="P624" s="2"/>
    </row>
    <row r="625" spans="1:16" x14ac:dyDescent="0.25">
      <c r="A625" s="1">
        <v>40148</v>
      </c>
      <c r="B625">
        <f>HLOOKUP(Dashboard!$I$27,results,ROW(A625),FALSE)</f>
        <v>0.14529914529914534</v>
      </c>
      <c r="C625">
        <f>IFERROR(VLOOKUP(A625,observations_series_id_PCU22112222112243_api_key_ecc133893ea92a842ee685c73424608[],2,FALSE),"")</f>
        <v>155.30000000000001</v>
      </c>
      <c r="D625" s="2">
        <f>IFERROR(VLOOKUP(A625,observations_series_id_PCU22112222112243_api_key_ecc133893ea92a842ee685c73424608[],3,FALSE),"")</f>
        <v>0.88795878943979401</v>
      </c>
      <c r="E625">
        <f>IFERROR(VLOOKUP($A625,observations_series_id_WPU0613020T_api_key_ecc133893ea92a842ee685c734246086_file[],2,FALSE),"")</f>
        <v>80.3</v>
      </c>
      <c r="F625" s="2">
        <f>IFERROR(VLOOKUP($A625,observations_series_id_WPU0613020T_api_key_ecc133893ea92a842ee685c734246086_file[],3,FALSE),"")</f>
        <v>-0.24533001245330022</v>
      </c>
      <c r="G625">
        <f>IFERROR(VLOOKUP($A625,observations_series_id_PCU22122212_api_key_ecc133893ea92a842ee685c734246086_file[],2,FALSE),"")</f>
        <v>117</v>
      </c>
      <c r="H625" s="2">
        <f>IFERROR(VLOOKUP($A625,observations_series_id_PCU22122212_api_key_ecc133893ea92a842ee685c734246086_file[],3,FALSE),"")</f>
        <v>0.14529914529914534</v>
      </c>
      <c r="I625">
        <f>IFERROR(VLOOKUP($A625,observations_series_id_PCU3241913241910_api_key_ecc133893ea92a842ee685c734246086[],2,FALSE),"")</f>
        <v>358.4</v>
      </c>
      <c r="J625" s="2">
        <f>IFERROR(VLOOKUP($A625,observations_series_id_PCU3241913241910_api_key_ecc133893ea92a842ee685c734246086[],3,FALSE),"")</f>
        <v>0.8565848214285714</v>
      </c>
      <c r="K625">
        <f>IFERROR(VLOOKUP($A625,observations_series_id_EXJPUS_api_key_ecc133893ea92a842ee685c734246086_file_type[],2,FALSE),"")</f>
        <v>89.950900000000004</v>
      </c>
      <c r="L625" s="2">
        <f>IFERROR(VLOOKUP($A625,observations_series_id_EXJPUS_api_key_ecc133893ea92a842ee685c734246086_file_type[],3,FALSE),"")</f>
        <v>-2.9801714046218546</v>
      </c>
      <c r="M625" t="str">
        <f>IFERROR(AVERAGEIFS(timeseries_access_key_fqeas14oitk235763mntlb1c0brnk9w3fenzqbk313q5kvxyf52kukw1pa[Value.LME-ZNC],timeseries_access_key_fqeas14oitk235763mntlb1c0brnk9w3fenzqbk313q5kvxyf52kukw1pa[Month],MONTH(Data!$A625),timeseries_access_key_fqeas14oitk235763mntlb1c0brnk9w3fenzqbk313q5kvxyf52kukw1pa[Year],YEAR(Data!$A625)),"")</f>
        <v/>
      </c>
      <c r="N625" s="2" t="str">
        <f>IFERROR(AVERAGEIFS(timeseries_access_key_fqeas14oitk235763mntlb1c0brnk9w3fenzqbk313q5kvxyf52kukw1pa[Column1],timeseries_access_key_fqeas14oitk235763mntlb1c0brnk9w3fenzqbk313q5kvxyf52kukw1pa[Month],MONTH(Data!$A625),timeseries_access_key_fqeas14oitk235763mntlb1c0brnk9w3fenzqbk313q5kvxyf52kukw1pa[Year],YEAR(Data!$A625)),"")</f>
        <v/>
      </c>
      <c r="O625" s="8" t="str">
        <f>IFERROR(VLOOKUP($A625,Text_1_2[[Text.1.1.3]:[Text.1.3]],2,FALSE),"")</f>
        <v/>
      </c>
      <c r="P625" s="2"/>
    </row>
    <row r="626" spans="1:16" x14ac:dyDescent="0.25">
      <c r="A626" s="1">
        <v>40179</v>
      </c>
      <c r="B626">
        <f>HLOOKUP(Dashboard!$I$27,results,ROW(A626),FALSE)</f>
        <v>0.18699186991869921</v>
      </c>
      <c r="C626">
        <f>IFERROR(VLOOKUP(A626,observations_series_id_PCU22112222112243_api_key_ecc133893ea92a842ee685c73424608[],2,FALSE),"")</f>
        <v>155.30000000000001</v>
      </c>
      <c r="D626" s="2">
        <f>IFERROR(VLOOKUP(A626,observations_series_id_PCU22112222112243_api_key_ecc133893ea92a842ee685c73424608[],3,FALSE),"")</f>
        <v>0.88795878943979401</v>
      </c>
      <c r="E626">
        <f>IFERROR(VLOOKUP($A626,observations_series_id_WPU0613020T_api_key_ecc133893ea92a842ee685c734246086_file[],2,FALSE),"")</f>
        <v>79.3</v>
      </c>
      <c r="F626" s="2">
        <f>IFERROR(VLOOKUP($A626,observations_series_id_WPU0613020T_api_key_ecc133893ea92a842ee685c734246086_file[],3,FALSE),"")</f>
        <v>-0.26103404791929385</v>
      </c>
      <c r="G626">
        <f>IFERROR(VLOOKUP($A626,observations_series_id_PCU22122212_api_key_ecc133893ea92a842ee685c734246086_file[],2,FALSE),"")</f>
        <v>123</v>
      </c>
      <c r="H626" s="2">
        <f>IFERROR(VLOOKUP($A626,observations_series_id_PCU22122212_api_key_ecc133893ea92a842ee685c734246086_file[],3,FALSE),"")</f>
        <v>0.18699186991869921</v>
      </c>
      <c r="I626">
        <f>IFERROR(VLOOKUP($A626,observations_series_id_PCU3241913241910_api_key_ecc133893ea92a842ee685c734246086[],2,FALSE),"")</f>
        <v>360.5</v>
      </c>
      <c r="J626" s="2">
        <f>IFERROR(VLOOKUP($A626,observations_series_id_PCU3241913241910_api_key_ecc133893ea92a842ee685c734246086[],3,FALSE),"")</f>
        <v>0.85742024965325936</v>
      </c>
      <c r="K626">
        <f>IFERROR(VLOOKUP($A626,observations_series_id_EXJPUS_api_key_ecc133893ea92a842ee685c734246086_file_type[],2,FALSE),"")</f>
        <v>91.101100000000002</v>
      </c>
      <c r="L626" s="2">
        <f>IFERROR(VLOOKUP($A626,observations_series_id_EXJPUS_api_key_ecc133893ea92a842ee685c734246086_file_type[],3,FALSE),"")</f>
        <v>-2.9299196167774042</v>
      </c>
      <c r="M626" t="str">
        <f>IFERROR(AVERAGEIFS(timeseries_access_key_fqeas14oitk235763mntlb1c0brnk9w3fenzqbk313q5kvxyf52kukw1pa[Value.LME-ZNC],timeseries_access_key_fqeas14oitk235763mntlb1c0brnk9w3fenzqbk313q5kvxyf52kukw1pa[Month],MONTH(Data!$A626),timeseries_access_key_fqeas14oitk235763mntlb1c0brnk9w3fenzqbk313q5kvxyf52kukw1pa[Year],YEAR(Data!$A626)),"")</f>
        <v/>
      </c>
      <c r="N626" s="2" t="str">
        <f>IFERROR(AVERAGEIFS(timeseries_access_key_fqeas14oitk235763mntlb1c0brnk9w3fenzqbk313q5kvxyf52kukw1pa[Column1],timeseries_access_key_fqeas14oitk235763mntlb1c0brnk9w3fenzqbk313q5kvxyf52kukw1pa[Month],MONTH(Data!$A626),timeseries_access_key_fqeas14oitk235763mntlb1c0brnk9w3fenzqbk313q5kvxyf52kukw1pa[Year],YEAR(Data!$A626)),"")</f>
        <v/>
      </c>
      <c r="O626" s="8">
        <f>IFERROR(VLOOKUP($A626,Text_1_2[[Text.1.1.3]:[Text.1.3]],2,FALSE),"")</f>
        <v>47700</v>
      </c>
      <c r="P626" s="2"/>
    </row>
    <row r="627" spans="1:16" x14ac:dyDescent="0.25">
      <c r="A627" s="1">
        <v>40210</v>
      </c>
      <c r="B627">
        <f>HLOOKUP(Dashboard!$I$27,results,ROW(A627),FALSE)</f>
        <v>0.18699186991869921</v>
      </c>
      <c r="C627">
        <f>IFERROR(VLOOKUP(A627,observations_series_id_PCU22112222112243_api_key_ecc133893ea92a842ee685c73424608[],2,FALSE),"")</f>
        <v>155.30000000000001</v>
      </c>
      <c r="D627" s="2">
        <f>IFERROR(VLOOKUP(A627,observations_series_id_PCU22112222112243_api_key_ecc133893ea92a842ee685c73424608[],3,FALSE),"")</f>
        <v>0.88795878943979401</v>
      </c>
      <c r="E627">
        <f>IFERROR(VLOOKUP($A627,observations_series_id_WPU0613020T_api_key_ecc133893ea92a842ee685c734246086_file[],2,FALSE),"")</f>
        <v>73.8</v>
      </c>
      <c r="F627" s="2">
        <f>IFERROR(VLOOKUP($A627,observations_series_id_WPU0613020T_api_key_ecc133893ea92a842ee685c734246086_file[],3,FALSE),"")</f>
        <v>-0.3550135501355014</v>
      </c>
      <c r="G627">
        <f>IFERROR(VLOOKUP($A627,observations_series_id_PCU22122212_api_key_ecc133893ea92a842ee685c734246086_file[],2,FALSE),"")</f>
        <v>123</v>
      </c>
      <c r="H627" s="2">
        <f>IFERROR(VLOOKUP($A627,observations_series_id_PCU22122212_api_key_ecc133893ea92a842ee685c734246086_file[],3,FALSE),"")</f>
        <v>0.18699186991869921</v>
      </c>
      <c r="I627">
        <f>IFERROR(VLOOKUP($A627,observations_series_id_PCU3241913241910_api_key_ecc133893ea92a842ee685c734246086[],2,FALSE),"")</f>
        <v>362.1</v>
      </c>
      <c r="J627" s="2">
        <f>IFERROR(VLOOKUP($A627,observations_series_id_PCU3241913241910_api_key_ecc133893ea92a842ee685c734246086[],3,FALSE),"")</f>
        <v>0.85805026235846449</v>
      </c>
      <c r="K627">
        <f>IFERROR(VLOOKUP($A627,observations_series_id_EXJPUS_api_key_ecc133893ea92a842ee685c734246086_file_type[],2,FALSE),"")</f>
        <v>90.139499999999998</v>
      </c>
      <c r="L627" s="2">
        <f>IFERROR(VLOOKUP($A627,observations_series_id_EXJPUS_api_key_ecc133893ea92a842ee685c734246086_file_type[],3,FALSE),"")</f>
        <v>-2.9718436423543508</v>
      </c>
      <c r="M627" t="str">
        <f>IFERROR(AVERAGEIFS(timeseries_access_key_fqeas14oitk235763mntlb1c0brnk9w3fenzqbk313q5kvxyf52kukw1pa[Value.LME-ZNC],timeseries_access_key_fqeas14oitk235763mntlb1c0brnk9w3fenzqbk313q5kvxyf52kukw1pa[Month],MONTH(Data!$A627),timeseries_access_key_fqeas14oitk235763mntlb1c0brnk9w3fenzqbk313q5kvxyf52kukw1pa[Year],YEAR(Data!$A627)),"")</f>
        <v/>
      </c>
      <c r="N627" s="2" t="str">
        <f>IFERROR(AVERAGEIFS(timeseries_access_key_fqeas14oitk235763mntlb1c0brnk9w3fenzqbk313q5kvxyf52kukw1pa[Column1],timeseries_access_key_fqeas14oitk235763mntlb1c0brnk9w3fenzqbk313q5kvxyf52kukw1pa[Month],MONTH(Data!$A627),timeseries_access_key_fqeas14oitk235763mntlb1c0brnk9w3fenzqbk313q5kvxyf52kukw1pa[Year],YEAR(Data!$A627)),"")</f>
        <v/>
      </c>
      <c r="O627" s="8" t="str">
        <f>IFERROR(VLOOKUP($A627,Text_1_2[[Text.1.1.3]:[Text.1.3]],2,FALSE),"")</f>
        <v/>
      </c>
      <c r="P627" s="2"/>
    </row>
    <row r="628" spans="1:16" x14ac:dyDescent="0.25">
      <c r="A628" s="1">
        <v>40238</v>
      </c>
      <c r="B628">
        <f>HLOOKUP(Dashboard!$I$27,results,ROW(A628),FALSE)</f>
        <v>0.17012448132780078</v>
      </c>
      <c r="C628">
        <f>IFERROR(VLOOKUP(A628,observations_series_id_PCU22112222112243_api_key_ecc133893ea92a842ee685c73424608[],2,FALSE),"")</f>
        <v>157.80000000000001</v>
      </c>
      <c r="D628" s="2">
        <f>IFERROR(VLOOKUP(A628,observations_series_id_PCU22112222112243_api_key_ecc133893ea92a842ee685c73424608[],3,FALSE),"")</f>
        <v>0.88973384030418257</v>
      </c>
      <c r="E628">
        <f>IFERROR(VLOOKUP($A628,observations_series_id_WPU0613020T_api_key_ecc133893ea92a842ee685c734246086_file[],2,FALSE),"")</f>
        <v>77.3</v>
      </c>
      <c r="F628" s="2">
        <f>IFERROR(VLOOKUP($A628,observations_series_id_WPU0613020T_api_key_ecc133893ea92a842ee685c734246086_file[],3,FALSE),"")</f>
        <v>-0.29366106080207</v>
      </c>
      <c r="G628">
        <f>IFERROR(VLOOKUP($A628,observations_series_id_PCU22122212_api_key_ecc133893ea92a842ee685c734246086_file[],2,FALSE),"")</f>
        <v>120.5</v>
      </c>
      <c r="H628" s="2">
        <f>IFERROR(VLOOKUP($A628,observations_series_id_PCU22122212_api_key_ecc133893ea92a842ee685c734246086_file[],3,FALSE),"")</f>
        <v>0.17012448132780078</v>
      </c>
      <c r="I628">
        <f>IFERROR(VLOOKUP($A628,observations_series_id_PCU3241913241910_api_key_ecc133893ea92a842ee685c734246086[],2,FALSE),"")</f>
        <v>370.7</v>
      </c>
      <c r="J628" s="2">
        <f>IFERROR(VLOOKUP($A628,observations_series_id_PCU3241913241910_api_key_ecc133893ea92a842ee685c734246086[],3,FALSE),"")</f>
        <v>0.86134340437011059</v>
      </c>
      <c r="K628">
        <f>IFERROR(VLOOKUP($A628,observations_series_id_EXJPUS_api_key_ecc133893ea92a842ee685c734246086_file_type[],2,FALSE),"")</f>
        <v>90.716099999999997</v>
      </c>
      <c r="L628" s="2">
        <f>IFERROR(VLOOKUP($A628,observations_series_id_EXJPUS_api_key_ecc133893ea92a842ee685c734246086_file_type[],3,FALSE),"")</f>
        <v>-2.946598233389663</v>
      </c>
      <c r="M628" t="str">
        <f>IFERROR(AVERAGEIFS(timeseries_access_key_fqeas14oitk235763mntlb1c0brnk9w3fenzqbk313q5kvxyf52kukw1pa[Value.LME-ZNC],timeseries_access_key_fqeas14oitk235763mntlb1c0brnk9w3fenzqbk313q5kvxyf52kukw1pa[Month],MONTH(Data!$A628),timeseries_access_key_fqeas14oitk235763mntlb1c0brnk9w3fenzqbk313q5kvxyf52kukw1pa[Year],YEAR(Data!$A628)),"")</f>
        <v/>
      </c>
      <c r="N628" s="2" t="str">
        <f>IFERROR(AVERAGEIFS(timeseries_access_key_fqeas14oitk235763mntlb1c0brnk9w3fenzqbk313q5kvxyf52kukw1pa[Column1],timeseries_access_key_fqeas14oitk235763mntlb1c0brnk9w3fenzqbk313q5kvxyf52kukw1pa[Month],MONTH(Data!$A628),timeseries_access_key_fqeas14oitk235763mntlb1c0brnk9w3fenzqbk313q5kvxyf52kukw1pa[Year],YEAR(Data!$A628)),"")</f>
        <v/>
      </c>
      <c r="O628" s="8" t="str">
        <f>IFERROR(VLOOKUP($A628,Text_1_2[[Text.1.1.3]:[Text.1.3]],2,FALSE),"")</f>
        <v/>
      </c>
      <c r="P628" s="2"/>
    </row>
    <row r="629" spans="1:16" x14ac:dyDescent="0.25">
      <c r="A629" s="1">
        <v>40269</v>
      </c>
      <c r="B629">
        <f>HLOOKUP(Dashboard!$I$27,results,ROW(A629),FALSE)</f>
        <v>0.1460290350128095</v>
      </c>
      <c r="C629">
        <f>IFERROR(VLOOKUP(A629,observations_series_id_PCU22112222112243_api_key_ecc133893ea92a842ee685c73424608[],2,FALSE),"")</f>
        <v>157.6</v>
      </c>
      <c r="D629" s="2">
        <f>IFERROR(VLOOKUP(A629,observations_series_id_PCU22112222112243_api_key_ecc133893ea92a842ee685c73424608[],3,FALSE),"")</f>
        <v>0.88959390862944165</v>
      </c>
      <c r="E629">
        <f>IFERROR(VLOOKUP($A629,observations_series_id_WPU0613020T_api_key_ecc133893ea92a842ee685c734246086_file[],2,FALSE),"")</f>
        <v>78.2</v>
      </c>
      <c r="F629" s="2">
        <f>IFERROR(VLOOKUP($A629,observations_series_id_WPU0613020T_api_key_ecc133893ea92a842ee685c734246086_file[],3,FALSE),"")</f>
        <v>-0.27877237851662406</v>
      </c>
      <c r="G629">
        <f>IFERROR(VLOOKUP($A629,observations_series_id_PCU22122212_api_key_ecc133893ea92a842ee685c734246086_file[],2,FALSE),"")</f>
        <v>117.1</v>
      </c>
      <c r="H629" s="2">
        <f>IFERROR(VLOOKUP($A629,observations_series_id_PCU22122212_api_key_ecc133893ea92a842ee685c734246086_file[],3,FALSE),"")</f>
        <v>0.1460290350128095</v>
      </c>
      <c r="I629">
        <f>IFERROR(VLOOKUP($A629,observations_series_id_PCU3241913241910_api_key_ecc133893ea92a842ee685c734246086[],2,FALSE),"")</f>
        <v>368.2</v>
      </c>
      <c r="J629" s="2">
        <f>IFERROR(VLOOKUP($A629,observations_series_id_PCU3241913241910_api_key_ecc133893ea92a842ee685c734246086[],3,FALSE),"")</f>
        <v>0.86040195545898968</v>
      </c>
      <c r="K629">
        <f>IFERROR(VLOOKUP($A629,observations_series_id_EXJPUS_api_key_ecc133893ea92a842ee685c734246086_file_type[],2,FALSE),"")</f>
        <v>93.452699999999993</v>
      </c>
      <c r="L629" s="2">
        <f>IFERROR(VLOOKUP($A629,observations_series_id_EXJPUS_api_key_ecc133893ea92a842ee685c734246086_file_type[],3,FALSE),"")</f>
        <v>-2.8310289590348914</v>
      </c>
      <c r="M629" t="str">
        <f>IFERROR(AVERAGEIFS(timeseries_access_key_fqeas14oitk235763mntlb1c0brnk9w3fenzqbk313q5kvxyf52kukw1pa[Value.LME-ZNC],timeseries_access_key_fqeas14oitk235763mntlb1c0brnk9w3fenzqbk313q5kvxyf52kukw1pa[Month],MONTH(Data!$A629),timeseries_access_key_fqeas14oitk235763mntlb1c0brnk9w3fenzqbk313q5kvxyf52kukw1pa[Year],YEAR(Data!$A629)),"")</f>
        <v/>
      </c>
      <c r="N629" s="2" t="str">
        <f>IFERROR(AVERAGEIFS(timeseries_access_key_fqeas14oitk235763mntlb1c0brnk9w3fenzqbk313q5kvxyf52kukw1pa[Column1],timeseries_access_key_fqeas14oitk235763mntlb1c0brnk9w3fenzqbk313q5kvxyf52kukw1pa[Month],MONTH(Data!$A629),timeseries_access_key_fqeas14oitk235763mntlb1c0brnk9w3fenzqbk313q5kvxyf52kukw1pa[Year],YEAR(Data!$A629)),"")</f>
        <v/>
      </c>
      <c r="O629" s="8">
        <f>IFERROR(VLOOKUP($A629,Text_1_2[[Text.1.1.3]:[Text.1.3]],2,FALSE),"")</f>
        <v>49700</v>
      </c>
      <c r="P629" s="2"/>
    </row>
    <row r="630" spans="1:16" x14ac:dyDescent="0.25">
      <c r="A630" s="1">
        <v>40299</v>
      </c>
      <c r="B630">
        <f>HLOOKUP(Dashboard!$I$27,results,ROW(A630),FALSE)</f>
        <v>0.14015477214101457</v>
      </c>
      <c r="C630">
        <f>IFERROR(VLOOKUP(A630,observations_series_id_PCU22112222112243_api_key_ecc133893ea92a842ee685c73424608[],2,FALSE),"")</f>
        <v>159.6</v>
      </c>
      <c r="D630" s="2">
        <f>IFERROR(VLOOKUP(A630,observations_series_id_PCU22112222112243_api_key_ecc133893ea92a842ee685c73424608[],3,FALSE),"")</f>
        <v>0.89097744360902253</v>
      </c>
      <c r="E630">
        <f>IFERROR(VLOOKUP($A630,observations_series_id_WPU0613020T_api_key_ecc133893ea92a842ee685c734246086_file[],2,FALSE),"")</f>
        <v>77.5</v>
      </c>
      <c r="F630" s="2">
        <f>IFERROR(VLOOKUP($A630,observations_series_id_WPU0613020T_api_key_ecc133893ea92a842ee685c734246086_file[],3,FALSE),"")</f>
        <v>-0.29032258064516125</v>
      </c>
      <c r="G630">
        <f>IFERROR(VLOOKUP($A630,observations_series_id_PCU22122212_api_key_ecc133893ea92a842ee685c734246086_file[],2,FALSE),"")</f>
        <v>116.3</v>
      </c>
      <c r="H630" s="2">
        <f>IFERROR(VLOOKUP($A630,observations_series_id_PCU22122212_api_key_ecc133893ea92a842ee685c734246086_file[],3,FALSE),"")</f>
        <v>0.14015477214101457</v>
      </c>
      <c r="I630">
        <f>IFERROR(VLOOKUP($A630,observations_series_id_PCU3241913241910_api_key_ecc133893ea92a842ee685c734246086[],2,FALSE),"")</f>
        <v>368.6</v>
      </c>
      <c r="J630" s="2">
        <f>IFERROR(VLOOKUP($A630,observations_series_id_PCU3241913241910_api_key_ecc133893ea92a842ee685c734246086[],3,FALSE),"")</f>
        <v>0.86055344546934354</v>
      </c>
      <c r="K630">
        <f>IFERROR(VLOOKUP($A630,observations_series_id_EXJPUS_api_key_ecc133893ea92a842ee685c734246086_file_type[],2,FALSE),"")</f>
        <v>91.972999999999999</v>
      </c>
      <c r="L630" s="2">
        <f>IFERROR(VLOOKUP($A630,observations_series_id_EXJPUS_api_key_ecc133893ea92a842ee685c734246086_file_type[],3,FALSE),"")</f>
        <v>-2.8926641514357474</v>
      </c>
      <c r="M630" t="str">
        <f>IFERROR(AVERAGEIFS(timeseries_access_key_fqeas14oitk235763mntlb1c0brnk9w3fenzqbk313q5kvxyf52kukw1pa[Value.LME-ZNC],timeseries_access_key_fqeas14oitk235763mntlb1c0brnk9w3fenzqbk313q5kvxyf52kukw1pa[Month],MONTH(Data!$A630),timeseries_access_key_fqeas14oitk235763mntlb1c0brnk9w3fenzqbk313q5kvxyf52kukw1pa[Year],YEAR(Data!$A630)),"")</f>
        <v/>
      </c>
      <c r="N630" s="2" t="str">
        <f>IFERROR(AVERAGEIFS(timeseries_access_key_fqeas14oitk235763mntlb1c0brnk9w3fenzqbk313q5kvxyf52kukw1pa[Column1],timeseries_access_key_fqeas14oitk235763mntlb1c0brnk9w3fenzqbk313q5kvxyf52kukw1pa[Month],MONTH(Data!$A630),timeseries_access_key_fqeas14oitk235763mntlb1c0brnk9w3fenzqbk313q5kvxyf52kukw1pa[Year],YEAR(Data!$A630)),"")</f>
        <v/>
      </c>
      <c r="O630" s="8" t="str">
        <f>IFERROR(VLOOKUP($A630,Text_1_2[[Text.1.1.3]:[Text.1.3]],2,FALSE),"")</f>
        <v/>
      </c>
      <c r="P630" s="2"/>
    </row>
    <row r="631" spans="1:16" x14ac:dyDescent="0.25">
      <c r="A631" s="1">
        <v>40330</v>
      </c>
      <c r="B631">
        <f>HLOOKUP(Dashboard!$I$27,results,ROW(A631),FALSE)</f>
        <v>0.14965986394557818</v>
      </c>
      <c r="C631">
        <f>IFERROR(VLOOKUP(A631,observations_series_id_PCU22112222112243_api_key_ecc133893ea92a842ee685c73424608[],2,FALSE),"")</f>
        <v>164.8</v>
      </c>
      <c r="D631" s="2">
        <f>IFERROR(VLOOKUP(A631,observations_series_id_PCU22112222112243_api_key_ecc133893ea92a842ee685c73424608[],3,FALSE),"")</f>
        <v>0.89441747572815533</v>
      </c>
      <c r="E631">
        <f>IFERROR(VLOOKUP($A631,observations_series_id_WPU0613020T_api_key_ecc133893ea92a842ee685c734246086_file[],2,FALSE),"")</f>
        <v>79.400000000000006</v>
      </c>
      <c r="F631" s="2">
        <f>IFERROR(VLOOKUP($A631,observations_series_id_WPU0613020T_api_key_ecc133893ea92a842ee685c734246086_file[],3,FALSE),"")</f>
        <v>-0.25944584382871527</v>
      </c>
      <c r="G631">
        <f>IFERROR(VLOOKUP($A631,observations_series_id_PCU22122212_api_key_ecc133893ea92a842ee685c734246086_file[],2,FALSE),"")</f>
        <v>117.6</v>
      </c>
      <c r="H631" s="2">
        <f>IFERROR(VLOOKUP($A631,observations_series_id_PCU22122212_api_key_ecc133893ea92a842ee685c734246086_file[],3,FALSE),"")</f>
        <v>0.14965986394557818</v>
      </c>
      <c r="I631">
        <f>IFERROR(VLOOKUP($A631,observations_series_id_PCU3241913241910_api_key_ecc133893ea92a842ee685c734246086[],2,FALSE),"")</f>
        <v>374</v>
      </c>
      <c r="J631" s="2">
        <f>IFERROR(VLOOKUP($A631,observations_series_id_PCU3241913241910_api_key_ecc133893ea92a842ee685c734246086[],3,FALSE),"")</f>
        <v>0.86256684491978608</v>
      </c>
      <c r="K631">
        <f>IFERROR(VLOOKUP($A631,observations_series_id_EXJPUS_api_key_ecc133893ea92a842ee685c734246086_file_type[],2,FALSE),"")</f>
        <v>90.805899999999994</v>
      </c>
      <c r="L631" s="2">
        <f>IFERROR(VLOOKUP($A631,observations_series_id_EXJPUS_api_key_ecc133893ea92a842ee685c734246086_file_type[],3,FALSE),"")</f>
        <v>-2.9426953534957532</v>
      </c>
      <c r="M631" t="str">
        <f>IFERROR(AVERAGEIFS(timeseries_access_key_fqeas14oitk235763mntlb1c0brnk9w3fenzqbk313q5kvxyf52kukw1pa[Value.LME-ZNC],timeseries_access_key_fqeas14oitk235763mntlb1c0brnk9w3fenzqbk313q5kvxyf52kukw1pa[Month],MONTH(Data!$A631),timeseries_access_key_fqeas14oitk235763mntlb1c0brnk9w3fenzqbk313q5kvxyf52kukw1pa[Year],YEAR(Data!$A631)),"")</f>
        <v/>
      </c>
      <c r="N631" s="2" t="str">
        <f>IFERROR(AVERAGEIFS(timeseries_access_key_fqeas14oitk235763mntlb1c0brnk9w3fenzqbk313q5kvxyf52kukw1pa[Column1],timeseries_access_key_fqeas14oitk235763mntlb1c0brnk9w3fenzqbk313q5kvxyf52kukw1pa[Month],MONTH(Data!$A631),timeseries_access_key_fqeas14oitk235763mntlb1c0brnk9w3fenzqbk313q5kvxyf52kukw1pa[Year],YEAR(Data!$A631)),"")</f>
        <v/>
      </c>
      <c r="O631" s="8" t="str">
        <f>IFERROR(VLOOKUP($A631,Text_1_2[[Text.1.1.3]:[Text.1.3]],2,FALSE),"")</f>
        <v/>
      </c>
      <c r="P631" s="2"/>
    </row>
    <row r="632" spans="1:16" x14ac:dyDescent="0.25">
      <c r="A632" s="1">
        <v>40360</v>
      </c>
      <c r="B632">
        <f>HLOOKUP(Dashboard!$I$27,results,ROW(A632),FALSE)</f>
        <v>0.17830731306491376</v>
      </c>
      <c r="C632">
        <f>IFERROR(VLOOKUP(A632,observations_series_id_PCU22112222112243_api_key_ecc133893ea92a842ee685c73424608[],2,FALSE),"")</f>
        <v>166</v>
      </c>
      <c r="D632" s="2">
        <f>IFERROR(VLOOKUP(A632,observations_series_id_PCU22112222112243_api_key_ecc133893ea92a842ee685c73424608[],3,FALSE),"")</f>
        <v>0.89518072289156625</v>
      </c>
      <c r="E632">
        <f>IFERROR(VLOOKUP($A632,observations_series_id_WPU0613020T_api_key_ecc133893ea92a842ee685c734246086_file[],2,FALSE),"")</f>
        <v>79.2</v>
      </c>
      <c r="F632" s="2">
        <f>IFERROR(VLOOKUP($A632,observations_series_id_WPU0613020T_api_key_ecc133893ea92a842ee685c734246086_file[],3,FALSE),"")</f>
        <v>-0.26262626262626254</v>
      </c>
      <c r="G632">
        <f>IFERROR(VLOOKUP($A632,observations_series_id_PCU22122212_api_key_ecc133893ea92a842ee685c734246086_file[],2,FALSE),"")</f>
        <v>121.7</v>
      </c>
      <c r="H632" s="2">
        <f>IFERROR(VLOOKUP($A632,observations_series_id_PCU22122212_api_key_ecc133893ea92a842ee685c734246086_file[],3,FALSE),"")</f>
        <v>0.17830731306491376</v>
      </c>
      <c r="I632">
        <f>IFERROR(VLOOKUP($A632,observations_series_id_PCU3241913241910_api_key_ecc133893ea92a842ee685c734246086[],2,FALSE),"")</f>
        <v>383</v>
      </c>
      <c r="J632" s="2">
        <f>IFERROR(VLOOKUP($A632,observations_series_id_PCU3241913241910_api_key_ecc133893ea92a842ee685c734246086[],3,FALSE),"")</f>
        <v>0.86579634464751964</v>
      </c>
      <c r="K632">
        <f>IFERROR(VLOOKUP($A632,observations_series_id_EXJPUS_api_key_ecc133893ea92a842ee685c734246086_file_type[],2,FALSE),"")</f>
        <v>87.500500000000002</v>
      </c>
      <c r="L632" s="2">
        <f>IFERROR(VLOOKUP($A632,observations_series_id_EXJPUS_api_key_ecc133893ea92a842ee685c734246086_file_type[],3,FALSE),"")</f>
        <v>-3.0916337620927878</v>
      </c>
      <c r="M632" t="str">
        <f>IFERROR(AVERAGEIFS(timeseries_access_key_fqeas14oitk235763mntlb1c0brnk9w3fenzqbk313q5kvxyf52kukw1pa[Value.LME-ZNC],timeseries_access_key_fqeas14oitk235763mntlb1c0brnk9w3fenzqbk313q5kvxyf52kukw1pa[Month],MONTH(Data!$A632),timeseries_access_key_fqeas14oitk235763mntlb1c0brnk9w3fenzqbk313q5kvxyf52kukw1pa[Year],YEAR(Data!$A632)),"")</f>
        <v/>
      </c>
      <c r="N632" s="2" t="str">
        <f>IFERROR(AVERAGEIFS(timeseries_access_key_fqeas14oitk235763mntlb1c0brnk9w3fenzqbk313q5kvxyf52kukw1pa[Column1],timeseries_access_key_fqeas14oitk235763mntlb1c0brnk9w3fenzqbk313q5kvxyf52kukw1pa[Month],MONTH(Data!$A632),timeseries_access_key_fqeas14oitk235763mntlb1c0brnk9w3fenzqbk313q5kvxyf52kukw1pa[Year],YEAR(Data!$A632)),"")</f>
        <v/>
      </c>
      <c r="O632" s="8">
        <f>IFERROR(VLOOKUP($A632,Text_1_2[[Text.1.1.3]:[Text.1.3]],2,FALSE),"")</f>
        <v>42700</v>
      </c>
      <c r="P632" s="2"/>
    </row>
    <row r="633" spans="1:16" x14ac:dyDescent="0.25">
      <c r="A633" s="1">
        <v>40391</v>
      </c>
      <c r="B633">
        <f>HLOOKUP(Dashboard!$I$27,results,ROW(A633),FALSE)</f>
        <v>0.180999180999181</v>
      </c>
      <c r="C633">
        <f>IFERROR(VLOOKUP(A633,observations_series_id_PCU22112222112243_api_key_ecc133893ea92a842ee685c73424608[],2,FALSE),"")</f>
        <v>166.9</v>
      </c>
      <c r="D633" s="2">
        <f>IFERROR(VLOOKUP(A633,observations_series_id_PCU22112222112243_api_key_ecc133893ea92a842ee685c73424608[],3,FALSE),"")</f>
        <v>0.89574595566207316</v>
      </c>
      <c r="E633">
        <f>IFERROR(VLOOKUP($A633,observations_series_id_WPU0613020T_api_key_ecc133893ea92a842ee685c734246086_file[],2,FALSE),"")</f>
        <v>80.5</v>
      </c>
      <c r="F633" s="2">
        <f>IFERROR(VLOOKUP($A633,observations_series_id_WPU0613020T_api_key_ecc133893ea92a842ee685c734246086_file[],3,FALSE),"")</f>
        <v>-0.2422360248447204</v>
      </c>
      <c r="G633">
        <f>IFERROR(VLOOKUP($A633,observations_series_id_PCU22122212_api_key_ecc133893ea92a842ee685c734246086_file[],2,FALSE),"")</f>
        <v>122.1</v>
      </c>
      <c r="H633" s="2">
        <f>IFERROR(VLOOKUP($A633,observations_series_id_PCU22122212_api_key_ecc133893ea92a842ee685c734246086_file[],3,FALSE),"")</f>
        <v>0.180999180999181</v>
      </c>
      <c r="I633">
        <f>IFERROR(VLOOKUP($A633,observations_series_id_PCU3241913241910_api_key_ecc133893ea92a842ee685c734246086[],2,FALSE),"")</f>
        <v>388.8</v>
      </c>
      <c r="J633" s="2">
        <f>IFERROR(VLOOKUP($A633,observations_series_id_PCU3241913241910_api_key_ecc133893ea92a842ee685c734246086[],3,FALSE),"")</f>
        <v>0.86779835390946503</v>
      </c>
      <c r="K633">
        <f>IFERROR(VLOOKUP($A633,observations_series_id_EXJPUS_api_key_ecc133893ea92a842ee685c734246086_file_type[],2,FALSE),"")</f>
        <v>85.372699999999995</v>
      </c>
      <c r="L633" s="2">
        <f>IFERROR(VLOOKUP($A633,observations_series_id_EXJPUS_api_key_ecc133893ea92a842ee685c734246086_file_type[],3,FALSE),"")</f>
        <v>-3.1936122437266246</v>
      </c>
      <c r="M633" t="str">
        <f>IFERROR(AVERAGEIFS(timeseries_access_key_fqeas14oitk235763mntlb1c0brnk9w3fenzqbk313q5kvxyf52kukw1pa[Value.LME-ZNC],timeseries_access_key_fqeas14oitk235763mntlb1c0brnk9w3fenzqbk313q5kvxyf52kukw1pa[Month],MONTH(Data!$A633),timeseries_access_key_fqeas14oitk235763mntlb1c0brnk9w3fenzqbk313q5kvxyf52kukw1pa[Year],YEAR(Data!$A633)),"")</f>
        <v/>
      </c>
      <c r="N633" s="2" t="str">
        <f>IFERROR(AVERAGEIFS(timeseries_access_key_fqeas14oitk235763mntlb1c0brnk9w3fenzqbk313q5kvxyf52kukw1pa[Column1],timeseries_access_key_fqeas14oitk235763mntlb1c0brnk9w3fenzqbk313q5kvxyf52kukw1pa[Month],MONTH(Data!$A633),timeseries_access_key_fqeas14oitk235763mntlb1c0brnk9w3fenzqbk313q5kvxyf52kukw1pa[Year],YEAR(Data!$A633)),"")</f>
        <v/>
      </c>
      <c r="O633" s="8" t="str">
        <f>IFERROR(VLOOKUP($A633,Text_1_2[[Text.1.1.3]:[Text.1.3]],2,FALSE),"")</f>
        <v/>
      </c>
      <c r="P633" s="2"/>
    </row>
    <row r="634" spans="1:16" x14ac:dyDescent="0.25">
      <c r="A634" s="1">
        <v>40422</v>
      </c>
      <c r="B634">
        <f>HLOOKUP(Dashboard!$I$27,results,ROW(A634),FALSE)</f>
        <v>0.15325994919559693</v>
      </c>
      <c r="C634">
        <f>IFERROR(VLOOKUP(A634,observations_series_id_PCU22112222112243_api_key_ecc133893ea92a842ee685c73424608[],2,FALSE),"")</f>
        <v>166.3</v>
      </c>
      <c r="D634" s="2">
        <f>IFERROR(VLOOKUP(A634,observations_series_id_PCU22112222112243_api_key_ecc133893ea92a842ee685c73424608[],3,FALSE),"")</f>
        <v>0.89536981358989776</v>
      </c>
      <c r="E634">
        <f>IFERROR(VLOOKUP($A634,observations_series_id_WPU0613020T_api_key_ecc133893ea92a842ee685c734246086_file[],2,FALSE),"")</f>
        <v>82.1</v>
      </c>
      <c r="F634" s="2">
        <f>IFERROR(VLOOKUP($A634,observations_series_id_WPU0613020T_api_key_ecc133893ea92a842ee685c734246086_file[],3,FALSE),"")</f>
        <v>-0.21802679658952506</v>
      </c>
      <c r="G634">
        <f>IFERROR(VLOOKUP($A634,observations_series_id_PCU22122212_api_key_ecc133893ea92a842ee685c734246086_file[],2,FALSE),"")</f>
        <v>118.1</v>
      </c>
      <c r="H634" s="2">
        <f>IFERROR(VLOOKUP($A634,observations_series_id_PCU22122212_api_key_ecc133893ea92a842ee685c734246086_file[],3,FALSE),"")</f>
        <v>0.15325994919559693</v>
      </c>
      <c r="I634">
        <f>IFERROR(VLOOKUP($A634,observations_series_id_PCU3241913241910_api_key_ecc133893ea92a842ee685c734246086[],2,FALSE),"")</f>
        <v>387.9</v>
      </c>
      <c r="J634" s="2">
        <f>IFERROR(VLOOKUP($A634,observations_series_id_PCU3241913241910_api_key_ecc133893ea92a842ee685c734246086[],3,FALSE),"")</f>
        <v>0.86749162155194637</v>
      </c>
      <c r="K634">
        <f>IFERROR(VLOOKUP($A634,observations_series_id_EXJPUS_api_key_ecc133893ea92a842ee685c734246086_file_type[],2,FALSE),"")</f>
        <v>84.357100000000003</v>
      </c>
      <c r="L634" s="2">
        <f>IFERROR(VLOOKUP($A634,observations_series_id_EXJPUS_api_key_ecc133893ea92a842ee685c734246086_file_type[],3,FALSE),"")</f>
        <v>-3.2441003780357551</v>
      </c>
      <c r="M634" t="str">
        <f>IFERROR(AVERAGEIFS(timeseries_access_key_fqeas14oitk235763mntlb1c0brnk9w3fenzqbk313q5kvxyf52kukw1pa[Value.LME-ZNC],timeseries_access_key_fqeas14oitk235763mntlb1c0brnk9w3fenzqbk313q5kvxyf52kukw1pa[Month],MONTH(Data!$A634),timeseries_access_key_fqeas14oitk235763mntlb1c0brnk9w3fenzqbk313q5kvxyf52kukw1pa[Year],YEAR(Data!$A634)),"")</f>
        <v/>
      </c>
      <c r="N634" s="2" t="str">
        <f>IFERROR(AVERAGEIFS(timeseries_access_key_fqeas14oitk235763mntlb1c0brnk9w3fenzqbk313q5kvxyf52kukw1pa[Column1],timeseries_access_key_fqeas14oitk235763mntlb1c0brnk9w3fenzqbk313q5kvxyf52kukw1pa[Month],MONTH(Data!$A634),timeseries_access_key_fqeas14oitk235763mntlb1c0brnk9w3fenzqbk313q5kvxyf52kukw1pa[Year],YEAR(Data!$A634)),"")</f>
        <v/>
      </c>
      <c r="O634" s="8" t="str">
        <f>IFERROR(VLOOKUP($A634,Text_1_2[[Text.1.1.3]:[Text.1.3]],2,FALSE),"")</f>
        <v/>
      </c>
      <c r="P634" s="2"/>
    </row>
    <row r="635" spans="1:16" x14ac:dyDescent="0.25">
      <c r="A635" s="1">
        <v>40452</v>
      </c>
      <c r="B635">
        <f>HLOOKUP(Dashboard!$I$27,results,ROW(A635),FALSE)</f>
        <v>0.14163090128755362</v>
      </c>
      <c r="C635">
        <f>IFERROR(VLOOKUP(A635,observations_series_id_PCU22112222112243_api_key_ecc133893ea92a842ee685c73424608[],2,FALSE),"")</f>
        <v>162</v>
      </c>
      <c r="D635" s="2">
        <f>IFERROR(VLOOKUP(A635,observations_series_id_PCU22112222112243_api_key_ecc133893ea92a842ee685c73424608[],3,FALSE),"")</f>
        <v>0.8925925925925926</v>
      </c>
      <c r="E635">
        <f>IFERROR(VLOOKUP($A635,observations_series_id_WPU0613020T_api_key_ecc133893ea92a842ee685c734246086_file[],2,FALSE),"")</f>
        <v>79.900000000000006</v>
      </c>
      <c r="F635" s="2">
        <f>IFERROR(VLOOKUP($A635,observations_series_id_WPU0613020T_api_key_ecc133893ea92a842ee685c734246086_file[],3,FALSE),"")</f>
        <v>-0.25156445556946183</v>
      </c>
      <c r="G635">
        <f>IFERROR(VLOOKUP($A635,observations_series_id_PCU22122212_api_key_ecc133893ea92a842ee685c734246086_file[],2,FALSE),"")</f>
        <v>116.5</v>
      </c>
      <c r="H635" s="2">
        <f>IFERROR(VLOOKUP($A635,observations_series_id_PCU22122212_api_key_ecc133893ea92a842ee685c734246086_file[],3,FALSE),"")</f>
        <v>0.14163090128755362</v>
      </c>
      <c r="I635">
        <f>IFERROR(VLOOKUP($A635,observations_series_id_PCU3241913241910_api_key_ecc133893ea92a842ee685c734246086[],2,FALSE),"")</f>
        <v>389.1</v>
      </c>
      <c r="J635" s="2">
        <f>IFERROR(VLOOKUP($A635,observations_series_id_PCU3241913241910_api_key_ecc133893ea92a842ee685c734246086[],3,FALSE),"")</f>
        <v>0.86790028270367514</v>
      </c>
      <c r="K635">
        <f>IFERROR(VLOOKUP($A635,observations_series_id_EXJPUS_api_key_ecc133893ea92a842ee685c734246086_file_type[],2,FALSE),"")</f>
        <v>81.728499999999997</v>
      </c>
      <c r="L635" s="2">
        <f>IFERROR(VLOOKUP($A635,observations_series_id_EXJPUS_api_key_ecc133893ea92a842ee685c734246086_file_type[],3,FALSE),"")</f>
        <v>-3.3806016261157366</v>
      </c>
      <c r="M635" t="str">
        <f>IFERROR(AVERAGEIFS(timeseries_access_key_fqeas14oitk235763mntlb1c0brnk9w3fenzqbk313q5kvxyf52kukw1pa[Value.LME-ZNC],timeseries_access_key_fqeas14oitk235763mntlb1c0brnk9w3fenzqbk313q5kvxyf52kukw1pa[Month],MONTH(Data!$A635),timeseries_access_key_fqeas14oitk235763mntlb1c0brnk9w3fenzqbk313q5kvxyf52kukw1pa[Year],YEAR(Data!$A635)),"")</f>
        <v/>
      </c>
      <c r="N635" s="2" t="str">
        <f>IFERROR(AVERAGEIFS(timeseries_access_key_fqeas14oitk235763mntlb1c0brnk9w3fenzqbk313q5kvxyf52kukw1pa[Column1],timeseries_access_key_fqeas14oitk235763mntlb1c0brnk9w3fenzqbk313q5kvxyf52kukw1pa[Month],MONTH(Data!$A635),timeseries_access_key_fqeas14oitk235763mntlb1c0brnk9w3fenzqbk313q5kvxyf52kukw1pa[Year],YEAR(Data!$A635)),"")</f>
        <v/>
      </c>
      <c r="O635" s="8">
        <f>IFERROR(VLOOKUP($A635,Text_1_2[[Text.1.1.3]:[Text.1.3]],2,FALSE),"")</f>
        <v>45100</v>
      </c>
      <c r="P635" s="2"/>
    </row>
    <row r="636" spans="1:16" x14ac:dyDescent="0.25">
      <c r="A636" s="1">
        <v>40483</v>
      </c>
      <c r="B636">
        <f>HLOOKUP(Dashboard!$I$27,results,ROW(A636),FALSE)</f>
        <v>0.14089347079037806</v>
      </c>
      <c r="C636">
        <f>IFERROR(VLOOKUP(A636,observations_series_id_PCU22112222112243_api_key_ecc133893ea92a842ee685c73424608[],2,FALSE),"")</f>
        <v>158.9</v>
      </c>
      <c r="D636" s="2">
        <f>IFERROR(VLOOKUP(A636,observations_series_id_PCU22112222112243_api_key_ecc133893ea92a842ee685c73424608[],3,FALSE),"")</f>
        <v>0.89049716803020773</v>
      </c>
      <c r="E636">
        <f>IFERROR(VLOOKUP($A636,observations_series_id_WPU0613020T_api_key_ecc133893ea92a842ee685c734246086_file[],2,FALSE),"")</f>
        <v>81.900000000000006</v>
      </c>
      <c r="F636" s="2">
        <f>IFERROR(VLOOKUP($A636,observations_series_id_WPU0613020T_api_key_ecc133893ea92a842ee685c734246086_file[],3,FALSE),"")</f>
        <v>-0.22100122100122088</v>
      </c>
      <c r="G636">
        <f>IFERROR(VLOOKUP($A636,observations_series_id_PCU22122212_api_key_ecc133893ea92a842ee685c734246086_file[],2,FALSE),"")</f>
        <v>116.4</v>
      </c>
      <c r="H636" s="2">
        <f>IFERROR(VLOOKUP($A636,observations_series_id_PCU22122212_api_key_ecc133893ea92a842ee685c734246086_file[],3,FALSE),"")</f>
        <v>0.14089347079037806</v>
      </c>
      <c r="I636">
        <f>IFERROR(VLOOKUP($A636,observations_series_id_PCU3241913241910_api_key_ecc133893ea92a842ee685c734246086[],2,FALSE),"")</f>
        <v>390.1</v>
      </c>
      <c r="J636" s="2">
        <f>IFERROR(VLOOKUP($A636,observations_series_id_PCU3241913241910_api_key_ecc133893ea92a842ee685c734246086[],3,FALSE),"")</f>
        <v>0.86823891309920531</v>
      </c>
      <c r="K636">
        <f>IFERROR(VLOOKUP($A636,observations_series_id_EXJPUS_api_key_ecc133893ea92a842ee685c734246086_file_type[],2,FALSE),"")</f>
        <v>82.518000000000001</v>
      </c>
      <c r="L636" s="2">
        <f>IFERROR(VLOOKUP($A636,observations_series_id_EXJPUS_api_key_ecc133893ea92a842ee685c734246086_file_type[],3,FALSE),"")</f>
        <v>-3.3386897404202713</v>
      </c>
      <c r="M636" t="str">
        <f>IFERROR(AVERAGEIFS(timeseries_access_key_fqeas14oitk235763mntlb1c0brnk9w3fenzqbk313q5kvxyf52kukw1pa[Value.LME-ZNC],timeseries_access_key_fqeas14oitk235763mntlb1c0brnk9w3fenzqbk313q5kvxyf52kukw1pa[Month],MONTH(Data!$A636),timeseries_access_key_fqeas14oitk235763mntlb1c0brnk9w3fenzqbk313q5kvxyf52kukw1pa[Year],YEAR(Data!$A636)),"")</f>
        <v/>
      </c>
      <c r="N636" s="2" t="str">
        <f>IFERROR(AVERAGEIFS(timeseries_access_key_fqeas14oitk235763mntlb1c0brnk9w3fenzqbk313q5kvxyf52kukw1pa[Column1],timeseries_access_key_fqeas14oitk235763mntlb1c0brnk9w3fenzqbk313q5kvxyf52kukw1pa[Month],MONTH(Data!$A636),timeseries_access_key_fqeas14oitk235763mntlb1c0brnk9w3fenzqbk313q5kvxyf52kukw1pa[Year],YEAR(Data!$A636)),"")</f>
        <v/>
      </c>
      <c r="O636" s="8" t="str">
        <f>IFERROR(VLOOKUP($A636,Text_1_2[[Text.1.1.3]:[Text.1.3]],2,FALSE),"")</f>
        <v/>
      </c>
      <c r="P636" s="2"/>
    </row>
    <row r="637" spans="1:16" x14ac:dyDescent="0.25">
      <c r="A637" s="1">
        <v>40513</v>
      </c>
      <c r="B637">
        <f>HLOOKUP(Dashboard!$I$27,results,ROW(A637),FALSE)</f>
        <v>0.15540540540540548</v>
      </c>
      <c r="C637">
        <f>IFERROR(VLOOKUP(A637,observations_series_id_PCU22112222112243_api_key_ecc133893ea92a842ee685c73424608[],2,FALSE),"")</f>
        <v>159.4</v>
      </c>
      <c r="D637" s="2">
        <f>IFERROR(VLOOKUP(A637,observations_series_id_PCU22112222112243_api_key_ecc133893ea92a842ee685c73424608[],3,FALSE),"")</f>
        <v>0.89084065244667499</v>
      </c>
      <c r="E637">
        <f>IFERROR(VLOOKUP($A637,observations_series_id_WPU0613020T_api_key_ecc133893ea92a842ee685c734246086_file[],2,FALSE),"")</f>
        <v>81.7</v>
      </c>
      <c r="F637" s="2">
        <f>IFERROR(VLOOKUP($A637,observations_series_id_WPU0613020T_api_key_ecc133893ea92a842ee685c734246086_file[],3,FALSE),"")</f>
        <v>-0.22399020807833536</v>
      </c>
      <c r="G637">
        <f>IFERROR(VLOOKUP($A637,observations_series_id_PCU22122212_api_key_ecc133893ea92a842ee685c734246086_file[],2,FALSE),"")</f>
        <v>118.4</v>
      </c>
      <c r="H637" s="2">
        <f>IFERROR(VLOOKUP($A637,observations_series_id_PCU22122212_api_key_ecc133893ea92a842ee685c734246086_file[],3,FALSE),"")</f>
        <v>0.15540540540540548</v>
      </c>
      <c r="I637">
        <f>IFERROR(VLOOKUP($A637,observations_series_id_PCU3241913241910_api_key_ecc133893ea92a842ee685c734246086[],2,FALSE),"")</f>
        <v>395.9</v>
      </c>
      <c r="J637" s="2">
        <f>IFERROR(VLOOKUP($A637,observations_series_id_PCU3241913241910_api_key_ecc133893ea92a842ee685c734246086[],3,FALSE),"")</f>
        <v>0.8701692346552159</v>
      </c>
      <c r="K637">
        <f>IFERROR(VLOOKUP($A637,observations_series_id_EXJPUS_api_key_ecc133893ea92a842ee685c734246086_file_type[],2,FALSE),"")</f>
        <v>83.337599999999995</v>
      </c>
      <c r="L637" s="2">
        <f>IFERROR(VLOOKUP($A637,observations_series_id_EXJPUS_api_key_ecc133893ea92a842ee685c734246086_file_type[],3,FALSE),"")</f>
        <v>-3.2960200437737592</v>
      </c>
      <c r="M637" t="str">
        <f>IFERROR(AVERAGEIFS(timeseries_access_key_fqeas14oitk235763mntlb1c0brnk9w3fenzqbk313q5kvxyf52kukw1pa[Value.LME-ZNC],timeseries_access_key_fqeas14oitk235763mntlb1c0brnk9w3fenzqbk313q5kvxyf52kukw1pa[Month],MONTH(Data!$A637),timeseries_access_key_fqeas14oitk235763mntlb1c0brnk9w3fenzqbk313q5kvxyf52kukw1pa[Year],YEAR(Data!$A637)),"")</f>
        <v/>
      </c>
      <c r="N637" s="2" t="str">
        <f>IFERROR(AVERAGEIFS(timeseries_access_key_fqeas14oitk235763mntlb1c0brnk9w3fenzqbk313q5kvxyf52kukw1pa[Column1],timeseries_access_key_fqeas14oitk235763mntlb1c0brnk9w3fenzqbk313q5kvxyf52kukw1pa[Month],MONTH(Data!$A637),timeseries_access_key_fqeas14oitk235763mntlb1c0brnk9w3fenzqbk313q5kvxyf52kukw1pa[Year],YEAR(Data!$A637)),"")</f>
        <v/>
      </c>
      <c r="O637" s="8" t="str">
        <f>IFERROR(VLOOKUP($A637,Text_1_2[[Text.1.1.3]:[Text.1.3]],2,FALSE),"")</f>
        <v/>
      </c>
      <c r="P637" s="2"/>
    </row>
    <row r="638" spans="1:16" x14ac:dyDescent="0.25">
      <c r="A638" s="1">
        <v>40544</v>
      </c>
      <c r="B638">
        <f>HLOOKUP(Dashboard!$I$27,results,ROW(A638),FALSE)</f>
        <v>0.15895710681244746</v>
      </c>
      <c r="C638">
        <f>IFERROR(VLOOKUP(A638,observations_series_id_PCU22112222112243_api_key_ecc133893ea92a842ee685c73424608[],2,FALSE),"")</f>
        <v>160.80000000000001</v>
      </c>
      <c r="D638" s="2">
        <f>IFERROR(VLOOKUP(A638,observations_series_id_PCU22112222112243_api_key_ecc133893ea92a842ee685c73424608[],3,FALSE),"")</f>
        <v>0.89179104477611948</v>
      </c>
      <c r="E638">
        <f>IFERROR(VLOOKUP($A638,observations_series_id_WPU0613020T_api_key_ecc133893ea92a842ee685c734246086_file[],2,FALSE),"")</f>
        <v>86.3</v>
      </c>
      <c r="F638" s="2">
        <f>IFERROR(VLOOKUP($A638,observations_series_id_WPU0613020T_api_key_ecc133893ea92a842ee685c734246086_file[],3,FALSE),"")</f>
        <v>-0.15874855156431056</v>
      </c>
      <c r="G638">
        <f>IFERROR(VLOOKUP($A638,observations_series_id_PCU22122212_api_key_ecc133893ea92a842ee685c734246086_file[],2,FALSE),"")</f>
        <v>118.9</v>
      </c>
      <c r="H638" s="2">
        <f>IFERROR(VLOOKUP($A638,observations_series_id_PCU22122212_api_key_ecc133893ea92a842ee685c734246086_file[],3,FALSE),"")</f>
        <v>0.15895710681244746</v>
      </c>
      <c r="I638">
        <f>IFERROR(VLOOKUP($A638,observations_series_id_PCU3241913241910_api_key_ecc133893ea92a842ee685c734246086[],2,FALSE),"")</f>
        <v>408.4</v>
      </c>
      <c r="J638" s="2">
        <f>IFERROR(VLOOKUP($A638,observations_series_id_PCU3241913241910_api_key_ecc133893ea92a842ee685c734246086[],3,FALSE),"")</f>
        <v>0.87414299706170417</v>
      </c>
      <c r="K638">
        <f>IFERROR(VLOOKUP($A638,observations_series_id_EXJPUS_api_key_ecc133893ea92a842ee685c734246086_file_type[],2,FALSE),"")</f>
        <v>82.625</v>
      </c>
      <c r="L638" s="2">
        <f>IFERROR(VLOOKUP($A638,observations_series_id_EXJPUS_api_key_ecc133893ea92a842ee685c734246086_file_type[],3,FALSE),"")</f>
        <v>-3.333071104387292</v>
      </c>
      <c r="M638" t="str">
        <f>IFERROR(AVERAGEIFS(timeseries_access_key_fqeas14oitk235763mntlb1c0brnk9w3fenzqbk313q5kvxyf52kukw1pa[Value.LME-ZNC],timeseries_access_key_fqeas14oitk235763mntlb1c0brnk9w3fenzqbk313q5kvxyf52kukw1pa[Month],MONTH(Data!$A638),timeseries_access_key_fqeas14oitk235763mntlb1c0brnk9w3fenzqbk313q5kvxyf52kukw1pa[Year],YEAR(Data!$A638)),"")</f>
        <v/>
      </c>
      <c r="N638" s="2" t="str">
        <f>IFERROR(AVERAGEIFS(timeseries_access_key_fqeas14oitk235763mntlb1c0brnk9w3fenzqbk313q5kvxyf52kukw1pa[Column1],timeseries_access_key_fqeas14oitk235763mntlb1c0brnk9w3fenzqbk313q5kvxyf52kukw1pa[Month],MONTH(Data!$A638),timeseries_access_key_fqeas14oitk235763mntlb1c0brnk9w3fenzqbk313q5kvxyf52kukw1pa[Year],YEAR(Data!$A638)),"")</f>
        <v/>
      </c>
      <c r="O638" s="8">
        <f>IFERROR(VLOOKUP($A638,Text_1_2[[Text.1.1.3]:[Text.1.3]],2,FALSE),"")</f>
        <v>52400</v>
      </c>
      <c r="P638" s="2"/>
    </row>
    <row r="639" spans="1:16" x14ac:dyDescent="0.25">
      <c r="A639" s="1">
        <v>40575</v>
      </c>
      <c r="B639">
        <f>HLOOKUP(Dashboard!$I$27,results,ROW(A639),FALSE)</f>
        <v>0.16247906197654949</v>
      </c>
      <c r="C639">
        <f>IFERROR(VLOOKUP(A639,observations_series_id_PCU22112222112243_api_key_ecc133893ea92a842ee685c73424608[],2,FALSE),"")</f>
        <v>162.1</v>
      </c>
      <c r="D639" s="2">
        <f>IFERROR(VLOOKUP(A639,observations_series_id_PCU22112222112243_api_key_ecc133893ea92a842ee685c73424608[],3,FALSE),"")</f>
        <v>0.8926588525601481</v>
      </c>
      <c r="E639">
        <f>IFERROR(VLOOKUP($A639,observations_series_id_WPU0613020T_api_key_ecc133893ea92a842ee685c734246086_file[],2,FALSE),"")</f>
        <v>86.9</v>
      </c>
      <c r="F639" s="2">
        <f>IFERROR(VLOOKUP($A639,observations_series_id_WPU0613020T_api_key_ecc133893ea92a842ee685c734246086_file[],3,FALSE),"")</f>
        <v>-0.15074798619102414</v>
      </c>
      <c r="G639">
        <f>IFERROR(VLOOKUP($A639,observations_series_id_PCU22122212_api_key_ecc133893ea92a842ee685c734246086_file[],2,FALSE),"")</f>
        <v>119.4</v>
      </c>
      <c r="H639" s="2">
        <f>IFERROR(VLOOKUP($A639,observations_series_id_PCU22122212_api_key_ecc133893ea92a842ee685c734246086_file[],3,FALSE),"")</f>
        <v>0.16247906197654949</v>
      </c>
      <c r="I639">
        <f>IFERROR(VLOOKUP($A639,observations_series_id_PCU3241913241910_api_key_ecc133893ea92a842ee685c734246086[],2,FALSE),"")</f>
        <v>410.8</v>
      </c>
      <c r="J639" s="2">
        <f>IFERROR(VLOOKUP($A639,observations_series_id_PCU3241913241910_api_key_ecc133893ea92a842ee685c734246086[],3,FALSE),"")</f>
        <v>0.87487828627069131</v>
      </c>
      <c r="K639">
        <f>IFERROR(VLOOKUP($A639,observations_series_id_EXJPUS_api_key_ecc133893ea92a842ee685c734246086_file_type[],2,FALSE),"")</f>
        <v>82.536799999999999</v>
      </c>
      <c r="L639" s="2">
        <f>IFERROR(VLOOKUP($A639,observations_series_id_EXJPUS_api_key_ecc133893ea92a842ee685c734246086_file_type[],3,FALSE),"")</f>
        <v>-3.3377014858826604</v>
      </c>
      <c r="M639" t="str">
        <f>IFERROR(AVERAGEIFS(timeseries_access_key_fqeas14oitk235763mntlb1c0brnk9w3fenzqbk313q5kvxyf52kukw1pa[Value.LME-ZNC],timeseries_access_key_fqeas14oitk235763mntlb1c0brnk9w3fenzqbk313q5kvxyf52kukw1pa[Month],MONTH(Data!$A639),timeseries_access_key_fqeas14oitk235763mntlb1c0brnk9w3fenzqbk313q5kvxyf52kukw1pa[Year],YEAR(Data!$A639)),"")</f>
        <v/>
      </c>
      <c r="N639" s="2" t="str">
        <f>IFERROR(AVERAGEIFS(timeseries_access_key_fqeas14oitk235763mntlb1c0brnk9w3fenzqbk313q5kvxyf52kukw1pa[Column1],timeseries_access_key_fqeas14oitk235763mntlb1c0brnk9w3fenzqbk313q5kvxyf52kukw1pa[Month],MONTH(Data!$A639),timeseries_access_key_fqeas14oitk235763mntlb1c0brnk9w3fenzqbk313q5kvxyf52kukw1pa[Year],YEAR(Data!$A639)),"")</f>
        <v/>
      </c>
      <c r="O639" s="8" t="str">
        <f>IFERROR(VLOOKUP($A639,Text_1_2[[Text.1.1.3]:[Text.1.3]],2,FALSE),"")</f>
        <v/>
      </c>
      <c r="P639" s="2"/>
    </row>
    <row r="640" spans="1:16" x14ac:dyDescent="0.25">
      <c r="A640" s="1">
        <v>40603</v>
      </c>
      <c r="B640">
        <f>HLOOKUP(Dashboard!$I$27,results,ROW(A640),FALSE)</f>
        <v>0.14893617021276595</v>
      </c>
      <c r="C640">
        <f>IFERROR(VLOOKUP(A640,observations_series_id_PCU22112222112243_api_key_ecc133893ea92a842ee685c73424608[],2,FALSE),"")</f>
        <v>162.6</v>
      </c>
      <c r="D640" s="2">
        <f>IFERROR(VLOOKUP(A640,observations_series_id_PCU22112222112243_api_key_ecc133893ea92a842ee685c73424608[],3,FALSE),"")</f>
        <v>0.8929889298892989</v>
      </c>
      <c r="E640">
        <f>IFERROR(VLOOKUP($A640,observations_series_id_WPU0613020T_api_key_ecc133893ea92a842ee685c734246086_file[],2,FALSE),"")</f>
        <v>87.1</v>
      </c>
      <c r="F640" s="2">
        <f>IFERROR(VLOOKUP($A640,observations_series_id_WPU0613020T_api_key_ecc133893ea92a842ee685c734246086_file[],3,FALSE),"")</f>
        <v>-0.14810562571756614</v>
      </c>
      <c r="G640">
        <f>IFERROR(VLOOKUP($A640,observations_series_id_PCU22122212_api_key_ecc133893ea92a842ee685c734246086_file[],2,FALSE),"")</f>
        <v>117.5</v>
      </c>
      <c r="H640" s="2">
        <f>IFERROR(VLOOKUP($A640,observations_series_id_PCU22122212_api_key_ecc133893ea92a842ee685c734246086_file[],3,FALSE),"")</f>
        <v>0.14893617021276595</v>
      </c>
      <c r="I640">
        <f>IFERROR(VLOOKUP($A640,observations_series_id_PCU3241913241910_api_key_ecc133893ea92a842ee685c734246086[],2,FALSE),"")</f>
        <v>406.3</v>
      </c>
      <c r="J640" s="2">
        <f>IFERROR(VLOOKUP($A640,observations_series_id_PCU3241913241910_api_key_ecc133893ea92a842ee685c734246086[],3,FALSE),"")</f>
        <v>0.87349249323160227</v>
      </c>
      <c r="K640">
        <f>IFERROR(VLOOKUP($A640,observations_series_id_EXJPUS_api_key_ecc133893ea92a842ee685c734246086_file_type[],2,FALSE),"")</f>
        <v>81.647000000000006</v>
      </c>
      <c r="L640" s="2">
        <f>IFERROR(VLOOKUP($A640,observations_series_id_EXJPUS_api_key_ecc133893ea92a842ee685c734246086_file_type[],3,FALSE),"")</f>
        <v>-3.3849743407596113</v>
      </c>
      <c r="M640" t="str">
        <f>IFERROR(AVERAGEIFS(timeseries_access_key_fqeas14oitk235763mntlb1c0brnk9w3fenzqbk313q5kvxyf52kukw1pa[Value.LME-ZNC],timeseries_access_key_fqeas14oitk235763mntlb1c0brnk9w3fenzqbk313q5kvxyf52kukw1pa[Month],MONTH(Data!$A640),timeseries_access_key_fqeas14oitk235763mntlb1c0brnk9w3fenzqbk313q5kvxyf52kukw1pa[Year],YEAR(Data!$A640)),"")</f>
        <v/>
      </c>
      <c r="N640" s="2" t="str">
        <f>IFERROR(AVERAGEIFS(timeseries_access_key_fqeas14oitk235763mntlb1c0brnk9w3fenzqbk313q5kvxyf52kukw1pa[Column1],timeseries_access_key_fqeas14oitk235763mntlb1c0brnk9w3fenzqbk313q5kvxyf52kukw1pa[Month],MONTH(Data!$A640),timeseries_access_key_fqeas14oitk235763mntlb1c0brnk9w3fenzqbk313q5kvxyf52kukw1pa[Year],YEAR(Data!$A640)),"")</f>
        <v/>
      </c>
      <c r="O640" s="8" t="str">
        <f>IFERROR(VLOOKUP($A640,Text_1_2[[Text.1.1.3]:[Text.1.3]],2,FALSE),"")</f>
        <v/>
      </c>
      <c r="P640" s="2"/>
    </row>
    <row r="641" spans="1:16" x14ac:dyDescent="0.25">
      <c r="A641" s="1">
        <v>40634</v>
      </c>
      <c r="B641">
        <f>HLOOKUP(Dashboard!$I$27,results,ROW(A641),FALSE)</f>
        <v>0.14965986394557818</v>
      </c>
      <c r="C641">
        <f>IFERROR(VLOOKUP(A641,observations_series_id_PCU22112222112243_api_key_ecc133893ea92a842ee685c73424608[],2,FALSE),"")</f>
        <v>161.9</v>
      </c>
      <c r="D641" s="2">
        <f>IFERROR(VLOOKUP(A641,observations_series_id_PCU22112222112243_api_key_ecc133893ea92a842ee685c73424608[],3,FALSE),"")</f>
        <v>0.89252625077208159</v>
      </c>
      <c r="E641">
        <f>IFERROR(VLOOKUP($A641,observations_series_id_WPU0613020T_api_key_ecc133893ea92a842ee685c734246086_file[],2,FALSE),"")</f>
        <v>88.7</v>
      </c>
      <c r="F641" s="2">
        <f>IFERROR(VLOOKUP($A641,observations_series_id_WPU0613020T_api_key_ecc133893ea92a842ee685c734246086_file[],3,FALSE),"")</f>
        <v>-0.12739571589627952</v>
      </c>
      <c r="G641">
        <f>IFERROR(VLOOKUP($A641,observations_series_id_PCU22122212_api_key_ecc133893ea92a842ee685c734246086_file[],2,FALSE),"")</f>
        <v>117.6</v>
      </c>
      <c r="H641" s="2">
        <f>IFERROR(VLOOKUP($A641,observations_series_id_PCU22122212_api_key_ecc133893ea92a842ee685c734246086_file[],3,FALSE),"")</f>
        <v>0.14965986394557818</v>
      </c>
      <c r="I641">
        <f>IFERROR(VLOOKUP($A641,observations_series_id_PCU3241913241910_api_key_ecc133893ea92a842ee685c734246086[],2,FALSE),"")</f>
        <v>418.1</v>
      </c>
      <c r="J641" s="2">
        <f>IFERROR(VLOOKUP($A641,observations_series_id_PCU3241913241910_api_key_ecc133893ea92a842ee685c734246086[],3,FALSE),"")</f>
        <v>0.87706290361157624</v>
      </c>
      <c r="K641">
        <f>IFERROR(VLOOKUP($A641,observations_series_id_EXJPUS_api_key_ecc133893ea92a842ee685c734246086_file_type[],2,FALSE),"")</f>
        <v>83.177099999999996</v>
      </c>
      <c r="L641" s="2">
        <f>IFERROR(VLOOKUP($A641,observations_series_id_EXJPUS_api_key_ecc133893ea92a842ee685c734246086_file_type[],3,FALSE),"")</f>
        <v>-3.3043097198627986</v>
      </c>
      <c r="M641" t="str">
        <f>IFERROR(AVERAGEIFS(timeseries_access_key_fqeas14oitk235763mntlb1c0brnk9w3fenzqbk313q5kvxyf52kukw1pa[Value.LME-ZNC],timeseries_access_key_fqeas14oitk235763mntlb1c0brnk9w3fenzqbk313q5kvxyf52kukw1pa[Month],MONTH(Data!$A641),timeseries_access_key_fqeas14oitk235763mntlb1c0brnk9w3fenzqbk313q5kvxyf52kukw1pa[Year],YEAR(Data!$A641)),"")</f>
        <v/>
      </c>
      <c r="N641" s="2" t="str">
        <f>IFERROR(AVERAGEIFS(timeseries_access_key_fqeas14oitk235763mntlb1c0brnk9w3fenzqbk313q5kvxyf52kukw1pa[Column1],timeseries_access_key_fqeas14oitk235763mntlb1c0brnk9w3fenzqbk313q5kvxyf52kukw1pa[Month],MONTH(Data!$A641),timeseries_access_key_fqeas14oitk235763mntlb1c0brnk9w3fenzqbk313q5kvxyf52kukw1pa[Year],YEAR(Data!$A641)),"")</f>
        <v/>
      </c>
      <c r="O641" s="8">
        <f>IFERROR(VLOOKUP($A641,Text_1_2[[Text.1.1.3]:[Text.1.3]],2,FALSE),"")</f>
        <v>59000</v>
      </c>
      <c r="P641" s="2"/>
    </row>
    <row r="642" spans="1:16" x14ac:dyDescent="0.25">
      <c r="A642" s="1">
        <v>40664</v>
      </c>
      <c r="B642">
        <f>HLOOKUP(Dashboard!$I$27,results,ROW(A642),FALSE)</f>
        <v>0.13718723037100955</v>
      </c>
      <c r="C642">
        <f>IFERROR(VLOOKUP(A642,observations_series_id_PCU22112222112243_api_key_ecc133893ea92a842ee685c73424608[],2,FALSE),"")</f>
        <v>163.6</v>
      </c>
      <c r="D642" s="2">
        <f>IFERROR(VLOOKUP(A642,observations_series_id_PCU22112222112243_api_key_ecc133893ea92a842ee685c73424608[],3,FALSE),"")</f>
        <v>0.89364303178484106</v>
      </c>
      <c r="E642">
        <f>IFERROR(VLOOKUP($A642,observations_series_id_WPU0613020T_api_key_ecc133893ea92a842ee685c734246086_file[],2,FALSE),"")</f>
        <v>90</v>
      </c>
      <c r="F642" s="2">
        <f>IFERROR(VLOOKUP($A642,observations_series_id_WPU0613020T_api_key_ecc133893ea92a842ee685c734246086_file[],3,FALSE),"")</f>
        <v>-0.11111111111111116</v>
      </c>
      <c r="G642">
        <f>IFERROR(VLOOKUP($A642,observations_series_id_PCU22122212_api_key_ecc133893ea92a842ee685c734246086_file[],2,FALSE),"")</f>
        <v>115.9</v>
      </c>
      <c r="H642" s="2">
        <f>IFERROR(VLOOKUP($A642,observations_series_id_PCU22122212_api_key_ecc133893ea92a842ee685c734246086_file[],3,FALSE),"")</f>
        <v>0.13718723037100955</v>
      </c>
      <c r="I642">
        <f>IFERROR(VLOOKUP($A642,observations_series_id_PCU3241913241910_api_key_ecc133893ea92a842ee685c734246086[],2,FALSE),"")</f>
        <v>447.3</v>
      </c>
      <c r="J642" s="2">
        <f>IFERROR(VLOOKUP($A642,observations_series_id_PCU3241913241910_api_key_ecc133893ea92a842ee685c734246086[],3,FALSE),"")</f>
        <v>0.88508830762351887</v>
      </c>
      <c r="K642">
        <f>IFERROR(VLOOKUP($A642,observations_series_id_EXJPUS_api_key_ecc133893ea92a842ee685c734246086_file_type[],2,FALSE),"")</f>
        <v>81.125699999999995</v>
      </c>
      <c r="L642" s="2">
        <f>IFERROR(VLOOKUP($A642,observations_series_id_EXJPUS_api_key_ecc133893ea92a842ee685c734246086_file_type[],3,FALSE),"")</f>
        <v>-3.4131514427610483</v>
      </c>
      <c r="M642" t="str">
        <f>IFERROR(AVERAGEIFS(timeseries_access_key_fqeas14oitk235763mntlb1c0brnk9w3fenzqbk313q5kvxyf52kukw1pa[Value.LME-ZNC],timeseries_access_key_fqeas14oitk235763mntlb1c0brnk9w3fenzqbk313q5kvxyf52kukw1pa[Month],MONTH(Data!$A642),timeseries_access_key_fqeas14oitk235763mntlb1c0brnk9w3fenzqbk313q5kvxyf52kukw1pa[Year],YEAR(Data!$A642)),"")</f>
        <v/>
      </c>
      <c r="N642" s="2" t="str">
        <f>IFERROR(AVERAGEIFS(timeseries_access_key_fqeas14oitk235763mntlb1c0brnk9w3fenzqbk313q5kvxyf52kukw1pa[Column1],timeseries_access_key_fqeas14oitk235763mntlb1c0brnk9w3fenzqbk313q5kvxyf52kukw1pa[Month],MONTH(Data!$A642),timeseries_access_key_fqeas14oitk235763mntlb1c0brnk9w3fenzqbk313q5kvxyf52kukw1pa[Year],YEAR(Data!$A642)),"")</f>
        <v/>
      </c>
      <c r="O642" s="8" t="str">
        <f>IFERROR(VLOOKUP($A642,Text_1_2[[Text.1.1.3]:[Text.1.3]],2,FALSE),"")</f>
        <v/>
      </c>
      <c r="P642" s="2"/>
    </row>
    <row r="643" spans="1:16" x14ac:dyDescent="0.25">
      <c r="A643" s="1">
        <v>40695</v>
      </c>
      <c r="B643">
        <f>HLOOKUP(Dashboard!$I$27,results,ROW(A643),FALSE)</f>
        <v>0.15540540540540548</v>
      </c>
      <c r="C643">
        <f>IFERROR(VLOOKUP(A643,observations_series_id_PCU22112222112243_api_key_ecc133893ea92a842ee685c73424608[],2,FALSE),"")</f>
        <v>171</v>
      </c>
      <c r="D643" s="2">
        <f>IFERROR(VLOOKUP(A643,observations_series_id_PCU22112222112243_api_key_ecc133893ea92a842ee685c73424608[],3,FALSE),"")</f>
        <v>0.89824561403508774</v>
      </c>
      <c r="E643">
        <f>IFERROR(VLOOKUP($A643,observations_series_id_WPU0613020T_api_key_ecc133893ea92a842ee685c734246086_file[],2,FALSE),"")</f>
        <v>91</v>
      </c>
      <c r="F643" s="2">
        <f>IFERROR(VLOOKUP($A643,observations_series_id_WPU0613020T_api_key_ecc133893ea92a842ee685c734246086_file[],3,FALSE),"")</f>
        <v>-9.8901098901098994E-2</v>
      </c>
      <c r="G643">
        <f>IFERROR(VLOOKUP($A643,observations_series_id_PCU22122212_api_key_ecc133893ea92a842ee685c734246086_file[],2,FALSE),"")</f>
        <v>118.4</v>
      </c>
      <c r="H643" s="2">
        <f>IFERROR(VLOOKUP($A643,observations_series_id_PCU22122212_api_key_ecc133893ea92a842ee685c734246086_file[],3,FALSE),"")</f>
        <v>0.15540540540540548</v>
      </c>
      <c r="I643">
        <f>IFERROR(VLOOKUP($A643,observations_series_id_PCU3241913241910_api_key_ecc133893ea92a842ee685c734246086[],2,FALSE),"")</f>
        <v>451.7</v>
      </c>
      <c r="J643" s="2">
        <f>IFERROR(VLOOKUP($A643,observations_series_id_PCU3241913241910_api_key_ecc133893ea92a842ee685c734246086[],3,FALSE),"")</f>
        <v>0.88620765995129513</v>
      </c>
      <c r="K643">
        <f>IFERROR(VLOOKUP($A643,observations_series_id_EXJPUS_api_key_ecc133893ea92a842ee685c734246086_file_type[],2,FALSE),"")</f>
        <v>80.425899999999999</v>
      </c>
      <c r="L643" s="2">
        <f>IFERROR(VLOOKUP($A643,observations_series_id_EXJPUS_api_key_ecc133893ea92a842ee685c734246086_file_type[],3,FALSE),"")</f>
        <v>-3.4515510550705679</v>
      </c>
      <c r="M643" t="str">
        <f>IFERROR(AVERAGEIFS(timeseries_access_key_fqeas14oitk235763mntlb1c0brnk9w3fenzqbk313q5kvxyf52kukw1pa[Value.LME-ZNC],timeseries_access_key_fqeas14oitk235763mntlb1c0brnk9w3fenzqbk313q5kvxyf52kukw1pa[Month],MONTH(Data!$A643),timeseries_access_key_fqeas14oitk235763mntlb1c0brnk9w3fenzqbk313q5kvxyf52kukw1pa[Year],YEAR(Data!$A643)),"")</f>
        <v/>
      </c>
      <c r="N643" s="2" t="str">
        <f>IFERROR(AVERAGEIFS(timeseries_access_key_fqeas14oitk235763mntlb1c0brnk9w3fenzqbk313q5kvxyf52kukw1pa[Column1],timeseries_access_key_fqeas14oitk235763mntlb1c0brnk9w3fenzqbk313q5kvxyf52kukw1pa[Month],MONTH(Data!$A643),timeseries_access_key_fqeas14oitk235763mntlb1c0brnk9w3fenzqbk313q5kvxyf52kukw1pa[Year],YEAR(Data!$A643)),"")</f>
        <v/>
      </c>
      <c r="O643" s="8" t="str">
        <f>IFERROR(VLOOKUP($A643,Text_1_2[[Text.1.1.3]:[Text.1.3]],2,FALSE),"")</f>
        <v/>
      </c>
      <c r="P643" s="2"/>
    </row>
    <row r="644" spans="1:16" x14ac:dyDescent="0.25">
      <c r="A644" s="1">
        <v>40725</v>
      </c>
      <c r="B644">
        <f>HLOOKUP(Dashboard!$I$27,results,ROW(A644),FALSE)</f>
        <v>0.15325994919559693</v>
      </c>
      <c r="C644">
        <f>IFERROR(VLOOKUP(A644,observations_series_id_PCU22112222112243_api_key_ecc133893ea92a842ee685c73424608[],2,FALSE),"")</f>
        <v>179.2</v>
      </c>
      <c r="D644" s="2">
        <f>IFERROR(VLOOKUP(A644,observations_series_id_PCU22112222112243_api_key_ecc133893ea92a842ee685c73424608[],3,FALSE),"")</f>
        <v>0.9029017857142857</v>
      </c>
      <c r="E644">
        <f>IFERROR(VLOOKUP($A644,observations_series_id_WPU0613020T_api_key_ecc133893ea92a842ee685c734246086_file[],2,FALSE),"")</f>
        <v>91.1</v>
      </c>
      <c r="F644" s="2">
        <f>IFERROR(VLOOKUP($A644,observations_series_id_WPU0613020T_api_key_ecc133893ea92a842ee685c734246086_file[],3,FALSE),"")</f>
        <v>-9.7694840834248176E-2</v>
      </c>
      <c r="G644">
        <f>IFERROR(VLOOKUP($A644,observations_series_id_PCU22122212_api_key_ecc133893ea92a842ee685c734246086_file[],2,FALSE),"")</f>
        <v>118.1</v>
      </c>
      <c r="H644" s="2">
        <f>IFERROR(VLOOKUP($A644,observations_series_id_PCU22122212_api_key_ecc133893ea92a842ee685c734246086_file[],3,FALSE),"")</f>
        <v>0.15325994919559693</v>
      </c>
      <c r="I644">
        <f>IFERROR(VLOOKUP($A644,observations_series_id_PCU3241913241910_api_key_ecc133893ea92a842ee685c734246086[],2,FALSE),"")</f>
        <v>467.9</v>
      </c>
      <c r="J644" s="2">
        <f>IFERROR(VLOOKUP($A644,observations_series_id_PCU3241913241910_api_key_ecc133893ea92a842ee685c734246086[],3,FALSE),"")</f>
        <v>0.89014746740756567</v>
      </c>
      <c r="K644">
        <f>IFERROR(VLOOKUP($A644,observations_series_id_EXJPUS_api_key_ecc133893ea92a842ee685c734246086_file_type[],2,FALSE),"")</f>
        <v>79.242500000000007</v>
      </c>
      <c r="L644" s="2">
        <f>IFERROR(VLOOKUP($A644,observations_series_id_EXJPUS_api_key_ecc133893ea92a842ee685c734246086_file_type[],3,FALSE),"")</f>
        <v>-3.5180300974855658</v>
      </c>
      <c r="M644" t="str">
        <f>IFERROR(AVERAGEIFS(timeseries_access_key_fqeas14oitk235763mntlb1c0brnk9w3fenzqbk313q5kvxyf52kukw1pa[Value.LME-ZNC],timeseries_access_key_fqeas14oitk235763mntlb1c0brnk9w3fenzqbk313q5kvxyf52kukw1pa[Month],MONTH(Data!$A644),timeseries_access_key_fqeas14oitk235763mntlb1c0brnk9w3fenzqbk313q5kvxyf52kukw1pa[Year],YEAR(Data!$A644)),"")</f>
        <v/>
      </c>
      <c r="N644" s="2" t="str">
        <f>IFERROR(AVERAGEIFS(timeseries_access_key_fqeas14oitk235763mntlb1c0brnk9w3fenzqbk313q5kvxyf52kukw1pa[Column1],timeseries_access_key_fqeas14oitk235763mntlb1c0brnk9w3fenzqbk313q5kvxyf52kukw1pa[Month],MONTH(Data!$A644),timeseries_access_key_fqeas14oitk235763mntlb1c0brnk9w3fenzqbk313q5kvxyf52kukw1pa[Year],YEAR(Data!$A644)),"")</f>
        <v/>
      </c>
      <c r="O644" s="8">
        <f>IFERROR(VLOOKUP($A644,Text_1_2[[Text.1.1.3]:[Text.1.3]],2,FALSE),"")</f>
        <v>54900</v>
      </c>
      <c r="P644" s="2"/>
    </row>
    <row r="645" spans="1:16" x14ac:dyDescent="0.25">
      <c r="A645" s="1">
        <v>40756</v>
      </c>
      <c r="B645">
        <f>HLOOKUP(Dashboard!$I$27,results,ROW(A645),FALSE)</f>
        <v>0.14675767918088745</v>
      </c>
      <c r="C645">
        <f>IFERROR(VLOOKUP(A645,observations_series_id_PCU22112222112243_api_key_ecc133893ea92a842ee685c73424608[],2,FALSE),"")</f>
        <v>180.4</v>
      </c>
      <c r="D645" s="2">
        <f>IFERROR(VLOOKUP(A645,observations_series_id_PCU22112222112243_api_key_ecc133893ea92a842ee685c73424608[],3,FALSE),"")</f>
        <v>0.90354767184035478</v>
      </c>
      <c r="E645">
        <f>IFERROR(VLOOKUP($A645,observations_series_id_WPU0613020T_api_key_ecc133893ea92a842ee685c734246086_file[],2,FALSE),"")</f>
        <v>91.5</v>
      </c>
      <c r="F645" s="2">
        <f>IFERROR(VLOOKUP($A645,observations_series_id_WPU0613020T_api_key_ecc133893ea92a842ee685c734246086_file[],3,FALSE),"")</f>
        <v>-9.2896174863388081E-2</v>
      </c>
      <c r="G645">
        <f>IFERROR(VLOOKUP($A645,observations_series_id_PCU22122212_api_key_ecc133893ea92a842ee685c734246086_file[],2,FALSE),"")</f>
        <v>117.2</v>
      </c>
      <c r="H645" s="2">
        <f>IFERROR(VLOOKUP($A645,observations_series_id_PCU22122212_api_key_ecc133893ea92a842ee685c734246086_file[],3,FALSE),"")</f>
        <v>0.14675767918088745</v>
      </c>
      <c r="I645">
        <f>IFERROR(VLOOKUP($A645,observations_series_id_PCU3241913241910_api_key_ecc133893ea92a842ee685c734246086[],2,FALSE),"")</f>
        <v>474.1</v>
      </c>
      <c r="J645" s="2">
        <f>IFERROR(VLOOKUP($A645,observations_series_id_PCU3241913241910_api_key_ecc133893ea92a842ee685c734246086[],3,FALSE),"")</f>
        <v>0.89158405399704699</v>
      </c>
      <c r="K645">
        <f>IFERROR(VLOOKUP($A645,observations_series_id_EXJPUS_api_key_ecc133893ea92a842ee685c734246086_file_type[],2,FALSE),"")</f>
        <v>76.965699999999998</v>
      </c>
      <c r="L645" s="2">
        <f>IFERROR(VLOOKUP($A645,observations_series_id_EXJPUS_api_key_ecc133893ea92a842ee685c734246086_file_type[],3,FALSE),"")</f>
        <v>-3.6516825027252402</v>
      </c>
      <c r="M645" t="str">
        <f>IFERROR(AVERAGEIFS(timeseries_access_key_fqeas14oitk235763mntlb1c0brnk9w3fenzqbk313q5kvxyf52kukw1pa[Value.LME-ZNC],timeseries_access_key_fqeas14oitk235763mntlb1c0brnk9w3fenzqbk313q5kvxyf52kukw1pa[Month],MONTH(Data!$A645),timeseries_access_key_fqeas14oitk235763mntlb1c0brnk9w3fenzqbk313q5kvxyf52kukw1pa[Year],YEAR(Data!$A645)),"")</f>
        <v/>
      </c>
      <c r="N645" s="2" t="str">
        <f>IFERROR(AVERAGEIFS(timeseries_access_key_fqeas14oitk235763mntlb1c0brnk9w3fenzqbk313q5kvxyf52kukw1pa[Column1],timeseries_access_key_fqeas14oitk235763mntlb1c0brnk9w3fenzqbk313q5kvxyf52kukw1pa[Month],MONTH(Data!$A645),timeseries_access_key_fqeas14oitk235763mntlb1c0brnk9w3fenzqbk313q5kvxyf52kukw1pa[Year],YEAR(Data!$A645)),"")</f>
        <v/>
      </c>
      <c r="O645" s="8" t="str">
        <f>IFERROR(VLOOKUP($A645,Text_1_2[[Text.1.1.3]:[Text.1.3]],2,FALSE),"")</f>
        <v/>
      </c>
      <c r="P645" s="2"/>
    </row>
    <row r="646" spans="1:16" x14ac:dyDescent="0.25">
      <c r="A646" s="1">
        <v>40787</v>
      </c>
      <c r="B646">
        <f>HLOOKUP(Dashboard!$I$27,results,ROW(A646),FALSE)</f>
        <v>0.14015477214101457</v>
      </c>
      <c r="C646">
        <f>IFERROR(VLOOKUP(A646,observations_series_id_PCU22112222112243_api_key_ecc133893ea92a842ee685c73424608[],2,FALSE),"")</f>
        <v>179.6</v>
      </c>
      <c r="D646" s="2">
        <f>IFERROR(VLOOKUP(A646,observations_series_id_PCU22112222112243_api_key_ecc133893ea92a842ee685c73424608[],3,FALSE),"")</f>
        <v>0.9031180400890868</v>
      </c>
      <c r="E646">
        <f>IFERROR(VLOOKUP($A646,observations_series_id_WPU0613020T_api_key_ecc133893ea92a842ee685c734246086_file[],2,FALSE),"")</f>
        <v>94.4</v>
      </c>
      <c r="F646" s="2">
        <f>IFERROR(VLOOKUP($A646,observations_series_id_WPU0613020T_api_key_ecc133893ea92a842ee685c734246086_file[],3,FALSE),"")</f>
        <v>-5.9322033898304927E-2</v>
      </c>
      <c r="G646">
        <f>IFERROR(VLOOKUP($A646,observations_series_id_PCU22122212_api_key_ecc133893ea92a842ee685c734246086_file[],2,FALSE),"")</f>
        <v>116.3</v>
      </c>
      <c r="H646" s="2">
        <f>IFERROR(VLOOKUP($A646,observations_series_id_PCU22122212_api_key_ecc133893ea92a842ee685c734246086_file[],3,FALSE),"")</f>
        <v>0.14015477214101457</v>
      </c>
      <c r="I646">
        <f>IFERROR(VLOOKUP($A646,observations_series_id_PCU3241913241910_api_key_ecc133893ea92a842ee685c734246086[],2,FALSE),"")</f>
        <v>474.9</v>
      </c>
      <c r="J646" s="2">
        <f>IFERROR(VLOOKUP($A646,observations_series_id_PCU3241913241910_api_key_ecc133893ea92a842ee685c734246086[],3,FALSE),"")</f>
        <v>0.89176668772373135</v>
      </c>
      <c r="K646">
        <f>IFERROR(VLOOKUP($A646,observations_series_id_EXJPUS_api_key_ecc133893ea92a842ee685c734246086_file_type[],2,FALSE),"")</f>
        <v>76.795699999999997</v>
      </c>
      <c r="L646" s="2">
        <f>IFERROR(VLOOKUP($A646,observations_series_id_EXJPUS_api_key_ecc133893ea92a842ee685c734246086_file_type[],3,FALSE),"")</f>
        <v>-3.6619797723049601</v>
      </c>
      <c r="M646" t="str">
        <f>IFERROR(AVERAGEIFS(timeseries_access_key_fqeas14oitk235763mntlb1c0brnk9w3fenzqbk313q5kvxyf52kukw1pa[Value.LME-ZNC],timeseries_access_key_fqeas14oitk235763mntlb1c0brnk9w3fenzqbk313q5kvxyf52kukw1pa[Month],MONTH(Data!$A646),timeseries_access_key_fqeas14oitk235763mntlb1c0brnk9w3fenzqbk313q5kvxyf52kukw1pa[Year],YEAR(Data!$A646)),"")</f>
        <v/>
      </c>
      <c r="N646" s="2" t="str">
        <f>IFERROR(AVERAGEIFS(timeseries_access_key_fqeas14oitk235763mntlb1c0brnk9w3fenzqbk313q5kvxyf52kukw1pa[Column1],timeseries_access_key_fqeas14oitk235763mntlb1c0brnk9w3fenzqbk313q5kvxyf52kukw1pa[Month],MONTH(Data!$A646),timeseries_access_key_fqeas14oitk235763mntlb1c0brnk9w3fenzqbk313q5kvxyf52kukw1pa[Year],YEAR(Data!$A646)),"")</f>
        <v/>
      </c>
      <c r="O646" s="8" t="str">
        <f>IFERROR(VLOOKUP($A646,Text_1_2[[Text.1.1.3]:[Text.1.3]],2,FALSE),"")</f>
        <v/>
      </c>
      <c r="P646" s="2"/>
    </row>
    <row r="647" spans="1:16" x14ac:dyDescent="0.25">
      <c r="A647" s="1">
        <v>40817</v>
      </c>
      <c r="B647">
        <f>HLOOKUP(Dashboard!$I$27,results,ROW(A647),FALSE)</f>
        <v>0.12434325744308239</v>
      </c>
      <c r="C647">
        <f>IFERROR(VLOOKUP(A647,observations_series_id_PCU22112222112243_api_key_ecc133893ea92a842ee685c73424608[],2,FALSE),"")</f>
        <v>172.3</v>
      </c>
      <c r="D647" s="2">
        <f>IFERROR(VLOOKUP(A647,observations_series_id_PCU22112222112243_api_key_ecc133893ea92a842ee685c73424608[],3,FALSE),"")</f>
        <v>0.89901334881021477</v>
      </c>
      <c r="E647">
        <f>IFERROR(VLOOKUP($A647,observations_series_id_WPU0613020T_api_key_ecc133893ea92a842ee685c734246086_file[],2,FALSE),"")</f>
        <v>95.4</v>
      </c>
      <c r="F647" s="2">
        <f>IFERROR(VLOOKUP($A647,observations_series_id_WPU0613020T_api_key_ecc133893ea92a842ee685c734246086_file[],3,FALSE),"")</f>
        <v>-4.8218029350104663E-2</v>
      </c>
      <c r="G647">
        <f>IFERROR(VLOOKUP($A647,observations_series_id_PCU22122212_api_key_ecc133893ea92a842ee685c734246086_file[],2,FALSE),"")</f>
        <v>114.2</v>
      </c>
      <c r="H647" s="2">
        <f>IFERROR(VLOOKUP($A647,observations_series_id_PCU22122212_api_key_ecc133893ea92a842ee685c734246086_file[],3,FALSE),"")</f>
        <v>0.12434325744308239</v>
      </c>
      <c r="I647">
        <f>IFERROR(VLOOKUP($A647,observations_series_id_PCU3241913241910_api_key_ecc133893ea92a842ee685c734246086[],2,FALSE),"")</f>
        <v>476.4</v>
      </c>
      <c r="J647" s="2">
        <f>IFERROR(VLOOKUP($A647,observations_series_id_PCU3241913241910_api_key_ecc133893ea92a842ee685c734246086[],3,FALSE),"")</f>
        <v>0.89210747271200674</v>
      </c>
      <c r="K647">
        <f>IFERROR(VLOOKUP($A647,observations_series_id_EXJPUS_api_key_ecc133893ea92a842ee685c734246086_file_type[],2,FALSE),"")</f>
        <v>76.643000000000001</v>
      </c>
      <c r="L647" s="2">
        <f>IFERROR(VLOOKUP($A647,observations_series_id_EXJPUS_api_key_ecc133893ea92a842ee685c734246086_file_type[],3,FALSE),"")</f>
        <v>-3.6712680871051493</v>
      </c>
      <c r="M647" t="str">
        <f>IFERROR(AVERAGEIFS(timeseries_access_key_fqeas14oitk235763mntlb1c0brnk9w3fenzqbk313q5kvxyf52kukw1pa[Value.LME-ZNC],timeseries_access_key_fqeas14oitk235763mntlb1c0brnk9w3fenzqbk313q5kvxyf52kukw1pa[Month],MONTH(Data!$A647),timeseries_access_key_fqeas14oitk235763mntlb1c0brnk9w3fenzqbk313q5kvxyf52kukw1pa[Year],YEAR(Data!$A647)),"")</f>
        <v/>
      </c>
      <c r="N647" s="2" t="str">
        <f>IFERROR(AVERAGEIFS(timeseries_access_key_fqeas14oitk235763mntlb1c0brnk9w3fenzqbk313q5kvxyf52kukw1pa[Column1],timeseries_access_key_fqeas14oitk235763mntlb1c0brnk9w3fenzqbk313q5kvxyf52kukw1pa[Month],MONTH(Data!$A647),timeseries_access_key_fqeas14oitk235763mntlb1c0brnk9w3fenzqbk313q5kvxyf52kukw1pa[Year],YEAR(Data!$A647)),"")</f>
        <v/>
      </c>
      <c r="O647" s="8">
        <f>IFERROR(VLOOKUP($A647,Text_1_2[[Text.1.1.3]:[Text.1.3]],2,FALSE),"")</f>
        <v>51700</v>
      </c>
      <c r="P647" s="2"/>
    </row>
    <row r="648" spans="1:16" x14ac:dyDescent="0.25">
      <c r="A648" s="1">
        <v>40848</v>
      </c>
      <c r="B648">
        <f>HLOOKUP(Dashboard!$I$27,results,ROW(A648),FALSE)</f>
        <v>0.1296779808529156</v>
      </c>
      <c r="C648">
        <f>IFERROR(VLOOKUP(A648,observations_series_id_PCU22112222112243_api_key_ecc133893ea92a842ee685c73424608[],2,FALSE),"")</f>
        <v>170.5</v>
      </c>
      <c r="D648" s="2">
        <f>IFERROR(VLOOKUP(A648,observations_series_id_PCU22112222112243_api_key_ecc133893ea92a842ee685c73424608[],3,FALSE),"")</f>
        <v>0.89794721407624634</v>
      </c>
      <c r="E648">
        <f>IFERROR(VLOOKUP($A648,observations_series_id_WPU0613020T_api_key_ecc133893ea92a842ee685c734246086_file[],2,FALSE),"")</f>
        <v>101.6</v>
      </c>
      <c r="F648" s="2">
        <f>IFERROR(VLOOKUP($A648,observations_series_id_WPU0613020T_api_key_ecc133893ea92a842ee685c734246086_file[],3,FALSE),"")</f>
        <v>1.5748031496062964E-2</v>
      </c>
      <c r="G648">
        <f>IFERROR(VLOOKUP($A648,observations_series_id_PCU22122212_api_key_ecc133893ea92a842ee685c734246086_file[],2,FALSE),"")</f>
        <v>114.9</v>
      </c>
      <c r="H648" s="2">
        <f>IFERROR(VLOOKUP($A648,observations_series_id_PCU22122212_api_key_ecc133893ea92a842ee685c734246086_file[],3,FALSE),"")</f>
        <v>0.1296779808529156</v>
      </c>
      <c r="I648">
        <f>IFERROR(VLOOKUP($A648,observations_series_id_PCU3241913241910_api_key_ecc133893ea92a842ee685c734246086[],2,FALSE),"")</f>
        <v>474.1</v>
      </c>
      <c r="J648" s="2">
        <f>IFERROR(VLOOKUP($A648,observations_series_id_PCU3241913241910_api_key_ecc133893ea92a842ee685c734246086[],3,FALSE),"")</f>
        <v>0.89158405399704699</v>
      </c>
      <c r="K648">
        <f>IFERROR(VLOOKUP($A648,observations_series_id_EXJPUS_api_key_ecc133893ea92a842ee685c734246086_file_type[],2,FALSE),"")</f>
        <v>77.5595</v>
      </c>
      <c r="L648" s="2">
        <f>IFERROR(VLOOKUP($A648,observations_series_id_EXJPUS_api_key_ecc133893ea92a842ee685c734246086_file_type[],3,FALSE),"")</f>
        <v>-3.6160689535131088</v>
      </c>
      <c r="M648" t="str">
        <f>IFERROR(AVERAGEIFS(timeseries_access_key_fqeas14oitk235763mntlb1c0brnk9w3fenzqbk313q5kvxyf52kukw1pa[Value.LME-ZNC],timeseries_access_key_fqeas14oitk235763mntlb1c0brnk9w3fenzqbk313q5kvxyf52kukw1pa[Month],MONTH(Data!$A648),timeseries_access_key_fqeas14oitk235763mntlb1c0brnk9w3fenzqbk313q5kvxyf52kukw1pa[Year],YEAR(Data!$A648)),"")</f>
        <v/>
      </c>
      <c r="N648" s="2" t="str">
        <f>IFERROR(AVERAGEIFS(timeseries_access_key_fqeas14oitk235763mntlb1c0brnk9w3fenzqbk313q5kvxyf52kukw1pa[Column1],timeseries_access_key_fqeas14oitk235763mntlb1c0brnk9w3fenzqbk313q5kvxyf52kukw1pa[Month],MONTH(Data!$A648),timeseries_access_key_fqeas14oitk235763mntlb1c0brnk9w3fenzqbk313q5kvxyf52kukw1pa[Year],YEAR(Data!$A648)),"")</f>
        <v/>
      </c>
      <c r="O648" s="8" t="str">
        <f>IFERROR(VLOOKUP($A648,Text_1_2[[Text.1.1.3]:[Text.1.3]],2,FALSE),"")</f>
        <v/>
      </c>
      <c r="P648" s="2"/>
    </row>
    <row r="649" spans="1:16" x14ac:dyDescent="0.25">
      <c r="A649" s="1">
        <v>40878</v>
      </c>
      <c r="B649">
        <f>HLOOKUP(Dashboard!$I$27,results,ROW(A649),FALSE)</f>
        <v>0.12357581069237511</v>
      </c>
      <c r="C649">
        <f>IFERROR(VLOOKUP(A649,observations_series_id_PCU22112222112243_api_key_ecc133893ea92a842ee685c73424608[],2,FALSE),"")</f>
        <v>170.8</v>
      </c>
      <c r="D649" s="2">
        <f>IFERROR(VLOOKUP(A649,observations_series_id_PCU22112222112243_api_key_ecc133893ea92a842ee685c73424608[],3,FALSE),"")</f>
        <v>0.89812646370023419</v>
      </c>
      <c r="E649">
        <f>IFERROR(VLOOKUP($A649,observations_series_id_WPU0613020T_api_key_ecc133893ea92a842ee685c734246086_file[],2,FALSE),"")</f>
        <v>104.4</v>
      </c>
      <c r="F649" s="2">
        <f>IFERROR(VLOOKUP($A649,observations_series_id_WPU0613020T_api_key_ecc133893ea92a842ee685c734246086_file[],3,FALSE),"")</f>
        <v>4.2145593869731823E-2</v>
      </c>
      <c r="G649">
        <f>IFERROR(VLOOKUP($A649,observations_series_id_PCU22122212_api_key_ecc133893ea92a842ee685c734246086_file[],2,FALSE),"")</f>
        <v>114.1</v>
      </c>
      <c r="H649" s="2">
        <f>IFERROR(VLOOKUP($A649,observations_series_id_PCU22122212_api_key_ecc133893ea92a842ee685c734246086_file[],3,FALSE),"")</f>
        <v>0.12357581069237511</v>
      </c>
      <c r="I649">
        <f>IFERROR(VLOOKUP($A649,observations_series_id_PCU3241913241910_api_key_ecc133893ea92a842ee685c734246086[],2,FALSE),"")</f>
        <v>476.3</v>
      </c>
      <c r="J649" s="2">
        <f>IFERROR(VLOOKUP($A649,observations_series_id_PCU3241913241910_api_key_ecc133893ea92a842ee685c734246086[],3,FALSE),"")</f>
        <v>0.89208482049128701</v>
      </c>
      <c r="K649">
        <f>IFERROR(VLOOKUP($A649,observations_series_id_EXJPUS_api_key_ecc133893ea92a842ee685c734246086_file_type[],2,FALSE),"")</f>
        <v>77.796700000000001</v>
      </c>
      <c r="L649" s="2">
        <f>IFERROR(VLOOKUP($A649,observations_series_id_EXJPUS_api_key_ecc133893ea92a842ee685c734246086_file_type[],3,FALSE),"")</f>
        <v>-3.6019946861499266</v>
      </c>
      <c r="M649" t="str">
        <f>IFERROR(AVERAGEIFS(timeseries_access_key_fqeas14oitk235763mntlb1c0brnk9w3fenzqbk313q5kvxyf52kukw1pa[Value.LME-ZNC],timeseries_access_key_fqeas14oitk235763mntlb1c0brnk9w3fenzqbk313q5kvxyf52kukw1pa[Month],MONTH(Data!$A649),timeseries_access_key_fqeas14oitk235763mntlb1c0brnk9w3fenzqbk313q5kvxyf52kukw1pa[Year],YEAR(Data!$A649)),"")</f>
        <v/>
      </c>
      <c r="N649" s="2" t="str">
        <f>IFERROR(AVERAGEIFS(timeseries_access_key_fqeas14oitk235763mntlb1c0brnk9w3fenzqbk313q5kvxyf52kukw1pa[Column1],timeseries_access_key_fqeas14oitk235763mntlb1c0brnk9w3fenzqbk313q5kvxyf52kukw1pa[Month],MONTH(Data!$A649),timeseries_access_key_fqeas14oitk235763mntlb1c0brnk9w3fenzqbk313q5kvxyf52kukw1pa[Year],YEAR(Data!$A649)),"")</f>
        <v/>
      </c>
      <c r="O649" s="8" t="str">
        <f>IFERROR(VLOOKUP($A649,Text_1_2[[Text.1.1.3]:[Text.1.3]],2,FALSE),"")</f>
        <v/>
      </c>
      <c r="P649" s="2"/>
    </row>
    <row r="650" spans="1:16" x14ac:dyDescent="0.25">
      <c r="A650" s="1">
        <v>40909</v>
      </c>
      <c r="B650">
        <f>HLOOKUP(Dashboard!$I$27,results,ROW(A650),FALSE)</f>
        <v>0.11190053285968027</v>
      </c>
      <c r="C650">
        <f>IFERROR(VLOOKUP(A650,observations_series_id_PCU22112222112243_api_key_ecc133893ea92a842ee685c73424608[],2,FALSE),"")</f>
        <v>167.9</v>
      </c>
      <c r="D650" s="2">
        <f>IFERROR(VLOOKUP(A650,observations_series_id_PCU22112222112243_api_key_ecc133893ea92a842ee685c73424608[],3,FALSE),"")</f>
        <v>0.89636688505062534</v>
      </c>
      <c r="E650">
        <f>IFERROR(VLOOKUP($A650,observations_series_id_WPU0613020T_api_key_ecc133893ea92a842ee685c734246086_file[],2,FALSE),"")</f>
        <v>110.3</v>
      </c>
      <c r="F650" s="2">
        <f>IFERROR(VLOOKUP($A650,observations_series_id_WPU0613020T_api_key_ecc133893ea92a842ee685c734246086_file[],3,FALSE),"")</f>
        <v>9.3381686310063494E-2</v>
      </c>
      <c r="G650">
        <f>IFERROR(VLOOKUP($A650,observations_series_id_PCU22122212_api_key_ecc133893ea92a842ee685c734246086_file[],2,FALSE),"")</f>
        <v>112.6</v>
      </c>
      <c r="H650" s="2">
        <f>IFERROR(VLOOKUP($A650,observations_series_id_PCU22122212_api_key_ecc133893ea92a842ee685c734246086_file[],3,FALSE),"")</f>
        <v>0.11190053285968027</v>
      </c>
      <c r="I650">
        <f>IFERROR(VLOOKUP($A650,observations_series_id_PCU3241913241910_api_key_ecc133893ea92a842ee685c734246086[],2,FALSE),"")</f>
        <v>472.1</v>
      </c>
      <c r="J650" s="2">
        <f>IFERROR(VLOOKUP($A650,observations_series_id_PCU3241913241910_api_key_ecc133893ea92a842ee685c734246086[],3,FALSE),"")</f>
        <v>0.89112476170302901</v>
      </c>
      <c r="K650">
        <f>IFERROR(VLOOKUP($A650,observations_series_id_EXJPUS_api_key_ecc133893ea92a842ee685c734246086_file_type[],2,FALSE),"")</f>
        <v>76.963999999999999</v>
      </c>
      <c r="L650" s="2">
        <f>IFERROR(VLOOKUP($A650,observations_series_id_EXJPUS_api_key_ecc133893ea92a842ee685c734246086_file_type[],3,FALSE),"")</f>
        <v>-3.6517852502468688</v>
      </c>
      <c r="M650" t="str">
        <f>IFERROR(AVERAGEIFS(timeseries_access_key_fqeas14oitk235763mntlb1c0brnk9w3fenzqbk313q5kvxyf52kukw1pa[Value.LME-ZNC],timeseries_access_key_fqeas14oitk235763mntlb1c0brnk9w3fenzqbk313q5kvxyf52kukw1pa[Month],MONTH(Data!$A650),timeseries_access_key_fqeas14oitk235763mntlb1c0brnk9w3fenzqbk313q5kvxyf52kukw1pa[Year],YEAR(Data!$A650)),"")</f>
        <v/>
      </c>
      <c r="N650" s="2" t="str">
        <f>IFERROR(AVERAGEIFS(timeseries_access_key_fqeas14oitk235763mntlb1c0brnk9w3fenzqbk313q5kvxyf52kukw1pa[Column1],timeseries_access_key_fqeas14oitk235763mntlb1c0brnk9w3fenzqbk313q5kvxyf52kukw1pa[Month],MONTH(Data!$A650),timeseries_access_key_fqeas14oitk235763mntlb1c0brnk9w3fenzqbk313q5kvxyf52kukw1pa[Year],YEAR(Data!$A650)),"")</f>
        <v/>
      </c>
      <c r="O650" s="8">
        <f>IFERROR(VLOOKUP($A650,Text_1_2[[Text.1.1.3]:[Text.1.3]],2,FALSE),"")</f>
        <v>54100</v>
      </c>
      <c r="P650" s="2"/>
    </row>
    <row r="651" spans="1:16" x14ac:dyDescent="0.25">
      <c r="A651" s="1">
        <v>40940</v>
      </c>
      <c r="B651">
        <f>HLOOKUP(Dashboard!$I$27,results,ROW(A651),FALSE)</f>
        <v>9.0909090909090939E-2</v>
      </c>
      <c r="C651">
        <f>IFERROR(VLOOKUP(A651,observations_series_id_PCU22112222112243_api_key_ecc133893ea92a842ee685c73424608[],2,FALSE),"")</f>
        <v>167.3</v>
      </c>
      <c r="D651" s="2">
        <f>IFERROR(VLOOKUP(A651,observations_series_id_PCU22112222112243_api_key_ecc133893ea92a842ee685c73424608[],3,FALSE),"")</f>
        <v>0.8959952181709504</v>
      </c>
      <c r="E651">
        <f>IFERROR(VLOOKUP($A651,observations_series_id_WPU0613020T_api_key_ecc133893ea92a842ee685c734246086_file[],2,FALSE),"")</f>
        <v>107.6</v>
      </c>
      <c r="F651" s="2">
        <f>IFERROR(VLOOKUP($A651,observations_series_id_WPU0613020T_api_key_ecc133893ea92a842ee685c734246086_file[],3,FALSE),"")</f>
        <v>7.0631970260223054E-2</v>
      </c>
      <c r="G651">
        <f>IFERROR(VLOOKUP($A651,observations_series_id_PCU22122212_api_key_ecc133893ea92a842ee685c734246086_file[],2,FALSE),"")</f>
        <v>110</v>
      </c>
      <c r="H651" s="2">
        <f>IFERROR(VLOOKUP($A651,observations_series_id_PCU22122212_api_key_ecc133893ea92a842ee685c734246086_file[],3,FALSE),"")</f>
        <v>9.0909090909090939E-2</v>
      </c>
      <c r="I651">
        <f>IFERROR(VLOOKUP($A651,observations_series_id_PCU3241913241910_api_key_ecc133893ea92a842ee685c734246086[],2,FALSE),"")</f>
        <v>469.3</v>
      </c>
      <c r="J651" s="2">
        <f>IFERROR(VLOOKUP($A651,observations_series_id_PCU3241913241910_api_key_ecc133893ea92a842ee685c734246086[],3,FALSE),"")</f>
        <v>0.89047517579373536</v>
      </c>
      <c r="K651">
        <f>IFERROR(VLOOKUP($A651,observations_series_id_EXJPUS_api_key_ecc133893ea92a842ee685c734246086_file_type[],2,FALSE),"")</f>
        <v>78.47</v>
      </c>
      <c r="L651" s="2">
        <f>IFERROR(VLOOKUP($A651,observations_series_id_EXJPUS_api_key_ecc133893ea92a842ee685c734246086_file_type[],3,FALSE),"")</f>
        <v>-3.5625079648273221</v>
      </c>
      <c r="M651" t="str">
        <f>IFERROR(AVERAGEIFS(timeseries_access_key_fqeas14oitk235763mntlb1c0brnk9w3fenzqbk313q5kvxyf52kukw1pa[Value.LME-ZNC],timeseries_access_key_fqeas14oitk235763mntlb1c0brnk9w3fenzqbk313q5kvxyf52kukw1pa[Month],MONTH(Data!$A651),timeseries_access_key_fqeas14oitk235763mntlb1c0brnk9w3fenzqbk313q5kvxyf52kukw1pa[Year],YEAR(Data!$A651)),"")</f>
        <v/>
      </c>
      <c r="N651" s="2" t="str">
        <f>IFERROR(AVERAGEIFS(timeseries_access_key_fqeas14oitk235763mntlb1c0brnk9w3fenzqbk313q5kvxyf52kukw1pa[Column1],timeseries_access_key_fqeas14oitk235763mntlb1c0brnk9w3fenzqbk313q5kvxyf52kukw1pa[Month],MONTH(Data!$A651),timeseries_access_key_fqeas14oitk235763mntlb1c0brnk9w3fenzqbk313q5kvxyf52kukw1pa[Year],YEAR(Data!$A651)),"")</f>
        <v/>
      </c>
      <c r="O651" s="8" t="str">
        <f>IFERROR(VLOOKUP($A651,Text_1_2[[Text.1.1.3]:[Text.1.3]],2,FALSE),"")</f>
        <v/>
      </c>
      <c r="P651" s="2"/>
    </row>
    <row r="652" spans="1:16" x14ac:dyDescent="0.25">
      <c r="A652" s="1">
        <v>40969</v>
      </c>
      <c r="B652">
        <f>HLOOKUP(Dashboard!$I$27,results,ROW(A652),FALSE)</f>
        <v>8.5923217550274322E-2</v>
      </c>
      <c r="C652">
        <f>IFERROR(VLOOKUP(A652,observations_series_id_PCU22112222112243_api_key_ecc133893ea92a842ee685c73424608[],2,FALSE),"")</f>
        <v>166.8</v>
      </c>
      <c r="D652" s="2">
        <f>IFERROR(VLOOKUP(A652,observations_series_id_PCU22112222112243_api_key_ecc133893ea92a842ee685c73424608[],3,FALSE),"")</f>
        <v>0.89568345323741005</v>
      </c>
      <c r="E652">
        <f>IFERROR(VLOOKUP($A652,observations_series_id_WPU0613020T_api_key_ecc133893ea92a842ee685c734246086_file[],2,FALSE),"")</f>
        <v>112.2</v>
      </c>
      <c r="F652" s="2">
        <f>IFERROR(VLOOKUP($A652,observations_series_id_WPU0613020T_api_key_ecc133893ea92a842ee685c734246086_file[],3,FALSE),"")</f>
        <v>0.10873440285204994</v>
      </c>
      <c r="G652">
        <f>IFERROR(VLOOKUP($A652,observations_series_id_PCU22122212_api_key_ecc133893ea92a842ee685c734246086_file[],2,FALSE),"")</f>
        <v>109.4</v>
      </c>
      <c r="H652" s="2">
        <f>IFERROR(VLOOKUP($A652,observations_series_id_PCU22122212_api_key_ecc133893ea92a842ee685c734246086_file[],3,FALSE),"")</f>
        <v>8.5923217550274322E-2</v>
      </c>
      <c r="I652">
        <f>IFERROR(VLOOKUP($A652,observations_series_id_PCU3241913241910_api_key_ecc133893ea92a842ee685c734246086[],2,FALSE),"")</f>
        <v>471.8</v>
      </c>
      <c r="J652" s="2">
        <f>IFERROR(VLOOKUP($A652,observations_series_id_PCU3241913241910_api_key_ecc133893ea92a842ee685c734246086[],3,FALSE),"")</f>
        <v>0.89105553200508691</v>
      </c>
      <c r="K652">
        <f>IFERROR(VLOOKUP($A652,observations_series_id_EXJPUS_api_key_ecc133893ea92a842ee685c734246086_file_type[],2,FALSE),"")</f>
        <v>82.465900000000005</v>
      </c>
      <c r="L652" s="2">
        <f>IFERROR(VLOOKUP($A652,observations_series_id_EXJPUS_api_key_ecc133893ea92a842ee685c734246086_file_type[],3,FALSE),"")</f>
        <v>-3.341430821709336</v>
      </c>
      <c r="M652" t="str">
        <f>IFERROR(AVERAGEIFS(timeseries_access_key_fqeas14oitk235763mntlb1c0brnk9w3fenzqbk313q5kvxyf52kukw1pa[Value.LME-ZNC],timeseries_access_key_fqeas14oitk235763mntlb1c0brnk9w3fenzqbk313q5kvxyf52kukw1pa[Month],MONTH(Data!$A652),timeseries_access_key_fqeas14oitk235763mntlb1c0brnk9w3fenzqbk313q5kvxyf52kukw1pa[Year],YEAR(Data!$A652)),"")</f>
        <v/>
      </c>
      <c r="N652" s="2" t="str">
        <f>IFERROR(AVERAGEIFS(timeseries_access_key_fqeas14oitk235763mntlb1c0brnk9w3fenzqbk313q5kvxyf52kukw1pa[Column1],timeseries_access_key_fqeas14oitk235763mntlb1c0brnk9w3fenzqbk313q5kvxyf52kukw1pa[Month],MONTH(Data!$A652),timeseries_access_key_fqeas14oitk235763mntlb1c0brnk9w3fenzqbk313q5kvxyf52kukw1pa[Year],YEAR(Data!$A652)),"")</f>
        <v/>
      </c>
      <c r="O652" s="8" t="str">
        <f>IFERROR(VLOOKUP($A652,Text_1_2[[Text.1.1.3]:[Text.1.3]],2,FALSE),"")</f>
        <v/>
      </c>
      <c r="P652" s="2"/>
    </row>
    <row r="653" spans="1:16" x14ac:dyDescent="0.25">
      <c r="A653" s="1">
        <v>41000</v>
      </c>
      <c r="B653">
        <f>HLOOKUP(Dashboard!$I$27,results,ROW(A653),FALSE)</f>
        <v>4.8525214081826751E-2</v>
      </c>
      <c r="C653">
        <f>IFERROR(VLOOKUP(A653,observations_series_id_PCU22112222112243_api_key_ecc133893ea92a842ee685c73424608[],2,FALSE),"")</f>
        <v>165.4</v>
      </c>
      <c r="D653" s="2">
        <f>IFERROR(VLOOKUP(A653,observations_series_id_PCU22112222112243_api_key_ecc133893ea92a842ee685c73424608[],3,FALSE),"")</f>
        <v>0.89480048367593712</v>
      </c>
      <c r="E653">
        <f>IFERROR(VLOOKUP($A653,observations_series_id_WPU0613020T_api_key_ecc133893ea92a842ee685c734246086_file[],2,FALSE),"")</f>
        <v>109.1</v>
      </c>
      <c r="F653" s="2">
        <f>IFERROR(VLOOKUP($A653,observations_series_id_WPU0613020T_api_key_ecc133893ea92a842ee685c734246086_file[],3,FALSE),"")</f>
        <v>8.3409715857011846E-2</v>
      </c>
      <c r="G653">
        <f>IFERROR(VLOOKUP($A653,observations_series_id_PCU22122212_api_key_ecc133893ea92a842ee685c734246086_file[],2,FALSE),"")</f>
        <v>105.1</v>
      </c>
      <c r="H653" s="2">
        <f>IFERROR(VLOOKUP($A653,observations_series_id_PCU22122212_api_key_ecc133893ea92a842ee685c734246086_file[],3,FALSE),"")</f>
        <v>4.8525214081826751E-2</v>
      </c>
      <c r="I653">
        <f>IFERROR(VLOOKUP($A653,observations_series_id_PCU3241913241910_api_key_ecc133893ea92a842ee685c734246086[],2,FALSE),"")</f>
        <v>472</v>
      </c>
      <c r="J653" s="2">
        <f>IFERROR(VLOOKUP($A653,observations_series_id_PCU3241913241910_api_key_ecc133893ea92a842ee685c734246086[],3,FALSE),"")</f>
        <v>0.89110169491525426</v>
      </c>
      <c r="K653">
        <f>IFERROR(VLOOKUP($A653,observations_series_id_EXJPUS_api_key_ecc133893ea92a842ee685c734246086_file_type[],2,FALSE),"")</f>
        <v>81.252399999999994</v>
      </c>
      <c r="L653" s="2">
        <f>IFERROR(VLOOKUP($A653,observations_series_id_EXJPUS_api_key_ecc133893ea92a842ee685c734246086_file_type[],3,FALSE),"")</f>
        <v>-3.406269845567639</v>
      </c>
      <c r="M653" t="str">
        <f>IFERROR(AVERAGEIFS(timeseries_access_key_fqeas14oitk235763mntlb1c0brnk9w3fenzqbk313q5kvxyf52kukw1pa[Value.LME-ZNC],timeseries_access_key_fqeas14oitk235763mntlb1c0brnk9w3fenzqbk313q5kvxyf52kukw1pa[Month],MONTH(Data!$A653),timeseries_access_key_fqeas14oitk235763mntlb1c0brnk9w3fenzqbk313q5kvxyf52kukw1pa[Year],YEAR(Data!$A653)),"")</f>
        <v/>
      </c>
      <c r="N653" s="2" t="str">
        <f>IFERROR(AVERAGEIFS(timeseries_access_key_fqeas14oitk235763mntlb1c0brnk9w3fenzqbk313q5kvxyf52kukw1pa[Column1],timeseries_access_key_fqeas14oitk235763mntlb1c0brnk9w3fenzqbk313q5kvxyf52kukw1pa[Month],MONTH(Data!$A653),timeseries_access_key_fqeas14oitk235763mntlb1c0brnk9w3fenzqbk313q5kvxyf52kukw1pa[Year],YEAR(Data!$A653)),"")</f>
        <v/>
      </c>
      <c r="O653" s="8">
        <f>IFERROR(VLOOKUP($A653,Text_1_2[[Text.1.1.3]:[Text.1.3]],2,FALSE),"")</f>
        <v>60600</v>
      </c>
      <c r="P653" s="2"/>
    </row>
    <row r="654" spans="1:16" x14ac:dyDescent="0.25">
      <c r="A654" s="1">
        <v>41030</v>
      </c>
      <c r="B654">
        <f>HLOOKUP(Dashboard!$I$27,results,ROW(A654),FALSE)</f>
        <v>1.2833168805528095E-2</v>
      </c>
      <c r="C654">
        <f>IFERROR(VLOOKUP(A654,observations_series_id_PCU22112222112243_api_key_ecc133893ea92a842ee685c73424608[],2,FALSE),"")</f>
        <v>168.2</v>
      </c>
      <c r="D654" s="2">
        <f>IFERROR(VLOOKUP(A654,observations_series_id_PCU22112222112243_api_key_ecc133893ea92a842ee685c73424608[],3,FALSE),"")</f>
        <v>0.89655172413793105</v>
      </c>
      <c r="E654">
        <f>IFERROR(VLOOKUP($A654,observations_series_id_WPU0613020T_api_key_ecc133893ea92a842ee685c734246086_file[],2,FALSE),"")</f>
        <v>111.7</v>
      </c>
      <c r="F654" s="2">
        <f>IFERROR(VLOOKUP($A654,observations_series_id_WPU0613020T_api_key_ecc133893ea92a842ee685c734246086_file[],3,FALSE),"")</f>
        <v>0.10474485228290065</v>
      </c>
      <c r="G654">
        <f>IFERROR(VLOOKUP($A654,observations_series_id_PCU22122212_api_key_ecc133893ea92a842ee685c734246086_file[],2,FALSE),"")</f>
        <v>101.3</v>
      </c>
      <c r="H654" s="2">
        <f>IFERROR(VLOOKUP($A654,observations_series_id_PCU22122212_api_key_ecc133893ea92a842ee685c734246086_file[],3,FALSE),"")</f>
        <v>1.2833168805528095E-2</v>
      </c>
      <c r="I654">
        <f>IFERROR(VLOOKUP($A654,observations_series_id_PCU3241913241910_api_key_ecc133893ea92a842ee685c734246086[],2,FALSE),"")</f>
        <v>471.1</v>
      </c>
      <c r="J654" s="2">
        <f>IFERROR(VLOOKUP($A654,observations_series_id_PCU3241913241910_api_key_ecc133893ea92a842ee685c734246086[],3,FALSE),"")</f>
        <v>0.89089365315219704</v>
      </c>
      <c r="K654">
        <f>IFERROR(VLOOKUP($A654,observations_series_id_EXJPUS_api_key_ecc133893ea92a842ee685c734246086_file_type[],2,FALSE),"")</f>
        <v>79.666799999999995</v>
      </c>
      <c r="L654" s="2">
        <f>IFERROR(VLOOKUP($A654,observations_series_id_EXJPUS_api_key_ecc133893ea92a842ee685c734246086_file_type[],3,FALSE),"")</f>
        <v>-3.4939673741131818</v>
      </c>
      <c r="M654" t="str">
        <f>IFERROR(AVERAGEIFS(timeseries_access_key_fqeas14oitk235763mntlb1c0brnk9w3fenzqbk313q5kvxyf52kukw1pa[Value.LME-ZNC],timeseries_access_key_fqeas14oitk235763mntlb1c0brnk9w3fenzqbk313q5kvxyf52kukw1pa[Month],MONTH(Data!$A654),timeseries_access_key_fqeas14oitk235763mntlb1c0brnk9w3fenzqbk313q5kvxyf52kukw1pa[Year],YEAR(Data!$A654)),"")</f>
        <v/>
      </c>
      <c r="N654" s="2" t="str">
        <f>IFERROR(AVERAGEIFS(timeseries_access_key_fqeas14oitk235763mntlb1c0brnk9w3fenzqbk313q5kvxyf52kukw1pa[Column1],timeseries_access_key_fqeas14oitk235763mntlb1c0brnk9w3fenzqbk313q5kvxyf52kukw1pa[Month],MONTH(Data!$A654),timeseries_access_key_fqeas14oitk235763mntlb1c0brnk9w3fenzqbk313q5kvxyf52kukw1pa[Year],YEAR(Data!$A654)),"")</f>
        <v/>
      </c>
      <c r="O654" s="8" t="str">
        <f>IFERROR(VLOOKUP($A654,Text_1_2[[Text.1.1.3]:[Text.1.3]],2,FALSE),"")</f>
        <v/>
      </c>
      <c r="P654" s="2"/>
    </row>
    <row r="655" spans="1:16" x14ac:dyDescent="0.25">
      <c r="A655" s="1">
        <v>41061</v>
      </c>
      <c r="B655">
        <f>HLOOKUP(Dashboard!$I$27,results,ROW(A655),FALSE)</f>
        <v>4.122722914669219E-2</v>
      </c>
      <c r="C655">
        <f>IFERROR(VLOOKUP(A655,observations_series_id_PCU22112222112243_api_key_ecc133893ea92a842ee685c73424608[],2,FALSE),"")</f>
        <v>173.3</v>
      </c>
      <c r="D655" s="2">
        <f>IFERROR(VLOOKUP(A655,observations_series_id_PCU22112222112243_api_key_ecc133893ea92a842ee685c73424608[],3,FALSE),"")</f>
        <v>0.89959607616849391</v>
      </c>
      <c r="E655">
        <f>IFERROR(VLOOKUP($A655,observations_series_id_WPU0613020T_api_key_ecc133893ea92a842ee685c734246086_file[],2,FALSE),"")</f>
        <v>111.8</v>
      </c>
      <c r="F655" s="2">
        <f>IFERROR(VLOOKUP($A655,observations_series_id_WPU0613020T_api_key_ecc133893ea92a842ee685c734246086_file[],3,FALSE),"")</f>
        <v>0.10554561717352418</v>
      </c>
      <c r="G655">
        <f>IFERROR(VLOOKUP($A655,observations_series_id_PCU22122212_api_key_ecc133893ea92a842ee685c734246086_file[],2,FALSE),"")</f>
        <v>104.3</v>
      </c>
      <c r="H655" s="2">
        <f>IFERROR(VLOOKUP($A655,observations_series_id_PCU22122212_api_key_ecc133893ea92a842ee685c734246086_file[],3,FALSE),"")</f>
        <v>4.122722914669219E-2</v>
      </c>
      <c r="I655">
        <f>IFERROR(VLOOKUP($A655,observations_series_id_PCU3241913241910_api_key_ecc133893ea92a842ee685c734246086[],2,FALSE),"")</f>
        <v>475.8</v>
      </c>
      <c r="J655" s="2">
        <f>IFERROR(VLOOKUP($A655,observations_series_id_PCU3241913241910_api_key_ecc133893ea92a842ee685c734246086[],3,FALSE),"")</f>
        <v>0.89197141656158052</v>
      </c>
      <c r="K655">
        <f>IFERROR(VLOOKUP($A655,observations_series_id_EXJPUS_api_key_ecc133893ea92a842ee685c734246086_file_type[],2,FALSE),"")</f>
        <v>79.315200000000004</v>
      </c>
      <c r="L655" s="2">
        <f>IFERROR(VLOOKUP($A655,observations_series_id_EXJPUS_api_key_ecc133893ea92a842ee685c734246086_file_type[],3,FALSE),"")</f>
        <v>-3.5138888888888884</v>
      </c>
      <c r="M655" t="str">
        <f>IFERROR(AVERAGEIFS(timeseries_access_key_fqeas14oitk235763mntlb1c0brnk9w3fenzqbk313q5kvxyf52kukw1pa[Value.LME-ZNC],timeseries_access_key_fqeas14oitk235763mntlb1c0brnk9w3fenzqbk313q5kvxyf52kukw1pa[Month],MONTH(Data!$A655),timeseries_access_key_fqeas14oitk235763mntlb1c0brnk9w3fenzqbk313q5kvxyf52kukw1pa[Year],YEAR(Data!$A655)),"")</f>
        <v/>
      </c>
      <c r="N655" s="2" t="str">
        <f>IFERROR(AVERAGEIFS(timeseries_access_key_fqeas14oitk235763mntlb1c0brnk9w3fenzqbk313q5kvxyf52kukw1pa[Column1],timeseries_access_key_fqeas14oitk235763mntlb1c0brnk9w3fenzqbk313q5kvxyf52kukw1pa[Month],MONTH(Data!$A655),timeseries_access_key_fqeas14oitk235763mntlb1c0brnk9w3fenzqbk313q5kvxyf52kukw1pa[Year],YEAR(Data!$A655)),"")</f>
        <v/>
      </c>
      <c r="O655" s="8" t="str">
        <f>IFERROR(VLOOKUP($A655,Text_1_2[[Text.1.1.3]:[Text.1.3]],2,FALSE),"")</f>
        <v/>
      </c>
      <c r="P655" s="2"/>
    </row>
    <row r="656" spans="1:16" x14ac:dyDescent="0.25">
      <c r="A656" s="1">
        <v>41091</v>
      </c>
      <c r="B656">
        <f>HLOOKUP(Dashboard!$I$27,results,ROW(A656),FALSE)</f>
        <v>5.7492931196983954E-2</v>
      </c>
      <c r="C656">
        <f>IFERROR(VLOOKUP(A656,observations_series_id_PCU22112222112243_api_key_ecc133893ea92a842ee685c73424608[],2,FALSE),"")</f>
        <v>185.2</v>
      </c>
      <c r="D656" s="2">
        <f>IFERROR(VLOOKUP(A656,observations_series_id_PCU22112222112243_api_key_ecc133893ea92a842ee685c73424608[],3,FALSE),"")</f>
        <v>0.90604751619870405</v>
      </c>
      <c r="E656">
        <f>IFERROR(VLOOKUP($A656,observations_series_id_WPU0613020T_api_key_ecc133893ea92a842ee685c734246086_file[],2,FALSE),"")</f>
        <v>111.6</v>
      </c>
      <c r="F656" s="2">
        <f>IFERROR(VLOOKUP($A656,observations_series_id_WPU0613020T_api_key_ecc133893ea92a842ee685c734246086_file[],3,FALSE),"")</f>
        <v>0.10394265232974909</v>
      </c>
      <c r="G656">
        <f>IFERROR(VLOOKUP($A656,observations_series_id_PCU22122212_api_key_ecc133893ea92a842ee685c734246086_file[],2,FALSE),"")</f>
        <v>106.1</v>
      </c>
      <c r="H656" s="2">
        <f>IFERROR(VLOOKUP($A656,observations_series_id_PCU22122212_api_key_ecc133893ea92a842ee685c734246086_file[],3,FALSE),"")</f>
        <v>5.7492931196983954E-2</v>
      </c>
      <c r="I656">
        <f>IFERROR(VLOOKUP($A656,observations_series_id_PCU3241913241910_api_key_ecc133893ea92a842ee685c734246086[],2,FALSE),"")</f>
        <v>474.4</v>
      </c>
      <c r="J656" s="2">
        <f>IFERROR(VLOOKUP($A656,observations_series_id_PCU3241913241910_api_key_ecc133893ea92a842ee685c734246086[],3,FALSE),"")</f>
        <v>0.89165261382799321</v>
      </c>
      <c r="K656">
        <f>IFERROR(VLOOKUP($A656,observations_series_id_EXJPUS_api_key_ecc133893ea92a842ee685c734246086_file_type[],2,FALSE),"")</f>
        <v>78.934799999999996</v>
      </c>
      <c r="L656" s="2">
        <f>IFERROR(VLOOKUP($A656,observations_series_id_EXJPUS_api_key_ecc133893ea92a842ee685c734246086_file_type[],3,FALSE),"")</f>
        <v>-3.5356420742182157</v>
      </c>
      <c r="M656" t="str">
        <f>IFERROR(AVERAGEIFS(timeseries_access_key_fqeas14oitk235763mntlb1c0brnk9w3fenzqbk313q5kvxyf52kukw1pa[Value.LME-ZNC],timeseries_access_key_fqeas14oitk235763mntlb1c0brnk9w3fenzqbk313q5kvxyf52kukw1pa[Month],MONTH(Data!$A656),timeseries_access_key_fqeas14oitk235763mntlb1c0brnk9w3fenzqbk313q5kvxyf52kukw1pa[Year],YEAR(Data!$A656)),"")</f>
        <v/>
      </c>
      <c r="N656" s="2" t="str">
        <f>IFERROR(AVERAGEIFS(timeseries_access_key_fqeas14oitk235763mntlb1c0brnk9w3fenzqbk313q5kvxyf52kukw1pa[Column1],timeseries_access_key_fqeas14oitk235763mntlb1c0brnk9w3fenzqbk313q5kvxyf52kukw1pa[Month],MONTH(Data!$A656),timeseries_access_key_fqeas14oitk235763mntlb1c0brnk9w3fenzqbk313q5kvxyf52kukw1pa[Year],YEAR(Data!$A656)),"")</f>
        <v/>
      </c>
      <c r="O656" s="8">
        <f>IFERROR(VLOOKUP($A656,Text_1_2[[Text.1.1.3]:[Text.1.3]],2,FALSE),"")</f>
        <v>49800</v>
      </c>
      <c r="P656" s="2"/>
    </row>
    <row r="657" spans="1:16" x14ac:dyDescent="0.25">
      <c r="A657" s="1">
        <v>41122</v>
      </c>
      <c r="B657">
        <f>HLOOKUP(Dashboard!$I$27,results,ROW(A657),FALSE)</f>
        <v>6.629318394024275E-2</v>
      </c>
      <c r="C657">
        <f>IFERROR(VLOOKUP(A657,observations_series_id_PCU22112222112243_api_key_ecc133893ea92a842ee685c73424608[],2,FALSE),"")</f>
        <v>185.6</v>
      </c>
      <c r="D657" s="2">
        <f>IFERROR(VLOOKUP(A657,observations_series_id_PCU22112222112243_api_key_ecc133893ea92a842ee685c73424608[],3,FALSE),"")</f>
        <v>0.90625</v>
      </c>
      <c r="E657">
        <f>IFERROR(VLOOKUP($A657,observations_series_id_WPU0613020T_api_key_ecc133893ea92a842ee685c734246086_file[],2,FALSE),"")</f>
        <v>111.9</v>
      </c>
      <c r="F657" s="2">
        <f>IFERROR(VLOOKUP($A657,observations_series_id_WPU0613020T_api_key_ecc133893ea92a842ee685c734246086_file[],3,FALSE),"")</f>
        <v>0.10634495084897233</v>
      </c>
      <c r="G657">
        <f>IFERROR(VLOOKUP($A657,observations_series_id_PCU22122212_api_key_ecc133893ea92a842ee685c734246086_file[],2,FALSE),"")</f>
        <v>107.1</v>
      </c>
      <c r="H657" s="2">
        <f>IFERROR(VLOOKUP($A657,observations_series_id_PCU22122212_api_key_ecc133893ea92a842ee685c734246086_file[],3,FALSE),"")</f>
        <v>6.629318394024275E-2</v>
      </c>
      <c r="I657">
        <f>IFERROR(VLOOKUP($A657,observations_series_id_PCU3241913241910_api_key_ecc133893ea92a842ee685c734246086[],2,FALSE),"")</f>
        <v>469.7</v>
      </c>
      <c r="J657" s="2">
        <f>IFERROR(VLOOKUP($A657,observations_series_id_PCU3241913241910_api_key_ecc133893ea92a842ee685c734246086[],3,FALSE),"")</f>
        <v>0.89056844794549717</v>
      </c>
      <c r="K657">
        <f>IFERROR(VLOOKUP($A657,observations_series_id_EXJPUS_api_key_ecc133893ea92a842ee685c734246086_file_type[],2,FALSE),"")</f>
        <v>78.690899999999999</v>
      </c>
      <c r="L657" s="2">
        <f>IFERROR(VLOOKUP($A657,observations_series_id_EXJPUS_api_key_ecc133893ea92a842ee685c734246086_file_type[],3,FALSE),"")</f>
        <v>-3.5497001559265424</v>
      </c>
      <c r="M657" t="str">
        <f>IFERROR(AVERAGEIFS(timeseries_access_key_fqeas14oitk235763mntlb1c0brnk9w3fenzqbk313q5kvxyf52kukw1pa[Value.LME-ZNC],timeseries_access_key_fqeas14oitk235763mntlb1c0brnk9w3fenzqbk313q5kvxyf52kukw1pa[Month],MONTH(Data!$A657),timeseries_access_key_fqeas14oitk235763mntlb1c0brnk9w3fenzqbk313q5kvxyf52kukw1pa[Year],YEAR(Data!$A657)),"")</f>
        <v/>
      </c>
      <c r="N657" s="2" t="str">
        <f>IFERROR(AVERAGEIFS(timeseries_access_key_fqeas14oitk235763mntlb1c0brnk9w3fenzqbk313q5kvxyf52kukw1pa[Column1],timeseries_access_key_fqeas14oitk235763mntlb1c0brnk9w3fenzqbk313q5kvxyf52kukw1pa[Month],MONTH(Data!$A657),timeseries_access_key_fqeas14oitk235763mntlb1c0brnk9w3fenzqbk313q5kvxyf52kukw1pa[Year],YEAR(Data!$A657)),"")</f>
        <v/>
      </c>
      <c r="O657" s="8" t="str">
        <f>IFERROR(VLOOKUP($A657,Text_1_2[[Text.1.1.3]:[Text.1.3]],2,FALSE),"")</f>
        <v/>
      </c>
      <c r="P657" s="2"/>
    </row>
    <row r="658" spans="1:16" x14ac:dyDescent="0.25">
      <c r="A658" s="1">
        <v>41153</v>
      </c>
      <c r="B658">
        <f>HLOOKUP(Dashboard!$I$27,results,ROW(A658),FALSE)</f>
        <v>5.1233396584440261E-2</v>
      </c>
      <c r="C658">
        <f>IFERROR(VLOOKUP(A658,observations_series_id_PCU22112222112243_api_key_ecc133893ea92a842ee685c73424608[],2,FALSE),"")</f>
        <v>186.2</v>
      </c>
      <c r="D658" s="2">
        <f>IFERROR(VLOOKUP(A658,observations_series_id_PCU22112222112243_api_key_ecc133893ea92a842ee685c73424608[],3,FALSE),"")</f>
        <v>0.90655209452201935</v>
      </c>
      <c r="E658">
        <f>IFERROR(VLOOKUP($A658,observations_series_id_WPU0613020T_api_key_ecc133893ea92a842ee685c734246086_file[],2,FALSE),"")</f>
        <v>113.3</v>
      </c>
      <c r="F658" s="2">
        <f>IFERROR(VLOOKUP($A658,observations_series_id_WPU0613020T_api_key_ecc133893ea92a842ee685c734246086_file[],3,FALSE),"")</f>
        <v>0.11738746690202995</v>
      </c>
      <c r="G658">
        <f>IFERROR(VLOOKUP($A658,observations_series_id_PCU22122212_api_key_ecc133893ea92a842ee685c734246086_file[],2,FALSE),"")</f>
        <v>105.4</v>
      </c>
      <c r="H658" s="2">
        <f>IFERROR(VLOOKUP($A658,observations_series_id_PCU22122212_api_key_ecc133893ea92a842ee685c734246086_file[],3,FALSE),"")</f>
        <v>5.1233396584440261E-2</v>
      </c>
      <c r="I658">
        <f>IFERROR(VLOOKUP($A658,observations_series_id_PCU3241913241910_api_key_ecc133893ea92a842ee685c734246086[],2,FALSE),"")</f>
        <v>469.4</v>
      </c>
      <c r="J658" s="2">
        <f>IFERROR(VLOOKUP($A658,observations_series_id_PCU3241913241910_api_key_ecc133893ea92a842ee685c734246086[],3,FALSE),"")</f>
        <v>0.89049850873455472</v>
      </c>
      <c r="K658">
        <f>IFERROR(VLOOKUP($A658,observations_series_id_EXJPUS_api_key_ecc133893ea92a842ee685c734246086_file_type[],2,FALSE),"")</f>
        <v>78.135300000000001</v>
      </c>
      <c r="L658" s="2">
        <f>IFERROR(VLOOKUP($A658,observations_series_id_EXJPUS_api_key_ecc133893ea92a842ee685c734246086_file_type[],3,FALSE),"")</f>
        <v>-3.582051902277203</v>
      </c>
      <c r="M658" t="str">
        <f>IFERROR(AVERAGEIFS(timeseries_access_key_fqeas14oitk235763mntlb1c0brnk9w3fenzqbk313q5kvxyf52kukw1pa[Value.LME-ZNC],timeseries_access_key_fqeas14oitk235763mntlb1c0brnk9w3fenzqbk313q5kvxyf52kukw1pa[Month],MONTH(Data!$A658),timeseries_access_key_fqeas14oitk235763mntlb1c0brnk9w3fenzqbk313q5kvxyf52kukw1pa[Year],YEAR(Data!$A658)),"")</f>
        <v/>
      </c>
      <c r="N658" s="2" t="str">
        <f>IFERROR(AVERAGEIFS(timeseries_access_key_fqeas14oitk235763mntlb1c0brnk9w3fenzqbk313q5kvxyf52kukw1pa[Column1],timeseries_access_key_fqeas14oitk235763mntlb1c0brnk9w3fenzqbk313q5kvxyf52kukw1pa[Month],MONTH(Data!$A658),timeseries_access_key_fqeas14oitk235763mntlb1c0brnk9w3fenzqbk313q5kvxyf52kukw1pa[Year],YEAR(Data!$A658)),"")</f>
        <v/>
      </c>
      <c r="O658" s="8" t="str">
        <f>IFERROR(VLOOKUP($A658,Text_1_2[[Text.1.1.3]:[Text.1.3]],2,FALSE),"")</f>
        <v/>
      </c>
      <c r="P658" s="2"/>
    </row>
    <row r="659" spans="1:16" x14ac:dyDescent="0.25">
      <c r="A659" s="1">
        <v>41183</v>
      </c>
      <c r="B659">
        <f>HLOOKUP(Dashboard!$I$27,results,ROW(A659),FALSE)</f>
        <v>6.367041198501866E-2</v>
      </c>
      <c r="C659">
        <f>IFERROR(VLOOKUP(A659,observations_series_id_PCU22112222112243_api_key_ecc133893ea92a842ee685c73424608[],2,FALSE),"")</f>
        <v>179.2</v>
      </c>
      <c r="D659" s="2">
        <f>IFERROR(VLOOKUP(A659,observations_series_id_PCU22112222112243_api_key_ecc133893ea92a842ee685c73424608[],3,FALSE),"")</f>
        <v>0.9029017857142857</v>
      </c>
      <c r="E659">
        <f>IFERROR(VLOOKUP($A659,observations_series_id_WPU0613020T_api_key_ecc133893ea92a842ee685c734246086_file[],2,FALSE),"")</f>
        <v>116.2</v>
      </c>
      <c r="F659" s="2">
        <f>IFERROR(VLOOKUP($A659,observations_series_id_WPU0613020T_api_key_ecc133893ea92a842ee685c734246086_file[],3,FALSE),"")</f>
        <v>0.13941480206540446</v>
      </c>
      <c r="G659">
        <f>IFERROR(VLOOKUP($A659,observations_series_id_PCU22122212_api_key_ecc133893ea92a842ee685c734246086_file[],2,FALSE),"")</f>
        <v>106.8</v>
      </c>
      <c r="H659" s="2">
        <f>IFERROR(VLOOKUP($A659,observations_series_id_PCU22122212_api_key_ecc133893ea92a842ee685c734246086_file[],3,FALSE),"")</f>
        <v>6.367041198501866E-2</v>
      </c>
      <c r="I659">
        <f>IFERROR(VLOOKUP($A659,observations_series_id_PCU3241913241910_api_key_ecc133893ea92a842ee685c734246086[],2,FALSE),"")</f>
        <v>468.9</v>
      </c>
      <c r="J659" s="2">
        <f>IFERROR(VLOOKUP($A659,observations_series_id_PCU3241913241910_api_key_ecc133893ea92a842ee685c734246086[],3,FALSE),"")</f>
        <v>0.890381744508424</v>
      </c>
      <c r="K659">
        <f>IFERROR(VLOOKUP($A659,observations_series_id_EXJPUS_api_key_ecc133893ea92a842ee685c734246086_file_type[],2,FALSE),"")</f>
        <v>79.013199999999998</v>
      </c>
      <c r="L659" s="2">
        <f>IFERROR(VLOOKUP($A659,observations_series_id_EXJPUS_api_key_ecc133893ea92a842ee685c734246086_file_type[],3,FALSE),"")</f>
        <v>-3.5311416320311038</v>
      </c>
      <c r="M659" t="str">
        <f>IFERROR(AVERAGEIFS(timeseries_access_key_fqeas14oitk235763mntlb1c0brnk9w3fenzqbk313q5kvxyf52kukw1pa[Value.LME-ZNC],timeseries_access_key_fqeas14oitk235763mntlb1c0brnk9w3fenzqbk313q5kvxyf52kukw1pa[Month],MONTH(Data!$A659),timeseries_access_key_fqeas14oitk235763mntlb1c0brnk9w3fenzqbk313q5kvxyf52kukw1pa[Year],YEAR(Data!$A659)),"")</f>
        <v/>
      </c>
      <c r="N659" s="2" t="str">
        <f>IFERROR(AVERAGEIFS(timeseries_access_key_fqeas14oitk235763mntlb1c0brnk9w3fenzqbk313q5kvxyf52kukw1pa[Column1],timeseries_access_key_fqeas14oitk235763mntlb1c0brnk9w3fenzqbk313q5kvxyf52kukw1pa[Month],MONTH(Data!$A659),timeseries_access_key_fqeas14oitk235763mntlb1c0brnk9w3fenzqbk313q5kvxyf52kukw1pa[Year],YEAR(Data!$A659)),"")</f>
        <v/>
      </c>
      <c r="O659" s="8">
        <f>IFERROR(VLOOKUP($A659,Text_1_2[[Text.1.1.3]:[Text.1.3]],2,FALSE),"")</f>
        <v>55800</v>
      </c>
      <c r="P659" s="2"/>
    </row>
    <row r="660" spans="1:16" x14ac:dyDescent="0.25">
      <c r="A660" s="1">
        <v>41214</v>
      </c>
      <c r="B660">
        <f>HLOOKUP(Dashboard!$I$27,results,ROW(A660),FALSE)</f>
        <v>0.10233393177737882</v>
      </c>
      <c r="C660">
        <f>IFERROR(VLOOKUP(A660,observations_series_id_PCU22112222112243_api_key_ecc133893ea92a842ee685c73424608[],2,FALSE),"")</f>
        <v>177.7</v>
      </c>
      <c r="D660" s="2">
        <f>IFERROR(VLOOKUP(A660,observations_series_id_PCU22112222112243_api_key_ecc133893ea92a842ee685c73424608[],3,FALSE),"")</f>
        <v>0.9020821609454136</v>
      </c>
      <c r="E660">
        <f>IFERROR(VLOOKUP($A660,observations_series_id_WPU0613020T_api_key_ecc133893ea92a842ee685c734246086_file[],2,FALSE),"")</f>
        <v>113.5</v>
      </c>
      <c r="F660" s="2">
        <f>IFERROR(VLOOKUP($A660,observations_series_id_WPU0613020T_api_key_ecc133893ea92a842ee685c734246086_file[],3,FALSE),"")</f>
        <v>0.11894273127753308</v>
      </c>
      <c r="G660">
        <f>IFERROR(VLOOKUP($A660,observations_series_id_PCU22122212_api_key_ecc133893ea92a842ee685c734246086_file[],2,FALSE),"")</f>
        <v>111.4</v>
      </c>
      <c r="H660" s="2">
        <f>IFERROR(VLOOKUP($A660,observations_series_id_PCU22122212_api_key_ecc133893ea92a842ee685c734246086_file[],3,FALSE),"")</f>
        <v>0.10233393177737882</v>
      </c>
      <c r="I660">
        <f>IFERROR(VLOOKUP($A660,observations_series_id_PCU3241913241910_api_key_ecc133893ea92a842ee685c734246086[],2,FALSE),"")</f>
        <v>467.8</v>
      </c>
      <c r="J660" s="2">
        <f>IFERROR(VLOOKUP($A660,observations_series_id_PCU3241913241910_api_key_ecc133893ea92a842ee685c734246086[],3,FALSE),"")</f>
        <v>0.89012398460880715</v>
      </c>
      <c r="K660">
        <f>IFERROR(VLOOKUP($A660,observations_series_id_EXJPUS_api_key_ecc133893ea92a842ee685c734246086_file_type[],2,FALSE),"")</f>
        <v>81.030500000000004</v>
      </c>
      <c r="L660" s="2">
        <f>IFERROR(VLOOKUP($A660,observations_series_id_EXJPUS_api_key_ecc133893ea92a842ee685c734246086_file_type[],3,FALSE),"")</f>
        <v>-3.4183363054652256</v>
      </c>
      <c r="M660" t="str">
        <f>IFERROR(AVERAGEIFS(timeseries_access_key_fqeas14oitk235763mntlb1c0brnk9w3fenzqbk313q5kvxyf52kukw1pa[Value.LME-ZNC],timeseries_access_key_fqeas14oitk235763mntlb1c0brnk9w3fenzqbk313q5kvxyf52kukw1pa[Month],MONTH(Data!$A660),timeseries_access_key_fqeas14oitk235763mntlb1c0brnk9w3fenzqbk313q5kvxyf52kukw1pa[Year],YEAR(Data!$A660)),"")</f>
        <v/>
      </c>
      <c r="N660" s="2" t="str">
        <f>IFERROR(AVERAGEIFS(timeseries_access_key_fqeas14oitk235763mntlb1c0brnk9w3fenzqbk313q5kvxyf52kukw1pa[Column1],timeseries_access_key_fqeas14oitk235763mntlb1c0brnk9w3fenzqbk313q5kvxyf52kukw1pa[Month],MONTH(Data!$A660),timeseries_access_key_fqeas14oitk235763mntlb1c0brnk9w3fenzqbk313q5kvxyf52kukw1pa[Year],YEAR(Data!$A660)),"")</f>
        <v/>
      </c>
      <c r="O660" s="8" t="str">
        <f>IFERROR(VLOOKUP($A660,Text_1_2[[Text.1.1.3]:[Text.1.3]],2,FALSE),"")</f>
        <v/>
      </c>
      <c r="P660" s="2"/>
    </row>
    <row r="661" spans="1:16" x14ac:dyDescent="0.25">
      <c r="A661" s="1">
        <v>41244</v>
      </c>
      <c r="B661">
        <f>HLOOKUP(Dashboard!$I$27,results,ROW(A661),FALSE)</f>
        <v>0.11347517730496448</v>
      </c>
      <c r="C661">
        <f>IFERROR(VLOOKUP(A661,observations_series_id_PCU22112222112243_api_key_ecc133893ea92a842ee685c73424608[],2,FALSE),"")</f>
        <v>178.9</v>
      </c>
      <c r="D661" s="2">
        <f>IFERROR(VLOOKUP(A661,observations_series_id_PCU22112222112243_api_key_ecc133893ea92a842ee685c73424608[],3,FALSE),"")</f>
        <v>0.90273896031302403</v>
      </c>
      <c r="E661">
        <f>IFERROR(VLOOKUP($A661,observations_series_id_WPU0613020T_api_key_ecc133893ea92a842ee685c734246086_file[],2,FALSE),"")</f>
        <v>112.7</v>
      </c>
      <c r="F661" s="2">
        <f>IFERROR(VLOOKUP($A661,observations_series_id_WPU0613020T_api_key_ecc133893ea92a842ee685c734246086_file[],3,FALSE),"")</f>
        <v>0.11268855368234254</v>
      </c>
      <c r="G661">
        <f>IFERROR(VLOOKUP($A661,observations_series_id_PCU22122212_api_key_ecc133893ea92a842ee685c734246086_file[],2,FALSE),"")</f>
        <v>112.8</v>
      </c>
      <c r="H661" s="2">
        <f>IFERROR(VLOOKUP($A661,observations_series_id_PCU22122212_api_key_ecc133893ea92a842ee685c734246086_file[],3,FALSE),"")</f>
        <v>0.11347517730496448</v>
      </c>
      <c r="I661">
        <f>IFERROR(VLOOKUP($A661,observations_series_id_PCU3241913241910_api_key_ecc133893ea92a842ee685c734246086[],2,FALSE),"")</f>
        <v>462.6</v>
      </c>
      <c r="J661" s="2">
        <f>IFERROR(VLOOKUP($A661,observations_series_id_PCU3241913241910_api_key_ecc133893ea92a842ee685c734246086[],3,FALSE),"")</f>
        <v>0.88888888888888884</v>
      </c>
      <c r="K661">
        <f>IFERROR(VLOOKUP($A661,observations_series_id_EXJPUS_api_key_ecc133893ea92a842ee685c734246086_file_type[],2,FALSE),"")</f>
        <v>83.790499999999994</v>
      </c>
      <c r="L661" s="2">
        <f>IFERROR(VLOOKUP($A661,observations_series_id_EXJPUS_api_key_ecc133893ea92a842ee685c734246086_file_type[],3,FALSE),"")</f>
        <v>-3.2727994223688848</v>
      </c>
      <c r="M661" t="str">
        <f>IFERROR(AVERAGEIFS(timeseries_access_key_fqeas14oitk235763mntlb1c0brnk9w3fenzqbk313q5kvxyf52kukw1pa[Value.LME-ZNC],timeseries_access_key_fqeas14oitk235763mntlb1c0brnk9w3fenzqbk313q5kvxyf52kukw1pa[Month],MONTH(Data!$A661),timeseries_access_key_fqeas14oitk235763mntlb1c0brnk9w3fenzqbk313q5kvxyf52kukw1pa[Year],YEAR(Data!$A661)),"")</f>
        <v/>
      </c>
      <c r="N661" s="2" t="str">
        <f>IFERROR(AVERAGEIFS(timeseries_access_key_fqeas14oitk235763mntlb1c0brnk9w3fenzqbk313q5kvxyf52kukw1pa[Column1],timeseries_access_key_fqeas14oitk235763mntlb1c0brnk9w3fenzqbk313q5kvxyf52kukw1pa[Month],MONTH(Data!$A661),timeseries_access_key_fqeas14oitk235763mntlb1c0brnk9w3fenzqbk313q5kvxyf52kukw1pa[Year],YEAR(Data!$A661)),"")</f>
        <v/>
      </c>
      <c r="O661" s="8" t="str">
        <f>IFERROR(VLOOKUP($A661,Text_1_2[[Text.1.1.3]:[Text.1.3]],2,FALSE),"")</f>
        <v/>
      </c>
      <c r="P661" s="2"/>
    </row>
    <row r="662" spans="1:16" x14ac:dyDescent="0.25">
      <c r="A662" s="1">
        <v>41275</v>
      </c>
      <c r="B662">
        <f>HLOOKUP(Dashboard!$I$27,results,ROW(A662),FALSE)</f>
        <v>0.10952804986642917</v>
      </c>
      <c r="C662">
        <f>IFERROR(VLOOKUP(A662,observations_series_id_PCU22112222112243_api_key_ecc133893ea92a842ee685c73424608[],2,FALSE),"")</f>
        <v>166.2</v>
      </c>
      <c r="D662" s="2">
        <f>IFERROR(VLOOKUP(A662,observations_series_id_PCU22112222112243_api_key_ecc133893ea92a842ee685c73424608[],3,FALSE),"")</f>
        <v>0.89530685920577613</v>
      </c>
      <c r="E662">
        <f>IFERROR(VLOOKUP($A662,observations_series_id_WPU0613020T_api_key_ecc133893ea92a842ee685c734246086_file[],2,FALSE),"")</f>
        <v>112.7</v>
      </c>
      <c r="F662" s="2">
        <f>IFERROR(VLOOKUP($A662,observations_series_id_WPU0613020T_api_key_ecc133893ea92a842ee685c734246086_file[],3,FALSE),"")</f>
        <v>0.11268855368234254</v>
      </c>
      <c r="G662">
        <f>IFERROR(VLOOKUP($A662,observations_series_id_PCU22122212_api_key_ecc133893ea92a842ee685c734246086_file[],2,FALSE),"")</f>
        <v>112.3</v>
      </c>
      <c r="H662" s="2">
        <f>IFERROR(VLOOKUP($A662,observations_series_id_PCU22122212_api_key_ecc133893ea92a842ee685c734246086_file[],3,FALSE),"")</f>
        <v>0.10952804986642917</v>
      </c>
      <c r="I662">
        <f>IFERROR(VLOOKUP($A662,observations_series_id_PCU3241913241910_api_key_ecc133893ea92a842ee685c734246086[],2,FALSE),"")</f>
        <v>456.3</v>
      </c>
      <c r="J662" s="2">
        <f>IFERROR(VLOOKUP($A662,observations_series_id_PCU3241913241910_api_key_ecc133893ea92a842ee685c734246086[],3,FALSE),"")</f>
        <v>0.88735481043173348</v>
      </c>
      <c r="K662">
        <f>IFERROR(VLOOKUP($A662,observations_series_id_EXJPUS_api_key_ecc133893ea92a842ee685c734246086_file_type[],2,FALSE),"")</f>
        <v>89.058099999999996</v>
      </c>
      <c r="L662" s="2">
        <f>IFERROR(VLOOKUP($A662,observations_series_id_EXJPUS_api_key_ecc133893ea92a842ee685c734246086_file_type[],3,FALSE),"")</f>
        <v>-3.0200722898871639</v>
      </c>
      <c r="M662" t="str">
        <f>IFERROR(AVERAGEIFS(timeseries_access_key_fqeas14oitk235763mntlb1c0brnk9w3fenzqbk313q5kvxyf52kukw1pa[Value.LME-ZNC],timeseries_access_key_fqeas14oitk235763mntlb1c0brnk9w3fenzqbk313q5kvxyf52kukw1pa[Month],MONTH(Data!$A662),timeseries_access_key_fqeas14oitk235763mntlb1c0brnk9w3fenzqbk313q5kvxyf52kukw1pa[Year],YEAR(Data!$A662)),"")</f>
        <v/>
      </c>
      <c r="N662" s="2" t="str">
        <f>IFERROR(AVERAGEIFS(timeseries_access_key_fqeas14oitk235763mntlb1c0brnk9w3fenzqbk313q5kvxyf52kukw1pa[Column1],timeseries_access_key_fqeas14oitk235763mntlb1c0brnk9w3fenzqbk313q5kvxyf52kukw1pa[Month],MONTH(Data!$A662),timeseries_access_key_fqeas14oitk235763mntlb1c0brnk9w3fenzqbk313q5kvxyf52kukw1pa[Year],YEAR(Data!$A662)),"")</f>
        <v/>
      </c>
      <c r="O662" s="8">
        <f>IFERROR(VLOOKUP($A662,Text_1_2[[Text.1.1.3]:[Text.1.3]],2,FALSE),"")</f>
        <v>63800</v>
      </c>
      <c r="P662" s="2"/>
    </row>
    <row r="663" spans="1:16" x14ac:dyDescent="0.25">
      <c r="A663" s="1">
        <v>41306</v>
      </c>
      <c r="B663">
        <f>HLOOKUP(Dashboard!$I$27,results,ROW(A663),FALSE)</f>
        <v>0.11190053285968027</v>
      </c>
      <c r="C663">
        <f>IFERROR(VLOOKUP(A663,observations_series_id_PCU22112222112243_api_key_ecc133893ea92a842ee685c73424608[],2,FALSE),"")</f>
        <v>166.3</v>
      </c>
      <c r="D663" s="2">
        <f>IFERROR(VLOOKUP(A663,observations_series_id_PCU22112222112243_api_key_ecc133893ea92a842ee685c73424608[],3,FALSE),"")</f>
        <v>0.89536981358989776</v>
      </c>
      <c r="E663">
        <f>IFERROR(VLOOKUP($A663,observations_series_id_WPU0613020T_api_key_ecc133893ea92a842ee685c734246086_file[],2,FALSE),"")</f>
        <v>112.5</v>
      </c>
      <c r="F663" s="2">
        <f>IFERROR(VLOOKUP($A663,observations_series_id_WPU0613020T_api_key_ecc133893ea92a842ee685c734246086_file[],3,FALSE),"")</f>
        <v>0.11111111111111116</v>
      </c>
      <c r="G663">
        <f>IFERROR(VLOOKUP($A663,observations_series_id_PCU22122212_api_key_ecc133893ea92a842ee685c734246086_file[],2,FALSE),"")</f>
        <v>112.6</v>
      </c>
      <c r="H663" s="2">
        <f>IFERROR(VLOOKUP($A663,observations_series_id_PCU22122212_api_key_ecc133893ea92a842ee685c734246086_file[],3,FALSE),"")</f>
        <v>0.11190053285968027</v>
      </c>
      <c r="I663">
        <f>IFERROR(VLOOKUP($A663,observations_series_id_PCU3241913241910_api_key_ecc133893ea92a842ee685c734246086[],2,FALSE),"")</f>
        <v>454.6</v>
      </c>
      <c r="J663" s="2">
        <f>IFERROR(VLOOKUP($A663,observations_series_id_PCU3241913241910_api_key_ecc133893ea92a842ee685c734246086[],3,FALSE),"")</f>
        <v>0.88693356797184342</v>
      </c>
      <c r="K663">
        <f>IFERROR(VLOOKUP($A663,observations_series_id_EXJPUS_api_key_ecc133893ea92a842ee685c734246086_file_type[],2,FALSE),"")</f>
        <v>93.001599999999996</v>
      </c>
      <c r="L663" s="2">
        <f>IFERROR(VLOOKUP($A663,observations_series_id_EXJPUS_api_key_ecc133893ea92a842ee685c734246086_file_type[],3,FALSE),"")</f>
        <v>-2.8496111894849121</v>
      </c>
      <c r="M663" t="str">
        <f>IFERROR(AVERAGEIFS(timeseries_access_key_fqeas14oitk235763mntlb1c0brnk9w3fenzqbk313q5kvxyf52kukw1pa[Value.LME-ZNC],timeseries_access_key_fqeas14oitk235763mntlb1c0brnk9w3fenzqbk313q5kvxyf52kukw1pa[Month],MONTH(Data!$A663),timeseries_access_key_fqeas14oitk235763mntlb1c0brnk9w3fenzqbk313q5kvxyf52kukw1pa[Year],YEAR(Data!$A663)),"")</f>
        <v/>
      </c>
      <c r="N663" s="2" t="str">
        <f>IFERROR(AVERAGEIFS(timeseries_access_key_fqeas14oitk235763mntlb1c0brnk9w3fenzqbk313q5kvxyf52kukw1pa[Column1],timeseries_access_key_fqeas14oitk235763mntlb1c0brnk9w3fenzqbk313q5kvxyf52kukw1pa[Month],MONTH(Data!$A663),timeseries_access_key_fqeas14oitk235763mntlb1c0brnk9w3fenzqbk313q5kvxyf52kukw1pa[Year],YEAR(Data!$A663)),"")</f>
        <v/>
      </c>
      <c r="O663" s="8" t="str">
        <f>IFERROR(VLOOKUP($A663,Text_1_2[[Text.1.1.3]:[Text.1.3]],2,FALSE),"")</f>
        <v/>
      </c>
      <c r="P663" s="2"/>
    </row>
    <row r="664" spans="1:16" x14ac:dyDescent="0.25">
      <c r="A664" s="1">
        <v>41334</v>
      </c>
      <c r="B664">
        <f>HLOOKUP(Dashboard!$I$27,results,ROW(A664),FALSE)</f>
        <v>0.10554561717352418</v>
      </c>
      <c r="C664">
        <f>IFERROR(VLOOKUP(A664,observations_series_id_PCU22112222112243_api_key_ecc133893ea92a842ee685c73424608[],2,FALSE),"")</f>
        <v>166</v>
      </c>
      <c r="D664" s="2">
        <f>IFERROR(VLOOKUP(A664,observations_series_id_PCU22112222112243_api_key_ecc133893ea92a842ee685c73424608[],3,FALSE),"")</f>
        <v>0.89518072289156625</v>
      </c>
      <c r="E664">
        <f>IFERROR(VLOOKUP($A664,observations_series_id_WPU0613020T_api_key_ecc133893ea92a842ee685c734246086_file[],2,FALSE),"")</f>
        <v>112.8</v>
      </c>
      <c r="F664" s="2">
        <f>IFERROR(VLOOKUP($A664,observations_series_id_WPU0613020T_api_key_ecc133893ea92a842ee685c734246086_file[],3,FALSE),"")</f>
        <v>0.11347517730496448</v>
      </c>
      <c r="G664">
        <f>IFERROR(VLOOKUP($A664,observations_series_id_PCU22122212_api_key_ecc133893ea92a842ee685c734246086_file[],2,FALSE),"")</f>
        <v>111.8</v>
      </c>
      <c r="H664" s="2">
        <f>IFERROR(VLOOKUP($A664,observations_series_id_PCU22122212_api_key_ecc133893ea92a842ee685c734246086_file[],3,FALSE),"")</f>
        <v>0.10554561717352418</v>
      </c>
      <c r="I664">
        <f>IFERROR(VLOOKUP($A664,observations_series_id_PCU3241913241910_api_key_ecc133893ea92a842ee685c734246086[],2,FALSE),"")</f>
        <v>453.6</v>
      </c>
      <c r="J664" s="2">
        <f>IFERROR(VLOOKUP($A664,observations_series_id_PCU3241913241910_api_key_ecc133893ea92a842ee685c734246086[],3,FALSE),"")</f>
        <v>0.88668430335097004</v>
      </c>
      <c r="K664">
        <f>IFERROR(VLOOKUP($A664,observations_series_id_EXJPUS_api_key_ecc133893ea92a842ee685c734246086_file_type[],2,FALSE),"")</f>
        <v>94.77</v>
      </c>
      <c r="L664" s="2">
        <f>IFERROR(VLOOKUP($A664,observations_series_id_EXJPUS_api_key_ecc133893ea92a842ee685c734246086_file_type[],3,FALSE),"")</f>
        <v>-2.7777777777777777</v>
      </c>
      <c r="M664" t="str">
        <f>IFERROR(AVERAGEIFS(timeseries_access_key_fqeas14oitk235763mntlb1c0brnk9w3fenzqbk313q5kvxyf52kukw1pa[Value.LME-ZNC],timeseries_access_key_fqeas14oitk235763mntlb1c0brnk9w3fenzqbk313q5kvxyf52kukw1pa[Month],MONTH(Data!$A664),timeseries_access_key_fqeas14oitk235763mntlb1c0brnk9w3fenzqbk313q5kvxyf52kukw1pa[Year],YEAR(Data!$A664)),"")</f>
        <v/>
      </c>
      <c r="N664" s="2" t="str">
        <f>IFERROR(AVERAGEIFS(timeseries_access_key_fqeas14oitk235763mntlb1c0brnk9w3fenzqbk313q5kvxyf52kukw1pa[Column1],timeseries_access_key_fqeas14oitk235763mntlb1c0brnk9w3fenzqbk313q5kvxyf52kukw1pa[Month],MONTH(Data!$A664),timeseries_access_key_fqeas14oitk235763mntlb1c0brnk9w3fenzqbk313q5kvxyf52kukw1pa[Year],YEAR(Data!$A664)),"")</f>
        <v/>
      </c>
      <c r="O664" s="8" t="str">
        <f>IFERROR(VLOOKUP($A664,Text_1_2[[Text.1.1.3]:[Text.1.3]],2,FALSE),"")</f>
        <v/>
      </c>
      <c r="P664" s="2"/>
    </row>
    <row r="665" spans="1:16" x14ac:dyDescent="0.25">
      <c r="A665" s="1">
        <v>41365</v>
      </c>
      <c r="B665">
        <f>HLOOKUP(Dashboard!$I$27,results,ROW(A665),FALSE)</f>
        <v>0.13644214162348878</v>
      </c>
      <c r="C665">
        <f>IFERROR(VLOOKUP(A665,observations_series_id_PCU22112222112243_api_key_ecc133893ea92a842ee685c73424608[],2,FALSE),"")</f>
        <v>165.8</v>
      </c>
      <c r="D665" s="2">
        <f>IFERROR(VLOOKUP(A665,observations_series_id_PCU22112222112243_api_key_ecc133893ea92a842ee685c73424608[],3,FALSE),"")</f>
        <v>0.89505428226779249</v>
      </c>
      <c r="E665">
        <f>IFERROR(VLOOKUP($A665,observations_series_id_WPU0613020T_api_key_ecc133893ea92a842ee685c734246086_file[],2,FALSE),"")</f>
        <v>112.4</v>
      </c>
      <c r="F665" s="2">
        <f>IFERROR(VLOOKUP($A665,observations_series_id_WPU0613020T_api_key_ecc133893ea92a842ee685c734246086_file[],3,FALSE),"")</f>
        <v>0.11032028469750899</v>
      </c>
      <c r="G665">
        <f>IFERROR(VLOOKUP($A665,observations_series_id_PCU22122212_api_key_ecc133893ea92a842ee685c734246086_file[],2,FALSE),"")</f>
        <v>115.8</v>
      </c>
      <c r="H665" s="2">
        <f>IFERROR(VLOOKUP($A665,observations_series_id_PCU22122212_api_key_ecc133893ea92a842ee685c734246086_file[],3,FALSE),"")</f>
        <v>0.13644214162348878</v>
      </c>
      <c r="I665">
        <f>IFERROR(VLOOKUP($A665,observations_series_id_PCU3241913241910_api_key_ecc133893ea92a842ee685c734246086[],2,FALSE),"")</f>
        <v>454.5</v>
      </c>
      <c r="J665" s="2">
        <f>IFERROR(VLOOKUP($A665,observations_series_id_PCU3241913241910_api_key_ecc133893ea92a842ee685c734246086[],3,FALSE),"")</f>
        <v>0.88690869086908686</v>
      </c>
      <c r="K665">
        <f>IFERROR(VLOOKUP($A665,observations_series_id_EXJPUS_api_key_ecc133893ea92a842ee685c734246086_file_type[],2,FALSE),"")</f>
        <v>97.758200000000002</v>
      </c>
      <c r="L665" s="2">
        <f>IFERROR(VLOOKUP($A665,observations_series_id_EXJPUS_api_key_ecc133893ea92a842ee685c734246086_file_type[],3,FALSE),"")</f>
        <v>-2.6623014744543165</v>
      </c>
      <c r="M665" t="str">
        <f>IFERROR(AVERAGEIFS(timeseries_access_key_fqeas14oitk235763mntlb1c0brnk9w3fenzqbk313q5kvxyf52kukw1pa[Value.LME-ZNC],timeseries_access_key_fqeas14oitk235763mntlb1c0brnk9w3fenzqbk313q5kvxyf52kukw1pa[Month],MONTH(Data!$A665),timeseries_access_key_fqeas14oitk235763mntlb1c0brnk9w3fenzqbk313q5kvxyf52kukw1pa[Year],YEAR(Data!$A665)),"")</f>
        <v/>
      </c>
      <c r="N665" s="2" t="str">
        <f>IFERROR(AVERAGEIFS(timeseries_access_key_fqeas14oitk235763mntlb1c0brnk9w3fenzqbk313q5kvxyf52kukw1pa[Column1],timeseries_access_key_fqeas14oitk235763mntlb1c0brnk9w3fenzqbk313q5kvxyf52kukw1pa[Month],MONTH(Data!$A665),timeseries_access_key_fqeas14oitk235763mntlb1c0brnk9w3fenzqbk313q5kvxyf52kukw1pa[Year],YEAR(Data!$A665)),"")</f>
        <v/>
      </c>
      <c r="O665" s="8">
        <f>IFERROR(VLOOKUP($A665,Text_1_2[[Text.1.1.3]:[Text.1.3]],2,FALSE),"")</f>
        <v>65500</v>
      </c>
      <c r="P665" s="2"/>
    </row>
    <row r="666" spans="1:16" x14ac:dyDescent="0.25">
      <c r="A666" s="1">
        <v>41395</v>
      </c>
      <c r="B666">
        <f>HLOOKUP(Dashboard!$I$27,results,ROW(A666),FALSE)</f>
        <v>0.14748508098891733</v>
      </c>
      <c r="C666">
        <f>IFERROR(VLOOKUP(A666,observations_series_id_PCU22112222112243_api_key_ecc133893ea92a842ee685c73424608[],2,FALSE),"")</f>
        <v>169.7</v>
      </c>
      <c r="D666" s="2">
        <f>IFERROR(VLOOKUP(A666,observations_series_id_PCU22112222112243_api_key_ecc133893ea92a842ee685c73424608[],3,FALSE),"")</f>
        <v>0.8974661166764879</v>
      </c>
      <c r="E666">
        <f>IFERROR(VLOOKUP($A666,observations_series_id_WPU0613020T_api_key_ecc133893ea92a842ee685c734246086_file[],2,FALSE),"")</f>
        <v>113.3</v>
      </c>
      <c r="F666" s="2">
        <f>IFERROR(VLOOKUP($A666,observations_series_id_WPU0613020T_api_key_ecc133893ea92a842ee685c734246086_file[],3,FALSE),"")</f>
        <v>0.11738746690202995</v>
      </c>
      <c r="G666">
        <f>IFERROR(VLOOKUP($A666,observations_series_id_PCU22122212_api_key_ecc133893ea92a842ee685c734246086_file[],2,FALSE),"")</f>
        <v>117.3</v>
      </c>
      <c r="H666" s="2">
        <f>IFERROR(VLOOKUP($A666,observations_series_id_PCU22122212_api_key_ecc133893ea92a842ee685c734246086_file[],3,FALSE),"")</f>
        <v>0.14748508098891733</v>
      </c>
      <c r="I666">
        <f>IFERROR(VLOOKUP($A666,observations_series_id_PCU3241913241910_api_key_ecc133893ea92a842ee685c734246086[],2,FALSE),"")</f>
        <v>454.3</v>
      </c>
      <c r="J666" s="2">
        <f>IFERROR(VLOOKUP($A666,observations_series_id_PCU3241913241910_api_key_ecc133893ea92a842ee685c734246086[],3,FALSE),"")</f>
        <v>0.88685890380805632</v>
      </c>
      <c r="K666">
        <f>IFERROR(VLOOKUP($A666,observations_series_id_EXJPUS_api_key_ecc133893ea92a842ee685c734246086_file_type[],2,FALSE),"")</f>
        <v>100.9186</v>
      </c>
      <c r="L666" s="2">
        <f>IFERROR(VLOOKUP($A666,observations_series_id_EXJPUS_api_key_ecc133893ea92a842ee685c734246086_file_type[],3,FALSE),"")</f>
        <v>-2.5476116394797392</v>
      </c>
      <c r="M666" t="str">
        <f>IFERROR(AVERAGEIFS(timeseries_access_key_fqeas14oitk235763mntlb1c0brnk9w3fenzqbk313q5kvxyf52kukw1pa[Value.LME-ZNC],timeseries_access_key_fqeas14oitk235763mntlb1c0brnk9w3fenzqbk313q5kvxyf52kukw1pa[Month],MONTH(Data!$A666),timeseries_access_key_fqeas14oitk235763mntlb1c0brnk9w3fenzqbk313q5kvxyf52kukw1pa[Year],YEAR(Data!$A666)),"")</f>
        <v/>
      </c>
      <c r="N666" s="2" t="str">
        <f>IFERROR(AVERAGEIFS(timeseries_access_key_fqeas14oitk235763mntlb1c0brnk9w3fenzqbk313q5kvxyf52kukw1pa[Column1],timeseries_access_key_fqeas14oitk235763mntlb1c0brnk9w3fenzqbk313q5kvxyf52kukw1pa[Month],MONTH(Data!$A666),timeseries_access_key_fqeas14oitk235763mntlb1c0brnk9w3fenzqbk313q5kvxyf52kukw1pa[Year],YEAR(Data!$A666)),"")</f>
        <v/>
      </c>
      <c r="O666" s="8" t="str">
        <f>IFERROR(VLOOKUP($A666,Text_1_2[[Text.1.1.3]:[Text.1.3]],2,FALSE),"")</f>
        <v/>
      </c>
      <c r="P666" s="2"/>
    </row>
    <row r="667" spans="1:16" x14ac:dyDescent="0.25">
      <c r="A667" s="1">
        <v>41426</v>
      </c>
      <c r="B667">
        <f>HLOOKUP(Dashboard!$I$27,results,ROW(A667),FALSE)</f>
        <v>0.14821124361158433</v>
      </c>
      <c r="C667">
        <f>IFERROR(VLOOKUP(A667,observations_series_id_PCU22112222112243_api_key_ecc133893ea92a842ee685c73424608[],2,FALSE),"")</f>
        <v>176.6</v>
      </c>
      <c r="D667" s="2">
        <f>IFERROR(VLOOKUP(A667,observations_series_id_PCU22112222112243_api_key_ecc133893ea92a842ee685c73424608[],3,FALSE),"")</f>
        <v>0.90147225368063422</v>
      </c>
      <c r="E667">
        <f>IFERROR(VLOOKUP($A667,observations_series_id_WPU0613020T_api_key_ecc133893ea92a842ee685c734246086_file[],2,FALSE),"")</f>
        <v>111.8</v>
      </c>
      <c r="F667" s="2">
        <f>IFERROR(VLOOKUP($A667,observations_series_id_WPU0613020T_api_key_ecc133893ea92a842ee685c734246086_file[],3,FALSE),"")</f>
        <v>0.10554561717352418</v>
      </c>
      <c r="G667">
        <f>IFERROR(VLOOKUP($A667,observations_series_id_PCU22122212_api_key_ecc133893ea92a842ee685c734246086_file[],2,FALSE),"")</f>
        <v>117.4</v>
      </c>
      <c r="H667" s="2">
        <f>IFERROR(VLOOKUP($A667,observations_series_id_PCU22122212_api_key_ecc133893ea92a842ee685c734246086_file[],3,FALSE),"")</f>
        <v>0.14821124361158433</v>
      </c>
      <c r="I667">
        <f>IFERROR(VLOOKUP($A667,observations_series_id_PCU3241913241910_api_key_ecc133893ea92a842ee685c734246086[],2,FALSE),"")</f>
        <v>457.3</v>
      </c>
      <c r="J667" s="2">
        <f>IFERROR(VLOOKUP($A667,observations_series_id_PCU3241913241910_api_key_ecc133893ea92a842ee685c734246086[],3,FALSE),"")</f>
        <v>0.8876011371091187</v>
      </c>
      <c r="K667">
        <f>IFERROR(VLOOKUP($A667,observations_series_id_EXJPUS_api_key_ecc133893ea92a842ee685c734246086_file_type[],2,FALSE),"")</f>
        <v>97.234999999999999</v>
      </c>
      <c r="L667" s="2">
        <f>IFERROR(VLOOKUP($A667,observations_series_id_EXJPUS_api_key_ecc133893ea92a842ee685c734246086_file_type[],3,FALSE),"")</f>
        <v>-2.6820075075847174</v>
      </c>
      <c r="M667" t="str">
        <f>IFERROR(AVERAGEIFS(timeseries_access_key_fqeas14oitk235763mntlb1c0brnk9w3fenzqbk313q5kvxyf52kukw1pa[Value.LME-ZNC],timeseries_access_key_fqeas14oitk235763mntlb1c0brnk9w3fenzqbk313q5kvxyf52kukw1pa[Month],MONTH(Data!$A667),timeseries_access_key_fqeas14oitk235763mntlb1c0brnk9w3fenzqbk313q5kvxyf52kukw1pa[Year],YEAR(Data!$A667)),"")</f>
        <v/>
      </c>
      <c r="N667" s="2" t="str">
        <f>IFERROR(AVERAGEIFS(timeseries_access_key_fqeas14oitk235763mntlb1c0brnk9w3fenzqbk313q5kvxyf52kukw1pa[Column1],timeseries_access_key_fqeas14oitk235763mntlb1c0brnk9w3fenzqbk313q5kvxyf52kukw1pa[Month],MONTH(Data!$A667),timeseries_access_key_fqeas14oitk235763mntlb1c0brnk9w3fenzqbk313q5kvxyf52kukw1pa[Year],YEAR(Data!$A667)),"")</f>
        <v/>
      </c>
      <c r="O667" s="8" t="str">
        <f>IFERROR(VLOOKUP($A667,Text_1_2[[Text.1.1.3]:[Text.1.3]],2,FALSE),"")</f>
        <v/>
      </c>
      <c r="P667" s="2"/>
    </row>
    <row r="668" spans="1:16" x14ac:dyDescent="0.25">
      <c r="A668" s="1">
        <v>41456</v>
      </c>
      <c r="B668">
        <f>HLOOKUP(Dashboard!$I$27,results,ROW(A668),FALSE)</f>
        <v>0.13494809688581311</v>
      </c>
      <c r="C668">
        <f>IFERROR(VLOOKUP(A668,observations_series_id_PCU22112222112243_api_key_ecc133893ea92a842ee685c73424608[],2,FALSE),"")</f>
        <v>176</v>
      </c>
      <c r="D668" s="2">
        <f>IFERROR(VLOOKUP(A668,observations_series_id_PCU22112222112243_api_key_ecc133893ea92a842ee685c73424608[],3,FALSE),"")</f>
        <v>0.90113636363636362</v>
      </c>
      <c r="E668">
        <f>IFERROR(VLOOKUP($A668,observations_series_id_WPU0613020T_api_key_ecc133893ea92a842ee685c734246086_file[],2,FALSE),"")</f>
        <v>111.1</v>
      </c>
      <c r="F668" s="2">
        <f>IFERROR(VLOOKUP($A668,observations_series_id_WPU0613020T_api_key_ecc133893ea92a842ee685c734246086_file[],3,FALSE),"")</f>
        <v>9.9909990999099918E-2</v>
      </c>
      <c r="G668">
        <f>IFERROR(VLOOKUP($A668,observations_series_id_PCU22122212_api_key_ecc133893ea92a842ee685c734246086_file[],2,FALSE),"")</f>
        <v>115.6</v>
      </c>
      <c r="H668" s="2">
        <f>IFERROR(VLOOKUP($A668,observations_series_id_PCU22122212_api_key_ecc133893ea92a842ee685c734246086_file[],3,FALSE),"")</f>
        <v>0.13494809688581311</v>
      </c>
      <c r="I668">
        <f>IFERROR(VLOOKUP($A668,observations_series_id_PCU3241913241910_api_key_ecc133893ea92a842ee685c734246086[],2,FALSE),"")</f>
        <v>456</v>
      </c>
      <c r="J668" s="2">
        <f>IFERROR(VLOOKUP($A668,observations_series_id_PCU3241913241910_api_key_ecc133893ea92a842ee685c734246086[],3,FALSE),"")</f>
        <v>0.887280701754386</v>
      </c>
      <c r="K668">
        <f>IFERROR(VLOOKUP($A668,observations_series_id_EXJPUS_api_key_ecc133893ea92a842ee685c734246086_file_type[],2,FALSE),"")</f>
        <v>99.672700000000006</v>
      </c>
      <c r="L668" s="2">
        <f>IFERROR(VLOOKUP($A668,observations_series_id_EXJPUS_api_key_ecc133893ea92a842ee685c734246086_file_type[],3,FALSE),"")</f>
        <v>-2.591956473537889</v>
      </c>
      <c r="M668" t="str">
        <f>IFERROR(AVERAGEIFS(timeseries_access_key_fqeas14oitk235763mntlb1c0brnk9w3fenzqbk313q5kvxyf52kukw1pa[Value.LME-ZNC],timeseries_access_key_fqeas14oitk235763mntlb1c0brnk9w3fenzqbk313q5kvxyf52kukw1pa[Month],MONTH(Data!$A668),timeseries_access_key_fqeas14oitk235763mntlb1c0brnk9w3fenzqbk313q5kvxyf52kukw1pa[Year],YEAR(Data!$A668)),"")</f>
        <v/>
      </c>
      <c r="N668" s="2" t="str">
        <f>IFERROR(AVERAGEIFS(timeseries_access_key_fqeas14oitk235763mntlb1c0brnk9w3fenzqbk313q5kvxyf52kukw1pa[Column1],timeseries_access_key_fqeas14oitk235763mntlb1c0brnk9w3fenzqbk313q5kvxyf52kukw1pa[Month],MONTH(Data!$A668),timeseries_access_key_fqeas14oitk235763mntlb1c0brnk9w3fenzqbk313q5kvxyf52kukw1pa[Year],YEAR(Data!$A668)),"")</f>
        <v/>
      </c>
      <c r="O668" s="8">
        <f>IFERROR(VLOOKUP($A668,Text_1_2[[Text.1.1.3]:[Text.1.3]],2,FALSE),"")</f>
        <v>63900</v>
      </c>
      <c r="P668" s="2"/>
    </row>
    <row r="669" spans="1:16" x14ac:dyDescent="0.25">
      <c r="A669" s="1">
        <v>41487</v>
      </c>
      <c r="B669">
        <f>HLOOKUP(Dashboard!$I$27,results,ROW(A669),FALSE)</f>
        <v>0.11660777385159016</v>
      </c>
      <c r="C669">
        <f>IFERROR(VLOOKUP(A669,observations_series_id_PCU22112222112243_api_key_ecc133893ea92a842ee685c73424608[],2,FALSE),"")</f>
        <v>175.2</v>
      </c>
      <c r="D669" s="2">
        <f>IFERROR(VLOOKUP(A669,observations_series_id_PCU22112222112243_api_key_ecc133893ea92a842ee685c73424608[],3,FALSE),"")</f>
        <v>0.90068493150684936</v>
      </c>
      <c r="E669">
        <f>IFERROR(VLOOKUP($A669,observations_series_id_WPU0613020T_api_key_ecc133893ea92a842ee685c734246086_file[],2,FALSE),"")</f>
        <v>109.5</v>
      </c>
      <c r="F669" s="2">
        <f>IFERROR(VLOOKUP($A669,observations_series_id_WPU0613020T_api_key_ecc133893ea92a842ee685c734246086_file[],3,FALSE),"")</f>
        <v>8.6757990867579959E-2</v>
      </c>
      <c r="G669">
        <f>IFERROR(VLOOKUP($A669,observations_series_id_PCU22122212_api_key_ecc133893ea92a842ee685c734246086_file[],2,FALSE),"")</f>
        <v>113.2</v>
      </c>
      <c r="H669" s="2">
        <f>IFERROR(VLOOKUP($A669,observations_series_id_PCU22122212_api_key_ecc133893ea92a842ee685c734246086_file[],3,FALSE),"")</f>
        <v>0.11660777385159016</v>
      </c>
      <c r="I669">
        <f>IFERROR(VLOOKUP($A669,observations_series_id_PCU3241913241910_api_key_ecc133893ea92a842ee685c734246086[],2,FALSE),"")</f>
        <v>447.4</v>
      </c>
      <c r="J669" s="2">
        <f>IFERROR(VLOOKUP($A669,observations_series_id_PCU3241913241910_api_key_ecc133893ea92a842ee685c734246086[],3,FALSE),"")</f>
        <v>0.88511399195350915</v>
      </c>
      <c r="K669">
        <f>IFERROR(VLOOKUP($A669,observations_series_id_EXJPUS_api_key_ecc133893ea92a842ee685c734246086_file_type[],2,FALSE),"")</f>
        <v>97.812299999999993</v>
      </c>
      <c r="L669" s="2">
        <f>IFERROR(VLOOKUP($A669,observations_series_id_EXJPUS_api_key_ecc133893ea92a842ee685c734246086_file_type[],3,FALSE),"")</f>
        <v>-2.6602758548771472</v>
      </c>
      <c r="M669" t="str">
        <f>IFERROR(AVERAGEIFS(timeseries_access_key_fqeas14oitk235763mntlb1c0brnk9w3fenzqbk313q5kvxyf52kukw1pa[Value.LME-ZNC],timeseries_access_key_fqeas14oitk235763mntlb1c0brnk9w3fenzqbk313q5kvxyf52kukw1pa[Month],MONTH(Data!$A669),timeseries_access_key_fqeas14oitk235763mntlb1c0brnk9w3fenzqbk313q5kvxyf52kukw1pa[Year],YEAR(Data!$A669)),"")</f>
        <v/>
      </c>
      <c r="N669" s="2" t="str">
        <f>IFERROR(AVERAGEIFS(timeseries_access_key_fqeas14oitk235763mntlb1c0brnk9w3fenzqbk313q5kvxyf52kukw1pa[Column1],timeseries_access_key_fqeas14oitk235763mntlb1c0brnk9w3fenzqbk313q5kvxyf52kukw1pa[Month],MONTH(Data!$A669),timeseries_access_key_fqeas14oitk235763mntlb1c0brnk9w3fenzqbk313q5kvxyf52kukw1pa[Year],YEAR(Data!$A669)),"")</f>
        <v/>
      </c>
      <c r="O669" s="8" t="str">
        <f>IFERROR(VLOOKUP($A669,Text_1_2[[Text.1.1.3]:[Text.1.3]],2,FALSE),"")</f>
        <v/>
      </c>
      <c r="P669" s="2"/>
    </row>
    <row r="670" spans="1:16" x14ac:dyDescent="0.25">
      <c r="A670" s="1">
        <v>41518</v>
      </c>
      <c r="B670">
        <f>HLOOKUP(Dashboard!$I$27,results,ROW(A670),FALSE)</f>
        <v>0.11347517730496448</v>
      </c>
      <c r="C670">
        <f>IFERROR(VLOOKUP(A670,observations_series_id_PCU22112222112243_api_key_ecc133893ea92a842ee685c73424608[],2,FALSE),"")</f>
        <v>175.2</v>
      </c>
      <c r="D670" s="2">
        <f>IFERROR(VLOOKUP(A670,observations_series_id_PCU22112222112243_api_key_ecc133893ea92a842ee685c73424608[],3,FALSE),"")</f>
        <v>0.90068493150684936</v>
      </c>
      <c r="E670">
        <f>IFERROR(VLOOKUP($A670,observations_series_id_WPU0613020T_api_key_ecc133893ea92a842ee685c734246086_file[],2,FALSE),"")</f>
        <v>110.7</v>
      </c>
      <c r="F670" s="2">
        <f>IFERROR(VLOOKUP($A670,observations_series_id_WPU0613020T_api_key_ecc133893ea92a842ee685c734246086_file[],3,FALSE),"")</f>
        <v>9.6657633242999141E-2</v>
      </c>
      <c r="G670">
        <f>IFERROR(VLOOKUP($A670,observations_series_id_PCU22122212_api_key_ecc133893ea92a842ee685c734246086_file[],2,FALSE),"")</f>
        <v>112.8</v>
      </c>
      <c r="H670" s="2">
        <f>IFERROR(VLOOKUP($A670,observations_series_id_PCU22122212_api_key_ecc133893ea92a842ee685c734246086_file[],3,FALSE),"")</f>
        <v>0.11347517730496448</v>
      </c>
      <c r="I670">
        <f>IFERROR(VLOOKUP($A670,observations_series_id_PCU3241913241910_api_key_ecc133893ea92a842ee685c734246086[],2,FALSE),"")</f>
        <v>446.2</v>
      </c>
      <c r="J670" s="2">
        <f>IFERROR(VLOOKUP($A670,observations_series_id_PCU3241913241910_api_key_ecc133893ea92a842ee685c734246086[],3,FALSE),"")</f>
        <v>0.88480502017032725</v>
      </c>
      <c r="K670">
        <f>IFERROR(VLOOKUP($A670,observations_series_id_EXJPUS_api_key_ecc133893ea92a842ee685c734246086_file_type[],2,FALSE),"")</f>
        <v>99.21</v>
      </c>
      <c r="L670" s="2">
        <f>IFERROR(VLOOKUP($A670,observations_series_id_EXJPUS_api_key_ecc133893ea92a842ee685c734246086_file_type[],3,FALSE),"")</f>
        <v>-2.6087087995161777</v>
      </c>
      <c r="M670" t="str">
        <f>IFERROR(AVERAGEIFS(timeseries_access_key_fqeas14oitk235763mntlb1c0brnk9w3fenzqbk313q5kvxyf52kukw1pa[Value.LME-ZNC],timeseries_access_key_fqeas14oitk235763mntlb1c0brnk9w3fenzqbk313q5kvxyf52kukw1pa[Month],MONTH(Data!$A670),timeseries_access_key_fqeas14oitk235763mntlb1c0brnk9w3fenzqbk313q5kvxyf52kukw1pa[Year],YEAR(Data!$A670)),"")</f>
        <v/>
      </c>
      <c r="N670" s="2" t="str">
        <f>IFERROR(AVERAGEIFS(timeseries_access_key_fqeas14oitk235763mntlb1c0brnk9w3fenzqbk313q5kvxyf52kukw1pa[Column1],timeseries_access_key_fqeas14oitk235763mntlb1c0brnk9w3fenzqbk313q5kvxyf52kukw1pa[Month],MONTH(Data!$A670),timeseries_access_key_fqeas14oitk235763mntlb1c0brnk9w3fenzqbk313q5kvxyf52kukw1pa[Year],YEAR(Data!$A670)),"")</f>
        <v/>
      </c>
      <c r="O670" s="8" t="str">
        <f>IFERROR(VLOOKUP($A670,Text_1_2[[Text.1.1.3]:[Text.1.3]],2,FALSE),"")</f>
        <v/>
      </c>
      <c r="P670" s="2"/>
    </row>
    <row r="671" spans="1:16" x14ac:dyDescent="0.25">
      <c r="A671" s="1">
        <v>41548</v>
      </c>
      <c r="B671">
        <f>HLOOKUP(Dashboard!$I$27,results,ROW(A671),FALSE)</f>
        <v>0.12049252418645562</v>
      </c>
      <c r="C671">
        <f>IFERROR(VLOOKUP(A671,observations_series_id_PCU22112222112243_api_key_ecc133893ea92a842ee685c73424608[],2,FALSE),"")</f>
        <v>167.8</v>
      </c>
      <c r="D671" s="2">
        <f>IFERROR(VLOOKUP(A671,observations_series_id_PCU22112222112243_api_key_ecc133893ea92a842ee685c73424608[],3,FALSE),"")</f>
        <v>0.89630512514898686</v>
      </c>
      <c r="E671">
        <f>IFERROR(VLOOKUP($A671,observations_series_id_WPU0613020T_api_key_ecc133893ea92a842ee685c734246086_file[],2,FALSE),"")</f>
        <v>103.3</v>
      </c>
      <c r="F671" s="2">
        <f>IFERROR(VLOOKUP($A671,observations_series_id_WPU0613020T_api_key_ecc133893ea92a842ee685c734246086_file[],3,FALSE),"")</f>
        <v>3.1945788964181987E-2</v>
      </c>
      <c r="G671">
        <f>IFERROR(VLOOKUP($A671,observations_series_id_PCU22122212_api_key_ecc133893ea92a842ee685c734246086_file[],2,FALSE),"")</f>
        <v>113.7</v>
      </c>
      <c r="H671" s="2">
        <f>IFERROR(VLOOKUP($A671,observations_series_id_PCU22122212_api_key_ecc133893ea92a842ee685c734246086_file[],3,FALSE),"")</f>
        <v>0.12049252418645562</v>
      </c>
      <c r="I671">
        <f>IFERROR(VLOOKUP($A671,observations_series_id_PCU3241913241910_api_key_ecc133893ea92a842ee685c734246086[],2,FALSE),"")</f>
        <v>449.1</v>
      </c>
      <c r="J671" s="2">
        <f>IFERROR(VLOOKUP($A671,observations_series_id_PCU3241913241910_api_key_ecc133893ea92a842ee685c734246086[],3,FALSE),"")</f>
        <v>0.88554887552883543</v>
      </c>
      <c r="K671">
        <f>IFERROR(VLOOKUP($A671,observations_series_id_EXJPUS_api_key_ecc133893ea92a842ee685c734246086_file_type[],2,FALSE),"")</f>
        <v>97.77</v>
      </c>
      <c r="L671" s="2">
        <f>IFERROR(VLOOKUP($A671,observations_series_id_EXJPUS_api_key_ecc133893ea92a842ee685c734246086_file_type[],3,FALSE),"")</f>
        <v>-2.6618594660938939</v>
      </c>
      <c r="M671" t="str">
        <f>IFERROR(AVERAGEIFS(timeseries_access_key_fqeas14oitk235763mntlb1c0brnk9w3fenzqbk313q5kvxyf52kukw1pa[Value.LME-ZNC],timeseries_access_key_fqeas14oitk235763mntlb1c0brnk9w3fenzqbk313q5kvxyf52kukw1pa[Month],MONTH(Data!$A671),timeseries_access_key_fqeas14oitk235763mntlb1c0brnk9w3fenzqbk313q5kvxyf52kukw1pa[Year],YEAR(Data!$A671)),"")</f>
        <v/>
      </c>
      <c r="N671" s="2" t="str">
        <f>IFERROR(AVERAGEIFS(timeseries_access_key_fqeas14oitk235763mntlb1c0brnk9w3fenzqbk313q5kvxyf52kukw1pa[Column1],timeseries_access_key_fqeas14oitk235763mntlb1c0brnk9w3fenzqbk313q5kvxyf52kukw1pa[Month],MONTH(Data!$A671),timeseries_access_key_fqeas14oitk235763mntlb1c0brnk9w3fenzqbk313q5kvxyf52kukw1pa[Year],YEAR(Data!$A671)),"")</f>
        <v/>
      </c>
      <c r="O671" s="8">
        <f>IFERROR(VLOOKUP($A671,Text_1_2[[Text.1.1.3]:[Text.1.3]],2,FALSE),"")</f>
        <v>67800</v>
      </c>
      <c r="P671" s="2"/>
    </row>
    <row r="672" spans="1:16" x14ac:dyDescent="0.25">
      <c r="A672" s="1">
        <v>41579</v>
      </c>
      <c r="B672">
        <f>HLOOKUP(Dashboard!$I$27,results,ROW(A672),FALSE)</f>
        <v>0.13941480206540446</v>
      </c>
      <c r="C672">
        <f>IFERROR(VLOOKUP(A672,observations_series_id_PCU22112222112243_api_key_ecc133893ea92a842ee685c73424608[],2,FALSE),"")</f>
        <v>166</v>
      </c>
      <c r="D672" s="2">
        <f>IFERROR(VLOOKUP(A672,observations_series_id_PCU22112222112243_api_key_ecc133893ea92a842ee685c73424608[],3,FALSE),"")</f>
        <v>0.89518072289156625</v>
      </c>
      <c r="E672">
        <f>IFERROR(VLOOKUP($A672,observations_series_id_WPU0613020T_api_key_ecc133893ea92a842ee685c734246086_file[],2,FALSE),"")</f>
        <v>99.5</v>
      </c>
      <c r="F672" s="2">
        <f>IFERROR(VLOOKUP($A672,observations_series_id_WPU0613020T_api_key_ecc133893ea92a842ee685c734246086_file[],3,FALSE),"")</f>
        <v>-5.0251256281406143E-3</v>
      </c>
      <c r="G672">
        <f>IFERROR(VLOOKUP($A672,observations_series_id_PCU22122212_api_key_ecc133893ea92a842ee685c734246086_file[],2,FALSE),"")</f>
        <v>116.2</v>
      </c>
      <c r="H672" s="2">
        <f>IFERROR(VLOOKUP($A672,observations_series_id_PCU22122212_api_key_ecc133893ea92a842ee685c734246086_file[],3,FALSE),"")</f>
        <v>0.13941480206540446</v>
      </c>
      <c r="I672">
        <f>IFERROR(VLOOKUP($A672,observations_series_id_PCU3241913241910_api_key_ecc133893ea92a842ee685c734246086[],2,FALSE),"")</f>
        <v>450.5</v>
      </c>
      <c r="J672" s="2">
        <f>IFERROR(VLOOKUP($A672,observations_series_id_PCU3241913241910_api_key_ecc133893ea92a842ee685c734246086[],3,FALSE),"")</f>
        <v>0.88590455049944505</v>
      </c>
      <c r="K672">
        <f>IFERROR(VLOOKUP($A672,observations_series_id_EXJPUS_api_key_ecc133893ea92a842ee685c734246086_file_type[],2,FALSE),"")</f>
        <v>100.0737</v>
      </c>
      <c r="L672" s="2">
        <f>IFERROR(VLOOKUP($A672,observations_series_id_EXJPUS_api_key_ecc133893ea92a842ee685c734246086_file_type[],3,FALSE),"")</f>
        <v>-2.5775633358214991</v>
      </c>
      <c r="M672" t="str">
        <f>IFERROR(AVERAGEIFS(timeseries_access_key_fqeas14oitk235763mntlb1c0brnk9w3fenzqbk313q5kvxyf52kukw1pa[Value.LME-ZNC],timeseries_access_key_fqeas14oitk235763mntlb1c0brnk9w3fenzqbk313q5kvxyf52kukw1pa[Month],MONTH(Data!$A672),timeseries_access_key_fqeas14oitk235763mntlb1c0brnk9w3fenzqbk313q5kvxyf52kukw1pa[Year],YEAR(Data!$A672)),"")</f>
        <v/>
      </c>
      <c r="N672" s="2" t="str">
        <f>IFERROR(AVERAGEIFS(timeseries_access_key_fqeas14oitk235763mntlb1c0brnk9w3fenzqbk313q5kvxyf52kukw1pa[Column1],timeseries_access_key_fqeas14oitk235763mntlb1c0brnk9w3fenzqbk313q5kvxyf52kukw1pa[Month],MONTH(Data!$A672),timeseries_access_key_fqeas14oitk235763mntlb1c0brnk9w3fenzqbk313q5kvxyf52kukw1pa[Year],YEAR(Data!$A672)),"")</f>
        <v/>
      </c>
      <c r="O672" s="8" t="str">
        <f>IFERROR(VLOOKUP($A672,Text_1_2[[Text.1.1.3]:[Text.1.3]],2,FALSE),"")</f>
        <v/>
      </c>
      <c r="P672" s="2"/>
    </row>
    <row r="673" spans="1:16" x14ac:dyDescent="0.25">
      <c r="A673" s="1">
        <v>41609</v>
      </c>
      <c r="B673">
        <f>HLOOKUP(Dashboard!$I$27,results,ROW(A673),FALSE)</f>
        <v>0.14383561643835618</v>
      </c>
      <c r="C673">
        <f>IFERROR(VLOOKUP(A673,observations_series_id_PCU22112222112243_api_key_ecc133893ea92a842ee685c73424608[],2,FALSE),"")</f>
        <v>167.2</v>
      </c>
      <c r="D673" s="2">
        <f>IFERROR(VLOOKUP(A673,observations_series_id_PCU22112222112243_api_key_ecc133893ea92a842ee685c73424608[],3,FALSE),"")</f>
        <v>0.89593301435406703</v>
      </c>
      <c r="E673">
        <f>IFERROR(VLOOKUP($A673,observations_series_id_WPU0613020T_api_key_ecc133893ea92a842ee685c734246086_file[],2,FALSE),"")</f>
        <v>95.8</v>
      </c>
      <c r="F673" s="2">
        <f>IFERROR(VLOOKUP($A673,observations_series_id_WPU0613020T_api_key_ecc133893ea92a842ee685c734246086_file[],3,FALSE),"")</f>
        <v>-4.3841336116910323E-2</v>
      </c>
      <c r="G673">
        <f>IFERROR(VLOOKUP($A673,observations_series_id_PCU22122212_api_key_ecc133893ea92a842ee685c734246086_file[],2,FALSE),"")</f>
        <v>116.8</v>
      </c>
      <c r="H673" s="2">
        <f>IFERROR(VLOOKUP($A673,observations_series_id_PCU22122212_api_key_ecc133893ea92a842ee685c734246086_file[],3,FALSE),"")</f>
        <v>0.14383561643835618</v>
      </c>
      <c r="I673">
        <f>IFERROR(VLOOKUP($A673,observations_series_id_PCU3241913241910_api_key_ecc133893ea92a842ee685c734246086[],2,FALSE),"")</f>
        <v>452.5</v>
      </c>
      <c r="J673" s="2">
        <f>IFERROR(VLOOKUP($A673,observations_series_id_PCU3241913241910_api_key_ecc133893ea92a842ee685c734246086[],3,FALSE),"")</f>
        <v>0.88640883977900553</v>
      </c>
      <c r="K673">
        <f>IFERROR(VLOOKUP($A673,observations_series_id_EXJPUS_api_key_ecc133893ea92a842ee685c734246086_file_type[],2,FALSE),"")</f>
        <v>103.46</v>
      </c>
      <c r="L673" s="2">
        <f>IFERROR(VLOOKUP($A673,observations_series_id_EXJPUS_api_key_ecc133893ea92a842ee685c734246086_file_type[],3,FALSE),"")</f>
        <v>-2.4604678136477864</v>
      </c>
      <c r="M673" t="str">
        <f>IFERROR(AVERAGEIFS(timeseries_access_key_fqeas14oitk235763mntlb1c0brnk9w3fenzqbk313q5kvxyf52kukw1pa[Value.LME-ZNC],timeseries_access_key_fqeas14oitk235763mntlb1c0brnk9w3fenzqbk313q5kvxyf52kukw1pa[Month],MONTH(Data!$A673),timeseries_access_key_fqeas14oitk235763mntlb1c0brnk9w3fenzqbk313q5kvxyf52kukw1pa[Year],YEAR(Data!$A673)),"")</f>
        <v/>
      </c>
      <c r="N673" s="2" t="str">
        <f>IFERROR(AVERAGEIFS(timeseries_access_key_fqeas14oitk235763mntlb1c0brnk9w3fenzqbk313q5kvxyf52kukw1pa[Column1],timeseries_access_key_fqeas14oitk235763mntlb1c0brnk9w3fenzqbk313q5kvxyf52kukw1pa[Month],MONTH(Data!$A673),timeseries_access_key_fqeas14oitk235763mntlb1c0brnk9w3fenzqbk313q5kvxyf52kukw1pa[Year],YEAR(Data!$A673)),"")</f>
        <v/>
      </c>
      <c r="O673" s="8" t="str">
        <f>IFERROR(VLOOKUP($A673,Text_1_2[[Text.1.1.3]:[Text.1.3]],2,FALSE),"")</f>
        <v/>
      </c>
      <c r="P673" s="2"/>
    </row>
    <row r="674" spans="1:16" x14ac:dyDescent="0.25">
      <c r="A674" s="1">
        <v>41640</v>
      </c>
      <c r="B674">
        <f>HLOOKUP(Dashboard!$I$27,results,ROW(A674),FALSE)</f>
        <v>0.16943521594684385</v>
      </c>
      <c r="C674">
        <f>IFERROR(VLOOKUP(A674,observations_series_id_PCU22112222112243_api_key_ecc133893ea92a842ee685c73424608[],2,FALSE),"")</f>
        <v>179.5</v>
      </c>
      <c r="D674" s="2">
        <f>IFERROR(VLOOKUP(A674,observations_series_id_PCU22112222112243_api_key_ecc133893ea92a842ee685c73424608[],3,FALSE),"")</f>
        <v>0.90306406685236773</v>
      </c>
      <c r="E674">
        <f>IFERROR(VLOOKUP($A674,observations_series_id_WPU0613020T_api_key_ecc133893ea92a842ee685c734246086_file[],2,FALSE),"")</f>
        <v>94.6</v>
      </c>
      <c r="F674" s="2">
        <f>IFERROR(VLOOKUP($A674,observations_series_id_WPU0613020T_api_key_ecc133893ea92a842ee685c734246086_file[],3,FALSE),"")</f>
        <v>-5.7082452431289621E-2</v>
      </c>
      <c r="G674">
        <f>IFERROR(VLOOKUP($A674,observations_series_id_PCU22122212_api_key_ecc133893ea92a842ee685c734246086_file[],2,FALSE),"")</f>
        <v>120.4</v>
      </c>
      <c r="H674" s="2">
        <f>IFERROR(VLOOKUP($A674,observations_series_id_PCU22122212_api_key_ecc133893ea92a842ee685c734246086_file[],3,FALSE),"")</f>
        <v>0.16943521594684385</v>
      </c>
      <c r="I674">
        <f>IFERROR(VLOOKUP($A674,observations_series_id_PCU3241913241910_api_key_ecc133893ea92a842ee685c734246086[],2,FALSE),"")</f>
        <v>450.5</v>
      </c>
      <c r="J674" s="2">
        <f>IFERROR(VLOOKUP($A674,observations_series_id_PCU3241913241910_api_key_ecc133893ea92a842ee685c734246086[],3,FALSE),"")</f>
        <v>0.88590455049944505</v>
      </c>
      <c r="K674">
        <f>IFERROR(VLOOKUP($A674,observations_series_id_EXJPUS_api_key_ecc133893ea92a842ee685c734246086_file_type[],2,FALSE),"")</f>
        <v>103.76139999999999</v>
      </c>
      <c r="L674" s="2">
        <f>IFERROR(VLOOKUP($A674,observations_series_id_EXJPUS_api_key_ecc133893ea92a842ee685c734246086_file_type[],3,FALSE),"")</f>
        <v>-2.4504160506700949</v>
      </c>
      <c r="M674" t="str">
        <f>IFERROR(AVERAGEIFS(timeseries_access_key_fqeas14oitk235763mntlb1c0brnk9w3fenzqbk313q5kvxyf52kukw1pa[Value.LME-ZNC],timeseries_access_key_fqeas14oitk235763mntlb1c0brnk9w3fenzqbk313q5kvxyf52kukw1pa[Month],MONTH(Data!$A674),timeseries_access_key_fqeas14oitk235763mntlb1c0brnk9w3fenzqbk313q5kvxyf52kukw1pa[Year],YEAR(Data!$A674)),"")</f>
        <v/>
      </c>
      <c r="N674" s="2" t="str">
        <f>IFERROR(AVERAGEIFS(timeseries_access_key_fqeas14oitk235763mntlb1c0brnk9w3fenzqbk313q5kvxyf52kukw1pa[Column1],timeseries_access_key_fqeas14oitk235763mntlb1c0brnk9w3fenzqbk313q5kvxyf52kukw1pa[Month],MONTH(Data!$A674),timeseries_access_key_fqeas14oitk235763mntlb1c0brnk9w3fenzqbk313q5kvxyf52kukw1pa[Year],YEAR(Data!$A674)),"")</f>
        <v/>
      </c>
      <c r="O674" s="8">
        <f>IFERROR(VLOOKUP($A674,Text_1_2[[Text.1.1.3]:[Text.1.3]],2,FALSE),"")</f>
        <v>72000</v>
      </c>
      <c r="P674" s="2"/>
    </row>
    <row r="675" spans="1:16" x14ac:dyDescent="0.25">
      <c r="A675" s="1">
        <v>41671</v>
      </c>
      <c r="B675">
        <f>HLOOKUP(Dashboard!$I$27,results,ROW(A675),FALSE)</f>
        <v>0.20886075949367089</v>
      </c>
      <c r="C675">
        <f>IFERROR(VLOOKUP(A675,observations_series_id_PCU22112222112243_api_key_ecc133893ea92a842ee685c73424608[],2,FALSE),"")</f>
        <v>178.9</v>
      </c>
      <c r="D675" s="2">
        <f>IFERROR(VLOOKUP(A675,observations_series_id_PCU22112222112243_api_key_ecc133893ea92a842ee685c73424608[],3,FALSE),"")</f>
        <v>0.90273896031302403</v>
      </c>
      <c r="E675">
        <f>IFERROR(VLOOKUP($A675,observations_series_id_WPU0613020T_api_key_ecc133893ea92a842ee685c734246086_file[],2,FALSE),"")</f>
        <v>95.3</v>
      </c>
      <c r="F675" s="2">
        <f>IFERROR(VLOOKUP($A675,observations_series_id_WPU0613020T_api_key_ecc133893ea92a842ee685c734246086_file[],3,FALSE),"")</f>
        <v>-4.9317943336831149E-2</v>
      </c>
      <c r="G675">
        <f>IFERROR(VLOOKUP($A675,observations_series_id_PCU22122212_api_key_ecc133893ea92a842ee685c734246086_file[],2,FALSE),"")</f>
        <v>126.4</v>
      </c>
      <c r="H675" s="2">
        <f>IFERROR(VLOOKUP($A675,observations_series_id_PCU22122212_api_key_ecc133893ea92a842ee685c734246086_file[],3,FALSE),"")</f>
        <v>0.20886075949367089</v>
      </c>
      <c r="I675">
        <f>IFERROR(VLOOKUP($A675,observations_series_id_PCU3241913241910_api_key_ecc133893ea92a842ee685c734246086[],2,FALSE),"")</f>
        <v>451.6</v>
      </c>
      <c r="J675" s="2">
        <f>IFERROR(VLOOKUP($A675,observations_series_id_PCU3241913241910_api_key_ecc133893ea92a842ee685c734246086[],3,FALSE),"")</f>
        <v>0.88618246235606735</v>
      </c>
      <c r="K675">
        <f>IFERROR(VLOOKUP($A675,observations_series_id_EXJPUS_api_key_ecc133893ea92a842ee685c734246086_file_type[],2,FALSE),"")</f>
        <v>102.1253</v>
      </c>
      <c r="L675" s="2">
        <f>IFERROR(VLOOKUP($A675,observations_series_id_EXJPUS_api_key_ecc133893ea92a842ee685c734246086_file_type[],3,FALSE),"")</f>
        <v>-2.5056934961268169</v>
      </c>
      <c r="M675" t="str">
        <f>IFERROR(AVERAGEIFS(timeseries_access_key_fqeas14oitk235763mntlb1c0brnk9w3fenzqbk313q5kvxyf52kukw1pa[Value.LME-ZNC],timeseries_access_key_fqeas14oitk235763mntlb1c0brnk9w3fenzqbk313q5kvxyf52kukw1pa[Month],MONTH(Data!$A675),timeseries_access_key_fqeas14oitk235763mntlb1c0brnk9w3fenzqbk313q5kvxyf52kukw1pa[Year],YEAR(Data!$A675)),"")</f>
        <v/>
      </c>
      <c r="N675" s="2" t="str">
        <f>IFERROR(AVERAGEIFS(timeseries_access_key_fqeas14oitk235763mntlb1c0brnk9w3fenzqbk313q5kvxyf52kukw1pa[Column1],timeseries_access_key_fqeas14oitk235763mntlb1c0brnk9w3fenzqbk313q5kvxyf52kukw1pa[Month],MONTH(Data!$A675),timeseries_access_key_fqeas14oitk235763mntlb1c0brnk9w3fenzqbk313q5kvxyf52kukw1pa[Year],YEAR(Data!$A675)),"")</f>
        <v/>
      </c>
      <c r="O675" s="8" t="str">
        <f>IFERROR(VLOOKUP($A675,Text_1_2[[Text.1.1.3]:[Text.1.3]],2,FALSE),"")</f>
        <v/>
      </c>
      <c r="P675" s="2"/>
    </row>
    <row r="676" spans="1:16" x14ac:dyDescent="0.25">
      <c r="A676" s="1">
        <v>41699</v>
      </c>
      <c r="B676">
        <f>HLOOKUP(Dashboard!$I$27,results,ROW(A676),FALSE)</f>
        <v>0.24981245311327838</v>
      </c>
      <c r="C676">
        <f>IFERROR(VLOOKUP(A676,observations_series_id_PCU22112222112243_api_key_ecc133893ea92a842ee685c73424608[],2,FALSE),"")</f>
        <v>179.3</v>
      </c>
      <c r="D676" s="2">
        <f>IFERROR(VLOOKUP(A676,observations_series_id_PCU22112222112243_api_key_ecc133893ea92a842ee685c73424608[],3,FALSE),"")</f>
        <v>0.90295593976575572</v>
      </c>
      <c r="E676">
        <f>IFERROR(VLOOKUP($A676,observations_series_id_WPU0613020T_api_key_ecc133893ea92a842ee685c734246086_file[],2,FALSE),"")</f>
        <v>95.9</v>
      </c>
      <c r="F676" s="2">
        <f>IFERROR(VLOOKUP($A676,observations_series_id_WPU0613020T_api_key_ecc133893ea92a842ee685c734246086_file[],3,FALSE),"")</f>
        <v>-4.2752867570385655E-2</v>
      </c>
      <c r="G676">
        <f>IFERROR(VLOOKUP($A676,observations_series_id_PCU22122212_api_key_ecc133893ea92a842ee685c734246086_file[],2,FALSE),"")</f>
        <v>133.30000000000001</v>
      </c>
      <c r="H676" s="2">
        <f>IFERROR(VLOOKUP($A676,observations_series_id_PCU22122212_api_key_ecc133893ea92a842ee685c734246086_file[],3,FALSE),"")</f>
        <v>0.24981245311327838</v>
      </c>
      <c r="I676">
        <f>IFERROR(VLOOKUP($A676,observations_series_id_PCU3241913241910_api_key_ecc133893ea92a842ee685c734246086[],2,FALSE),"")</f>
        <v>449.8</v>
      </c>
      <c r="J676" s="2">
        <f>IFERROR(VLOOKUP($A676,observations_series_id_PCU3241913241910_api_key_ecc133893ea92a842ee685c734246086[],3,FALSE),"")</f>
        <v>0.8857269897732325</v>
      </c>
      <c r="K676">
        <f>IFERROR(VLOOKUP($A676,observations_series_id_EXJPUS_api_key_ecc133893ea92a842ee685c734246086_file_type[],2,FALSE),"")</f>
        <v>102.3395</v>
      </c>
      <c r="L676" s="2">
        <f>IFERROR(VLOOKUP($A676,observations_series_id_EXJPUS_api_key_ecc133893ea92a842ee685c734246086_file_type[],3,FALSE),"")</f>
        <v>-2.4983559622628602</v>
      </c>
      <c r="M676" t="str">
        <f>IFERROR(AVERAGEIFS(timeseries_access_key_fqeas14oitk235763mntlb1c0brnk9w3fenzqbk313q5kvxyf52kukw1pa[Value.LME-ZNC],timeseries_access_key_fqeas14oitk235763mntlb1c0brnk9w3fenzqbk313q5kvxyf52kukw1pa[Month],MONTH(Data!$A676),timeseries_access_key_fqeas14oitk235763mntlb1c0brnk9w3fenzqbk313q5kvxyf52kukw1pa[Year],YEAR(Data!$A676)),"")</f>
        <v/>
      </c>
      <c r="N676" s="2" t="str">
        <f>IFERROR(AVERAGEIFS(timeseries_access_key_fqeas14oitk235763mntlb1c0brnk9w3fenzqbk313q5kvxyf52kukw1pa[Column1],timeseries_access_key_fqeas14oitk235763mntlb1c0brnk9w3fenzqbk313q5kvxyf52kukw1pa[Month],MONTH(Data!$A676),timeseries_access_key_fqeas14oitk235763mntlb1c0brnk9w3fenzqbk313q5kvxyf52kukw1pa[Year],YEAR(Data!$A676)),"")</f>
        <v/>
      </c>
      <c r="O676" s="8" t="str">
        <f>IFERROR(VLOOKUP($A676,Text_1_2[[Text.1.1.3]:[Text.1.3]],2,FALSE),"")</f>
        <v/>
      </c>
      <c r="P676" s="2"/>
    </row>
    <row r="677" spans="1:16" x14ac:dyDescent="0.25">
      <c r="A677" s="1">
        <v>41730</v>
      </c>
      <c r="B677">
        <f>HLOOKUP(Dashboard!$I$27,results,ROW(A677),FALSE)</f>
        <v>0.23195084485407058</v>
      </c>
      <c r="C677">
        <f>IFERROR(VLOOKUP(A677,observations_series_id_PCU22112222112243_api_key_ecc133893ea92a842ee685c73424608[],2,FALSE),"")</f>
        <v>176</v>
      </c>
      <c r="D677" s="2">
        <f>IFERROR(VLOOKUP(A677,observations_series_id_PCU22112222112243_api_key_ecc133893ea92a842ee685c73424608[],3,FALSE),"")</f>
        <v>0.90113636363636362</v>
      </c>
      <c r="E677">
        <f>IFERROR(VLOOKUP($A677,observations_series_id_WPU0613020T_api_key_ecc133893ea92a842ee685c734246086_file[],2,FALSE),"")</f>
        <v>94.6</v>
      </c>
      <c r="F677" s="2">
        <f>IFERROR(VLOOKUP($A677,observations_series_id_WPU0613020T_api_key_ecc133893ea92a842ee685c734246086_file[],3,FALSE),"")</f>
        <v>-5.7082452431289621E-2</v>
      </c>
      <c r="G677">
        <f>IFERROR(VLOOKUP($A677,observations_series_id_PCU22122212_api_key_ecc133893ea92a842ee685c734246086_file[],2,FALSE),"")</f>
        <v>130.19999999999999</v>
      </c>
      <c r="H677" s="2">
        <f>IFERROR(VLOOKUP($A677,observations_series_id_PCU22122212_api_key_ecc133893ea92a842ee685c734246086_file[],3,FALSE),"")</f>
        <v>0.23195084485407058</v>
      </c>
      <c r="I677">
        <f>IFERROR(VLOOKUP($A677,observations_series_id_PCU3241913241910_api_key_ecc133893ea92a842ee685c734246086[],2,FALSE),"")</f>
        <v>453.3</v>
      </c>
      <c r="J677" s="2">
        <f>IFERROR(VLOOKUP($A677,observations_series_id_PCU3241913241910_api_key_ecc133893ea92a842ee685c734246086[],3,FALSE),"")</f>
        <v>0.88660930950805206</v>
      </c>
      <c r="K677">
        <f>IFERROR(VLOOKUP($A677,observations_series_id_EXJPUS_api_key_ecc133893ea92a842ee685c734246086_file_type[],2,FALSE),"")</f>
        <v>102.45820000000001</v>
      </c>
      <c r="L677" s="2">
        <f>IFERROR(VLOOKUP($A677,observations_series_id_EXJPUS_api_key_ecc133893ea92a842ee685c734246086_file_type[],3,FALSE),"")</f>
        <v>-2.494303042606643</v>
      </c>
      <c r="M677" t="str">
        <f>IFERROR(AVERAGEIFS(timeseries_access_key_fqeas14oitk235763mntlb1c0brnk9w3fenzqbk313q5kvxyf52kukw1pa[Value.LME-ZNC],timeseries_access_key_fqeas14oitk235763mntlb1c0brnk9w3fenzqbk313q5kvxyf52kukw1pa[Month],MONTH(Data!$A677),timeseries_access_key_fqeas14oitk235763mntlb1c0brnk9w3fenzqbk313q5kvxyf52kukw1pa[Year],YEAR(Data!$A677)),"")</f>
        <v/>
      </c>
      <c r="N677" s="2" t="str">
        <f>IFERROR(AVERAGEIFS(timeseries_access_key_fqeas14oitk235763mntlb1c0brnk9w3fenzqbk313q5kvxyf52kukw1pa[Column1],timeseries_access_key_fqeas14oitk235763mntlb1c0brnk9w3fenzqbk313q5kvxyf52kukw1pa[Month],MONTH(Data!$A677),timeseries_access_key_fqeas14oitk235763mntlb1c0brnk9w3fenzqbk313q5kvxyf52kukw1pa[Year],YEAR(Data!$A677)),"")</f>
        <v/>
      </c>
      <c r="O677" s="8">
        <f>IFERROR(VLOOKUP($A677,Text_1_2[[Text.1.1.3]:[Text.1.3]],2,FALSE),"")</f>
        <v>0</v>
      </c>
      <c r="P677" s="2"/>
    </row>
    <row r="678" spans="1:16" x14ac:dyDescent="0.25">
      <c r="A678" s="1">
        <v>41760</v>
      </c>
      <c r="B678">
        <f>HLOOKUP(Dashboard!$I$27,results,ROW(A678),FALSE)</f>
        <v>0.20760697305863707</v>
      </c>
      <c r="C678">
        <f>IFERROR(VLOOKUP(A678,observations_series_id_PCU22112222112243_api_key_ecc133893ea92a842ee685c73424608[],2,FALSE),"")</f>
        <v>179.6</v>
      </c>
      <c r="D678" s="2">
        <f>IFERROR(VLOOKUP(A678,observations_series_id_PCU22112222112243_api_key_ecc133893ea92a842ee685c73424608[],3,FALSE),"")</f>
        <v>0.9031180400890868</v>
      </c>
      <c r="E678">
        <f>IFERROR(VLOOKUP($A678,observations_series_id_WPU0613020T_api_key_ecc133893ea92a842ee685c734246086_file[],2,FALSE),"")</f>
        <v>95.2</v>
      </c>
      <c r="F678" s="2">
        <f>IFERROR(VLOOKUP($A678,observations_series_id_WPU0613020T_api_key_ecc133893ea92a842ee685c734246086_file[],3,FALSE),"")</f>
        <v>-5.0420168067226934E-2</v>
      </c>
      <c r="G678">
        <f>IFERROR(VLOOKUP($A678,observations_series_id_PCU22122212_api_key_ecc133893ea92a842ee685c734246086_file[],2,FALSE),"")</f>
        <v>126.2</v>
      </c>
      <c r="H678" s="2">
        <f>IFERROR(VLOOKUP($A678,observations_series_id_PCU22122212_api_key_ecc133893ea92a842ee685c734246086_file[],3,FALSE),"")</f>
        <v>0.20760697305863707</v>
      </c>
      <c r="I678">
        <f>IFERROR(VLOOKUP($A678,observations_series_id_PCU3241913241910_api_key_ecc133893ea92a842ee685c734246086[],2,FALSE),"")</f>
        <v>452.5</v>
      </c>
      <c r="J678" s="2">
        <f>IFERROR(VLOOKUP($A678,observations_series_id_PCU3241913241910_api_key_ecc133893ea92a842ee685c734246086[],3,FALSE),"")</f>
        <v>0.88640883977900553</v>
      </c>
      <c r="K678">
        <f>IFERROR(VLOOKUP($A678,observations_series_id_EXJPUS_api_key_ecc133893ea92a842ee685c734246086_file_type[],2,FALSE),"")</f>
        <v>101.77379999999999</v>
      </c>
      <c r="L678" s="2">
        <f>IFERROR(VLOOKUP($A678,observations_series_id_EXJPUS_api_key_ecc133893ea92a842ee685c734246086_file_type[],3,FALSE),"")</f>
        <v>-2.5178012415769087</v>
      </c>
      <c r="M678" t="str">
        <f>IFERROR(AVERAGEIFS(timeseries_access_key_fqeas14oitk235763mntlb1c0brnk9w3fenzqbk313q5kvxyf52kukw1pa[Value.LME-ZNC],timeseries_access_key_fqeas14oitk235763mntlb1c0brnk9w3fenzqbk313q5kvxyf52kukw1pa[Month],MONTH(Data!$A678),timeseries_access_key_fqeas14oitk235763mntlb1c0brnk9w3fenzqbk313q5kvxyf52kukw1pa[Year],YEAR(Data!$A678)),"")</f>
        <v/>
      </c>
      <c r="N678" s="2" t="str">
        <f>IFERROR(AVERAGEIFS(timeseries_access_key_fqeas14oitk235763mntlb1c0brnk9w3fenzqbk313q5kvxyf52kukw1pa[Column1],timeseries_access_key_fqeas14oitk235763mntlb1c0brnk9w3fenzqbk313q5kvxyf52kukw1pa[Month],MONTH(Data!$A678),timeseries_access_key_fqeas14oitk235763mntlb1c0brnk9w3fenzqbk313q5kvxyf52kukw1pa[Year],YEAR(Data!$A678)),"")</f>
        <v/>
      </c>
      <c r="O678" s="8" t="str">
        <f>IFERROR(VLOOKUP($A678,Text_1_2[[Text.1.1.3]:[Text.1.3]],2,FALSE),"")</f>
        <v/>
      </c>
      <c r="P678" s="2"/>
    </row>
    <row r="679" spans="1:16" x14ac:dyDescent="0.25">
      <c r="A679" s="1">
        <v>41791</v>
      </c>
      <c r="B679">
        <f>HLOOKUP(Dashboard!$I$27,results,ROW(A679),FALSE)</f>
        <v>0.19419822723609992</v>
      </c>
      <c r="C679">
        <f>IFERROR(VLOOKUP(A679,observations_series_id_PCU22112222112243_api_key_ecc133893ea92a842ee685c73424608[],2,FALSE),"")</f>
        <v>186.8</v>
      </c>
      <c r="D679" s="2">
        <f>IFERROR(VLOOKUP(A679,observations_series_id_PCU22112222112243_api_key_ecc133893ea92a842ee685c73424608[],3,FALSE),"")</f>
        <v>0.90685224839400425</v>
      </c>
      <c r="E679">
        <f>IFERROR(VLOOKUP($A679,observations_series_id_WPU0613020T_api_key_ecc133893ea92a842ee685c734246086_file[],2,FALSE),"")</f>
        <v>96.9</v>
      </c>
      <c r="F679" s="2">
        <f>IFERROR(VLOOKUP($A679,observations_series_id_WPU0613020T_api_key_ecc133893ea92a842ee685c734246086_file[],3,FALSE),"")</f>
        <v>-3.1991744066047323E-2</v>
      </c>
      <c r="G679">
        <f>IFERROR(VLOOKUP($A679,observations_series_id_PCU22122212_api_key_ecc133893ea92a842ee685c734246086_file[],2,FALSE),"")</f>
        <v>124.1</v>
      </c>
      <c r="H679" s="2">
        <f>IFERROR(VLOOKUP($A679,observations_series_id_PCU22122212_api_key_ecc133893ea92a842ee685c734246086_file[],3,FALSE),"")</f>
        <v>0.19419822723609992</v>
      </c>
      <c r="I679">
        <f>IFERROR(VLOOKUP($A679,observations_series_id_PCU3241913241910_api_key_ecc133893ea92a842ee685c734246086[],2,FALSE),"")</f>
        <v>451.3</v>
      </c>
      <c r="J679" s="2">
        <f>IFERROR(VLOOKUP($A679,observations_series_id_PCU3241913241910_api_key_ecc133893ea92a842ee685c734246086[],3,FALSE),"")</f>
        <v>0.88610680257035235</v>
      </c>
      <c r="K679">
        <f>IFERROR(VLOOKUP($A679,observations_series_id_EXJPUS_api_key_ecc133893ea92a842ee685c734246086_file_type[],2,FALSE),"")</f>
        <v>102.0629</v>
      </c>
      <c r="L679" s="2">
        <f>IFERROR(VLOOKUP($A679,observations_series_id_EXJPUS_api_key_ecc133893ea92a842ee685c734246086_file_type[],3,FALSE),"")</f>
        <v>-2.5078368339523958</v>
      </c>
      <c r="M679" t="str">
        <f>IFERROR(AVERAGEIFS(timeseries_access_key_fqeas14oitk235763mntlb1c0brnk9w3fenzqbk313q5kvxyf52kukw1pa[Value.LME-ZNC],timeseries_access_key_fqeas14oitk235763mntlb1c0brnk9w3fenzqbk313q5kvxyf52kukw1pa[Month],MONTH(Data!$A679),timeseries_access_key_fqeas14oitk235763mntlb1c0brnk9w3fenzqbk313q5kvxyf52kukw1pa[Year],YEAR(Data!$A679)),"")</f>
        <v/>
      </c>
      <c r="N679" s="2" t="str">
        <f>IFERROR(AVERAGEIFS(timeseries_access_key_fqeas14oitk235763mntlb1c0brnk9w3fenzqbk313q5kvxyf52kukw1pa[Column1],timeseries_access_key_fqeas14oitk235763mntlb1c0brnk9w3fenzqbk313q5kvxyf52kukw1pa[Month],MONTH(Data!$A679),timeseries_access_key_fqeas14oitk235763mntlb1c0brnk9w3fenzqbk313q5kvxyf52kukw1pa[Year],YEAR(Data!$A679)),"")</f>
        <v/>
      </c>
      <c r="O679" s="8" t="str">
        <f>IFERROR(VLOOKUP($A679,Text_1_2[[Text.1.1.3]:[Text.1.3]],2,FALSE),"")</f>
        <v/>
      </c>
      <c r="P679" s="2"/>
    </row>
    <row r="680" spans="1:16" x14ac:dyDescent="0.25">
      <c r="A680" s="1">
        <v>41821</v>
      </c>
      <c r="B680">
        <f>HLOOKUP(Dashboard!$I$27,results,ROW(A680),FALSE)</f>
        <v>0.19159256265157643</v>
      </c>
      <c r="C680">
        <f>IFERROR(VLOOKUP(A680,observations_series_id_PCU22112222112243_api_key_ecc133893ea92a842ee685c73424608[],2,FALSE),"")</f>
        <v>189.8</v>
      </c>
      <c r="D680" s="2">
        <f>IFERROR(VLOOKUP(A680,observations_series_id_PCU22112222112243_api_key_ecc133893ea92a842ee685c73424608[],3,FALSE),"")</f>
        <v>0.90832455216016861</v>
      </c>
      <c r="E680">
        <f>IFERROR(VLOOKUP($A680,observations_series_id_WPU0613020T_api_key_ecc133893ea92a842ee685c734246086_file[],2,FALSE),"")</f>
        <v>99.7</v>
      </c>
      <c r="F680" s="2">
        <f>IFERROR(VLOOKUP($A680,observations_series_id_WPU0613020T_api_key_ecc133893ea92a842ee685c734246086_file[],3,FALSE),"")</f>
        <v>-3.0090270812437314E-3</v>
      </c>
      <c r="G680">
        <f>IFERROR(VLOOKUP($A680,observations_series_id_PCU22122212_api_key_ecc133893ea92a842ee685c734246086_file[],2,FALSE),"")</f>
        <v>123.7</v>
      </c>
      <c r="H680" s="2">
        <f>IFERROR(VLOOKUP($A680,observations_series_id_PCU22122212_api_key_ecc133893ea92a842ee685c734246086_file[],3,FALSE),"")</f>
        <v>0.19159256265157643</v>
      </c>
      <c r="I680">
        <f>IFERROR(VLOOKUP($A680,observations_series_id_PCU3241913241910_api_key_ecc133893ea92a842ee685c734246086[],2,FALSE),"")</f>
        <v>454.4</v>
      </c>
      <c r="J680" s="2">
        <f>IFERROR(VLOOKUP($A680,observations_series_id_PCU3241913241910_api_key_ecc133893ea92a842ee685c734246086[],3,FALSE),"")</f>
        <v>0.88688380281690138</v>
      </c>
      <c r="K680">
        <f>IFERROR(VLOOKUP($A680,observations_series_id_EXJPUS_api_key_ecc133893ea92a842ee685c734246086_file_type[],2,FALSE),"")</f>
        <v>101.74</v>
      </c>
      <c r="L680" s="2">
        <f>IFERROR(VLOOKUP($A680,observations_series_id_EXJPUS_api_key_ecc133893ea92a842ee685c734246086_file_type[],3,FALSE),"")</f>
        <v>-2.5189699233339886</v>
      </c>
      <c r="M680" t="str">
        <f>IFERROR(AVERAGEIFS(timeseries_access_key_fqeas14oitk235763mntlb1c0brnk9w3fenzqbk313q5kvxyf52kukw1pa[Value.LME-ZNC],timeseries_access_key_fqeas14oitk235763mntlb1c0brnk9w3fenzqbk313q5kvxyf52kukw1pa[Month],MONTH(Data!$A680),timeseries_access_key_fqeas14oitk235763mntlb1c0brnk9w3fenzqbk313q5kvxyf52kukw1pa[Year],YEAR(Data!$A680)),"")</f>
        <v/>
      </c>
      <c r="N680" s="2" t="str">
        <f>IFERROR(AVERAGEIFS(timeseries_access_key_fqeas14oitk235763mntlb1c0brnk9w3fenzqbk313q5kvxyf52kukw1pa[Column1],timeseries_access_key_fqeas14oitk235763mntlb1c0brnk9w3fenzqbk313q5kvxyf52kukw1pa[Month],MONTH(Data!$A680),timeseries_access_key_fqeas14oitk235763mntlb1c0brnk9w3fenzqbk313q5kvxyf52kukw1pa[Year],YEAR(Data!$A680)),"")</f>
        <v/>
      </c>
      <c r="O680" s="8">
        <f>IFERROR(VLOOKUP($A680,Text_1_2[[Text.1.1.3]:[Text.1.3]],2,FALSE),"")</f>
        <v>70900</v>
      </c>
      <c r="P680" s="2"/>
    </row>
    <row r="681" spans="1:16" x14ac:dyDescent="0.25">
      <c r="A681" s="1">
        <v>41852</v>
      </c>
      <c r="B681">
        <f>HLOOKUP(Dashboard!$I$27,results,ROW(A681),FALSE)</f>
        <v>0.16177703269069565</v>
      </c>
      <c r="C681">
        <f>IFERROR(VLOOKUP(A681,observations_series_id_PCU22112222112243_api_key_ecc133893ea92a842ee685c73424608[],2,FALSE),"")</f>
        <v>190</v>
      </c>
      <c r="D681" s="2">
        <f>IFERROR(VLOOKUP(A681,observations_series_id_PCU22112222112243_api_key_ecc133893ea92a842ee685c73424608[],3,FALSE),"")</f>
        <v>0.90842105263157891</v>
      </c>
      <c r="E681">
        <f>IFERROR(VLOOKUP($A681,observations_series_id_WPU0613020T_api_key_ecc133893ea92a842ee685c734246086_file[],2,FALSE),"")</f>
        <v>99.9</v>
      </c>
      <c r="F681" s="2">
        <f>IFERROR(VLOOKUP($A681,observations_series_id_WPU0613020T_api_key_ecc133893ea92a842ee685c734246086_file[],3,FALSE),"")</f>
        <v>-1.0010010010008674E-3</v>
      </c>
      <c r="G681">
        <f>IFERROR(VLOOKUP($A681,observations_series_id_PCU22122212_api_key_ecc133893ea92a842ee685c734246086_file[],2,FALSE),"")</f>
        <v>119.3</v>
      </c>
      <c r="H681" s="2">
        <f>IFERROR(VLOOKUP($A681,observations_series_id_PCU22122212_api_key_ecc133893ea92a842ee685c734246086_file[],3,FALSE),"")</f>
        <v>0.16177703269069565</v>
      </c>
      <c r="I681">
        <f>IFERROR(VLOOKUP($A681,observations_series_id_PCU3241913241910_api_key_ecc133893ea92a842ee685c734246086[],2,FALSE),"")</f>
        <v>454.5</v>
      </c>
      <c r="J681" s="2">
        <f>IFERROR(VLOOKUP($A681,observations_series_id_PCU3241913241910_api_key_ecc133893ea92a842ee685c734246086[],3,FALSE),"")</f>
        <v>0.88690869086908686</v>
      </c>
      <c r="K681">
        <f>IFERROR(VLOOKUP($A681,observations_series_id_EXJPUS_api_key_ecc133893ea92a842ee685c734246086_file_type[],2,FALSE),"")</f>
        <v>102.9438</v>
      </c>
      <c r="L681" s="2">
        <f>IFERROR(VLOOKUP($A681,observations_series_id_EXJPUS_api_key_ecc133893ea92a842ee685c734246086_file_type[],3,FALSE),"")</f>
        <v>-2.4778199367033276</v>
      </c>
      <c r="M681" t="str">
        <f>IFERROR(AVERAGEIFS(timeseries_access_key_fqeas14oitk235763mntlb1c0brnk9w3fenzqbk313q5kvxyf52kukw1pa[Value.LME-ZNC],timeseries_access_key_fqeas14oitk235763mntlb1c0brnk9w3fenzqbk313q5kvxyf52kukw1pa[Month],MONTH(Data!$A681),timeseries_access_key_fqeas14oitk235763mntlb1c0brnk9w3fenzqbk313q5kvxyf52kukw1pa[Year],YEAR(Data!$A681)),"")</f>
        <v/>
      </c>
      <c r="N681" s="2" t="str">
        <f>IFERROR(AVERAGEIFS(timeseries_access_key_fqeas14oitk235763mntlb1c0brnk9w3fenzqbk313q5kvxyf52kukw1pa[Column1],timeseries_access_key_fqeas14oitk235763mntlb1c0brnk9w3fenzqbk313q5kvxyf52kukw1pa[Month],MONTH(Data!$A681),timeseries_access_key_fqeas14oitk235763mntlb1c0brnk9w3fenzqbk313q5kvxyf52kukw1pa[Year],YEAR(Data!$A681)),"")</f>
        <v/>
      </c>
      <c r="O681" s="8" t="str">
        <f>IFERROR(VLOOKUP($A681,Text_1_2[[Text.1.1.3]:[Text.1.3]],2,FALSE),"")</f>
        <v/>
      </c>
      <c r="P681" s="2"/>
    </row>
    <row r="682" spans="1:16" x14ac:dyDescent="0.25">
      <c r="A682" s="1">
        <v>41883</v>
      </c>
      <c r="B682">
        <f>HLOOKUP(Dashboard!$I$27,results,ROW(A682),FALSE)</f>
        <v>0.15966386554621848</v>
      </c>
      <c r="C682">
        <f>IFERROR(VLOOKUP(A682,observations_series_id_PCU22112222112243_api_key_ecc133893ea92a842ee685c73424608[],2,FALSE),"")</f>
        <v>187.8</v>
      </c>
      <c r="D682" s="2">
        <f>IFERROR(VLOOKUP(A682,observations_series_id_PCU22112222112243_api_key_ecc133893ea92a842ee685c73424608[],3,FALSE),"")</f>
        <v>0.90734824281150162</v>
      </c>
      <c r="E682">
        <f>IFERROR(VLOOKUP($A682,observations_series_id_WPU0613020T_api_key_ecc133893ea92a842ee685c734246086_file[],2,FALSE),"")</f>
        <v>102.2</v>
      </c>
      <c r="F682" s="2">
        <f>IFERROR(VLOOKUP($A682,observations_series_id_WPU0613020T_api_key_ecc133893ea92a842ee685c734246086_file[],3,FALSE),"")</f>
        <v>2.1526418786692814E-2</v>
      </c>
      <c r="G682">
        <f>IFERROR(VLOOKUP($A682,observations_series_id_PCU22122212_api_key_ecc133893ea92a842ee685c734246086_file[],2,FALSE),"")</f>
        <v>119</v>
      </c>
      <c r="H682" s="2">
        <f>IFERROR(VLOOKUP($A682,observations_series_id_PCU22122212_api_key_ecc133893ea92a842ee685c734246086_file[],3,FALSE),"")</f>
        <v>0.15966386554621848</v>
      </c>
      <c r="I682">
        <f>IFERROR(VLOOKUP($A682,observations_series_id_PCU3241913241910_api_key_ecc133893ea92a842ee685c734246086[],2,FALSE),"")</f>
        <v>454.4</v>
      </c>
      <c r="J682" s="2">
        <f>IFERROR(VLOOKUP($A682,observations_series_id_PCU3241913241910_api_key_ecc133893ea92a842ee685c734246086[],3,FALSE),"")</f>
        <v>0.88688380281690138</v>
      </c>
      <c r="K682">
        <f>IFERROR(VLOOKUP($A682,observations_series_id_EXJPUS_api_key_ecc133893ea92a842ee685c734246086_file_type[],2,FALSE),"")</f>
        <v>107.42570000000001</v>
      </c>
      <c r="L682" s="2">
        <f>IFERROR(VLOOKUP($A682,observations_series_id_EXJPUS_api_key_ecc133893ea92a842ee685c734246086_file_type[],3,FALSE),"")</f>
        <v>-2.332722058129479</v>
      </c>
      <c r="M682" t="str">
        <f>IFERROR(AVERAGEIFS(timeseries_access_key_fqeas14oitk235763mntlb1c0brnk9w3fenzqbk313q5kvxyf52kukw1pa[Value.LME-ZNC],timeseries_access_key_fqeas14oitk235763mntlb1c0brnk9w3fenzqbk313q5kvxyf52kukw1pa[Month],MONTH(Data!$A682),timeseries_access_key_fqeas14oitk235763mntlb1c0brnk9w3fenzqbk313q5kvxyf52kukw1pa[Year],YEAR(Data!$A682)),"")</f>
        <v/>
      </c>
      <c r="N682" s="2" t="str">
        <f>IFERROR(AVERAGEIFS(timeseries_access_key_fqeas14oitk235763mntlb1c0brnk9w3fenzqbk313q5kvxyf52kukw1pa[Column1],timeseries_access_key_fqeas14oitk235763mntlb1c0brnk9w3fenzqbk313q5kvxyf52kukw1pa[Month],MONTH(Data!$A682),timeseries_access_key_fqeas14oitk235763mntlb1c0brnk9w3fenzqbk313q5kvxyf52kukw1pa[Year],YEAR(Data!$A682)),"")</f>
        <v/>
      </c>
      <c r="O682" s="8" t="str">
        <f>IFERROR(VLOOKUP($A682,Text_1_2[[Text.1.1.3]:[Text.1.3]],2,FALSE),"")</f>
        <v/>
      </c>
      <c r="P682" s="2"/>
    </row>
    <row r="683" spans="1:16" x14ac:dyDescent="0.25">
      <c r="A683" s="1">
        <v>41913</v>
      </c>
      <c r="B683">
        <f>HLOOKUP(Dashboard!$I$27,results,ROW(A683),FALSE)</f>
        <v>0.15682967959527816</v>
      </c>
      <c r="C683">
        <f>IFERROR(VLOOKUP(A683,observations_series_id_PCU22112222112243_api_key_ecc133893ea92a842ee685c73424608[],2,FALSE),"")</f>
        <v>181.3</v>
      </c>
      <c r="D683" s="2">
        <f>IFERROR(VLOOKUP(A683,observations_series_id_PCU22112222112243_api_key_ecc133893ea92a842ee685c73424608[],3,FALSE),"")</f>
        <v>0.90402647545504689</v>
      </c>
      <c r="E683">
        <f>IFERROR(VLOOKUP($A683,observations_series_id_WPU0613020T_api_key_ecc133893ea92a842ee685c734246086_file[],2,FALSE),"")</f>
        <v>104.1</v>
      </c>
      <c r="F683" s="2">
        <f>IFERROR(VLOOKUP($A683,observations_series_id_WPU0613020T_api_key_ecc133893ea92a842ee685c734246086_file[],3,FALSE),"")</f>
        <v>3.9385206532180583E-2</v>
      </c>
      <c r="G683">
        <f>IFERROR(VLOOKUP($A683,observations_series_id_PCU22122212_api_key_ecc133893ea92a842ee685c734246086_file[],2,FALSE),"")</f>
        <v>118.6</v>
      </c>
      <c r="H683" s="2">
        <f>IFERROR(VLOOKUP($A683,observations_series_id_PCU22122212_api_key_ecc133893ea92a842ee685c734246086_file[],3,FALSE),"")</f>
        <v>0.15682967959527816</v>
      </c>
      <c r="I683">
        <f>IFERROR(VLOOKUP($A683,observations_series_id_PCU3241913241910_api_key_ecc133893ea92a842ee685c734246086[],2,FALSE),"")</f>
        <v>454.1</v>
      </c>
      <c r="J683" s="2">
        <f>IFERROR(VLOOKUP($A683,observations_series_id_PCU3241913241910_api_key_ecc133893ea92a842ee685c734246086[],3,FALSE),"")</f>
        <v>0.88680907289143363</v>
      </c>
      <c r="K683">
        <f>IFERROR(VLOOKUP($A683,observations_series_id_EXJPUS_api_key_ecc133893ea92a842ee685c734246086_file_type[],2,FALSE),"")</f>
        <v>108.0264</v>
      </c>
      <c r="L683" s="2">
        <f>IFERROR(VLOOKUP($A683,observations_series_id_EXJPUS_api_key_ecc133893ea92a842ee685c734246086_file_type[],3,FALSE),"")</f>
        <v>-2.3141898646997401</v>
      </c>
      <c r="M683" t="str">
        <f>IFERROR(AVERAGEIFS(timeseries_access_key_fqeas14oitk235763mntlb1c0brnk9w3fenzqbk313q5kvxyf52kukw1pa[Value.LME-ZNC],timeseries_access_key_fqeas14oitk235763mntlb1c0brnk9w3fenzqbk313q5kvxyf52kukw1pa[Month],MONTH(Data!$A683),timeseries_access_key_fqeas14oitk235763mntlb1c0brnk9w3fenzqbk313q5kvxyf52kukw1pa[Year],YEAR(Data!$A683)),"")</f>
        <v/>
      </c>
      <c r="N683" s="2" t="str">
        <f>IFERROR(AVERAGEIFS(timeseries_access_key_fqeas14oitk235763mntlb1c0brnk9w3fenzqbk313q5kvxyf52kukw1pa[Column1],timeseries_access_key_fqeas14oitk235763mntlb1c0brnk9w3fenzqbk313q5kvxyf52kukw1pa[Month],MONTH(Data!$A683),timeseries_access_key_fqeas14oitk235763mntlb1c0brnk9w3fenzqbk313q5kvxyf52kukw1pa[Year],YEAR(Data!$A683)),"")</f>
        <v/>
      </c>
      <c r="O683" s="8">
        <f>IFERROR(VLOOKUP($A683,Text_1_2[[Text.1.1.3]:[Text.1.3]],2,FALSE),"")</f>
        <v>66000</v>
      </c>
      <c r="P683" s="2"/>
    </row>
    <row r="684" spans="1:16" x14ac:dyDescent="0.25">
      <c r="A684" s="1">
        <v>41944</v>
      </c>
      <c r="B684">
        <f>HLOOKUP(Dashboard!$I$27,results,ROW(A684),FALSE)</f>
        <v>0.14965986394557818</v>
      </c>
      <c r="C684">
        <f>IFERROR(VLOOKUP(A684,observations_series_id_PCU22112222112243_api_key_ecc133893ea92a842ee685c73424608[],2,FALSE),"")</f>
        <v>176</v>
      </c>
      <c r="D684" s="2">
        <f>IFERROR(VLOOKUP(A684,observations_series_id_PCU22112222112243_api_key_ecc133893ea92a842ee685c73424608[],3,FALSE),"")</f>
        <v>0.90113636363636362</v>
      </c>
      <c r="E684">
        <f>IFERROR(VLOOKUP($A684,observations_series_id_WPU0613020T_api_key_ecc133893ea92a842ee685c734246086_file[],2,FALSE),"")</f>
        <v>101.7</v>
      </c>
      <c r="F684" s="2">
        <f>IFERROR(VLOOKUP($A684,observations_series_id_WPU0613020T_api_key_ecc133893ea92a842ee685c734246086_file[],3,FALSE),"")</f>
        <v>1.6715830875122961E-2</v>
      </c>
      <c r="G684">
        <f>IFERROR(VLOOKUP($A684,observations_series_id_PCU22122212_api_key_ecc133893ea92a842ee685c734246086_file[],2,FALSE),"")</f>
        <v>117.6</v>
      </c>
      <c r="H684" s="2">
        <f>IFERROR(VLOOKUP($A684,observations_series_id_PCU22122212_api_key_ecc133893ea92a842ee685c734246086_file[],3,FALSE),"")</f>
        <v>0.14965986394557818</v>
      </c>
      <c r="I684">
        <f>IFERROR(VLOOKUP($A684,observations_series_id_PCU3241913241910_api_key_ecc133893ea92a842ee685c734246086[],2,FALSE),"")</f>
        <v>451.1</v>
      </c>
      <c r="J684" s="2">
        <f>IFERROR(VLOOKUP($A684,observations_series_id_PCU3241913241910_api_key_ecc133893ea92a842ee685c734246086[],3,FALSE),"")</f>
        <v>0.88605630680558634</v>
      </c>
      <c r="K684">
        <f>IFERROR(VLOOKUP($A684,observations_series_id_EXJPUS_api_key_ecc133893ea92a842ee685c734246086_file_type[],2,FALSE),"")</f>
        <v>116.29940000000001</v>
      </c>
      <c r="L684" s="2">
        <f>IFERROR(VLOOKUP($A684,observations_series_id_EXJPUS_api_key_ecc133893ea92a842ee685c734246086_file_type[],3,FALSE),"")</f>
        <v>-2.0784337666402402</v>
      </c>
      <c r="M684" t="str">
        <f>IFERROR(AVERAGEIFS(timeseries_access_key_fqeas14oitk235763mntlb1c0brnk9w3fenzqbk313q5kvxyf52kukw1pa[Value.LME-ZNC],timeseries_access_key_fqeas14oitk235763mntlb1c0brnk9w3fenzqbk313q5kvxyf52kukw1pa[Month],MONTH(Data!$A684),timeseries_access_key_fqeas14oitk235763mntlb1c0brnk9w3fenzqbk313q5kvxyf52kukw1pa[Year],YEAR(Data!$A684)),"")</f>
        <v/>
      </c>
      <c r="N684" s="2" t="str">
        <f>IFERROR(AVERAGEIFS(timeseries_access_key_fqeas14oitk235763mntlb1c0brnk9w3fenzqbk313q5kvxyf52kukw1pa[Column1],timeseries_access_key_fqeas14oitk235763mntlb1c0brnk9w3fenzqbk313q5kvxyf52kukw1pa[Month],MONTH(Data!$A684),timeseries_access_key_fqeas14oitk235763mntlb1c0brnk9w3fenzqbk313q5kvxyf52kukw1pa[Year],YEAR(Data!$A684)),"")</f>
        <v/>
      </c>
      <c r="O684" s="8" t="str">
        <f>IFERROR(VLOOKUP($A684,Text_1_2[[Text.1.1.3]:[Text.1.3]],2,FALSE),"")</f>
        <v/>
      </c>
      <c r="P684" s="2"/>
    </row>
    <row r="685" spans="1:16" x14ac:dyDescent="0.25">
      <c r="A685" s="1">
        <v>41974</v>
      </c>
      <c r="B685">
        <f>HLOOKUP(Dashboard!$I$27,results,ROW(A685),FALSE)</f>
        <v>0.17695473251028804</v>
      </c>
      <c r="C685">
        <f>IFERROR(VLOOKUP(A685,observations_series_id_PCU22112222112243_api_key_ecc133893ea92a842ee685c73424608[],2,FALSE),"")</f>
        <v>178.6</v>
      </c>
      <c r="D685" s="2">
        <f>IFERROR(VLOOKUP(A685,observations_series_id_PCU22112222112243_api_key_ecc133893ea92a842ee685c73424608[],3,FALSE),"")</f>
        <v>0.90257558790593506</v>
      </c>
      <c r="E685">
        <f>IFERROR(VLOOKUP($A685,observations_series_id_WPU0613020T_api_key_ecc133893ea92a842ee685c734246086_file[],2,FALSE),"")</f>
        <v>104.9</v>
      </c>
      <c r="F685" s="2">
        <f>IFERROR(VLOOKUP($A685,observations_series_id_WPU0613020T_api_key_ecc133893ea92a842ee685c734246086_file[],3,FALSE),"")</f>
        <v>4.6711153479504386E-2</v>
      </c>
      <c r="G685">
        <f>IFERROR(VLOOKUP($A685,observations_series_id_PCU22122212_api_key_ecc133893ea92a842ee685c734246086_file[],2,FALSE),"")</f>
        <v>121.5</v>
      </c>
      <c r="H685" s="2">
        <f>IFERROR(VLOOKUP($A685,observations_series_id_PCU22122212_api_key_ecc133893ea92a842ee685c734246086_file[],3,FALSE),"")</f>
        <v>0.17695473251028804</v>
      </c>
      <c r="I685">
        <f>IFERROR(VLOOKUP($A685,observations_series_id_PCU3241913241910_api_key_ecc133893ea92a842ee685c734246086[],2,FALSE),"")</f>
        <v>451.3</v>
      </c>
      <c r="J685" s="2">
        <f>IFERROR(VLOOKUP($A685,observations_series_id_PCU3241913241910_api_key_ecc133893ea92a842ee685c734246086[],3,FALSE),"")</f>
        <v>0.88610680257035235</v>
      </c>
      <c r="K685">
        <f>IFERROR(VLOOKUP($A685,observations_series_id_EXJPUS_api_key_ecc133893ea92a842ee685c734246086_file_type[],2,FALSE),"")</f>
        <v>119.3233</v>
      </c>
      <c r="L685" s="2">
        <f>IFERROR(VLOOKUP($A685,observations_series_id_EXJPUS_api_key_ecc133893ea92a842ee685c734246086_file_type[],3,FALSE),"")</f>
        <v>-2.0004198677039602</v>
      </c>
      <c r="M685" t="str">
        <f>IFERROR(AVERAGEIFS(timeseries_access_key_fqeas14oitk235763mntlb1c0brnk9w3fenzqbk313q5kvxyf52kukw1pa[Value.LME-ZNC],timeseries_access_key_fqeas14oitk235763mntlb1c0brnk9w3fenzqbk313q5kvxyf52kukw1pa[Month],MONTH(Data!$A685),timeseries_access_key_fqeas14oitk235763mntlb1c0brnk9w3fenzqbk313q5kvxyf52kukw1pa[Year],YEAR(Data!$A685)),"")</f>
        <v/>
      </c>
      <c r="N685" s="2" t="str">
        <f>IFERROR(AVERAGEIFS(timeseries_access_key_fqeas14oitk235763mntlb1c0brnk9w3fenzqbk313q5kvxyf52kukw1pa[Column1],timeseries_access_key_fqeas14oitk235763mntlb1c0brnk9w3fenzqbk313q5kvxyf52kukw1pa[Month],MONTH(Data!$A685),timeseries_access_key_fqeas14oitk235763mntlb1c0brnk9w3fenzqbk313q5kvxyf52kukw1pa[Year],YEAR(Data!$A685)),"")</f>
        <v/>
      </c>
      <c r="O685" s="8" t="str">
        <f>IFERROR(VLOOKUP($A685,Text_1_2[[Text.1.1.3]:[Text.1.3]],2,FALSE),"")</f>
        <v/>
      </c>
      <c r="P685" s="2"/>
    </row>
    <row r="686" spans="1:16" x14ac:dyDescent="0.25">
      <c r="A686" s="1">
        <v>42005</v>
      </c>
      <c r="B686">
        <f>HLOOKUP(Dashboard!$I$27,results,ROW(A686),FALSE)</f>
        <v>0.15182357930449542</v>
      </c>
      <c r="C686">
        <f>IFERROR(VLOOKUP(A686,observations_series_id_PCU22112222112243_api_key_ecc133893ea92a842ee685c73424608[],2,FALSE),"")</f>
        <v>185.9</v>
      </c>
      <c r="D686" s="2">
        <f>IFERROR(VLOOKUP(A686,observations_series_id_PCU22112222112243_api_key_ecc133893ea92a842ee685c73424608[],3,FALSE),"")</f>
        <v>0.90640129101667566</v>
      </c>
      <c r="E686">
        <f>IFERROR(VLOOKUP($A686,observations_series_id_WPU0613020T_api_key_ecc133893ea92a842ee685c734246086_file[],2,FALSE),"")</f>
        <v>104.1</v>
      </c>
      <c r="F686" s="2">
        <f>IFERROR(VLOOKUP($A686,observations_series_id_WPU0613020T_api_key_ecc133893ea92a842ee685c734246086_file[],3,FALSE),"")</f>
        <v>3.9385206532180583E-2</v>
      </c>
      <c r="G686">
        <f>IFERROR(VLOOKUP($A686,observations_series_id_PCU22122212_api_key_ecc133893ea92a842ee685c734246086_file[],2,FALSE),"")</f>
        <v>117.9</v>
      </c>
      <c r="H686" s="2">
        <f>IFERROR(VLOOKUP($A686,observations_series_id_PCU22122212_api_key_ecc133893ea92a842ee685c734246086_file[],3,FALSE),"")</f>
        <v>0.15182357930449542</v>
      </c>
      <c r="I686">
        <f>IFERROR(VLOOKUP($A686,observations_series_id_PCU3241913241910_api_key_ecc133893ea92a842ee685c734246086[],2,FALSE),"")</f>
        <v>448.3</v>
      </c>
      <c r="J686" s="2">
        <f>IFERROR(VLOOKUP($A686,observations_series_id_PCU3241913241910_api_key_ecc133893ea92a842ee685c734246086[],3,FALSE),"")</f>
        <v>0.88534463528886909</v>
      </c>
      <c r="K686">
        <f>IFERROR(VLOOKUP($A686,observations_series_id_EXJPUS_api_key_ecc133893ea92a842ee685c734246086_file_type[],2,FALSE),"")</f>
        <v>118.25</v>
      </c>
      <c r="L686" s="2">
        <f>IFERROR(VLOOKUP($A686,observations_series_id_EXJPUS_api_key_ecc133893ea92a842ee685c734246086_file_type[],3,FALSE),"")</f>
        <v>-2.0276532769556024</v>
      </c>
      <c r="M686" t="str">
        <f>IFERROR(AVERAGEIFS(timeseries_access_key_fqeas14oitk235763mntlb1c0brnk9w3fenzqbk313q5kvxyf52kukw1pa[Value.LME-ZNC],timeseries_access_key_fqeas14oitk235763mntlb1c0brnk9w3fenzqbk313q5kvxyf52kukw1pa[Month],MONTH(Data!$A686),timeseries_access_key_fqeas14oitk235763mntlb1c0brnk9w3fenzqbk313q5kvxyf52kukw1pa[Year],YEAR(Data!$A686)),"")</f>
        <v/>
      </c>
      <c r="N686" s="2" t="str">
        <f>IFERROR(AVERAGEIFS(timeseries_access_key_fqeas14oitk235763mntlb1c0brnk9w3fenzqbk313q5kvxyf52kukw1pa[Column1],timeseries_access_key_fqeas14oitk235763mntlb1c0brnk9w3fenzqbk313q5kvxyf52kukw1pa[Month],MONTH(Data!$A686),timeseries_access_key_fqeas14oitk235763mntlb1c0brnk9w3fenzqbk313q5kvxyf52kukw1pa[Year],YEAR(Data!$A686)),"")</f>
        <v/>
      </c>
      <c r="O686" s="8">
        <f>IFERROR(VLOOKUP($A686,Text_1_2[[Text.1.1.3]:[Text.1.3]],2,FALSE),"")</f>
        <v>47000</v>
      </c>
      <c r="P686" s="2"/>
    </row>
    <row r="687" spans="1:16" x14ac:dyDescent="0.25">
      <c r="A687" s="1">
        <v>42036</v>
      </c>
      <c r="B687">
        <f>HLOOKUP(Dashboard!$I$27,results,ROW(A687),FALSE)</f>
        <v>0.12891986062717764</v>
      </c>
      <c r="C687">
        <f>IFERROR(VLOOKUP(A687,observations_series_id_PCU22112222112243_api_key_ecc133893ea92a842ee685c73424608[],2,FALSE),"")</f>
        <v>184.7</v>
      </c>
      <c r="D687" s="2">
        <f>IFERROR(VLOOKUP(A687,observations_series_id_PCU22112222112243_api_key_ecc133893ea92a842ee685c73424608[],3,FALSE),"")</f>
        <v>0.90579317812669191</v>
      </c>
      <c r="E687">
        <f>IFERROR(VLOOKUP($A687,observations_series_id_WPU0613020T_api_key_ecc133893ea92a842ee685c734246086_file[],2,FALSE),"")</f>
        <v>102</v>
      </c>
      <c r="F687" s="2">
        <f>IFERROR(VLOOKUP($A687,observations_series_id_WPU0613020T_api_key_ecc133893ea92a842ee685c734246086_file[],3,FALSE),"")</f>
        <v>1.9607843137254943E-2</v>
      </c>
      <c r="G687">
        <f>IFERROR(VLOOKUP($A687,observations_series_id_PCU22122212_api_key_ecc133893ea92a842ee685c734246086_file[],2,FALSE),"")</f>
        <v>114.8</v>
      </c>
      <c r="H687" s="2">
        <f>IFERROR(VLOOKUP($A687,observations_series_id_PCU22122212_api_key_ecc133893ea92a842ee685c734246086_file[],3,FALSE),"")</f>
        <v>0.12891986062717764</v>
      </c>
      <c r="I687">
        <f>IFERROR(VLOOKUP($A687,observations_series_id_PCU3241913241910_api_key_ecc133893ea92a842ee685c734246086[],2,FALSE),"")</f>
        <v>442.9</v>
      </c>
      <c r="J687" s="2">
        <f>IFERROR(VLOOKUP($A687,observations_series_id_PCU3241913241910_api_key_ecc133893ea92a842ee685c734246086[],3,FALSE),"")</f>
        <v>0.8839467148340483</v>
      </c>
      <c r="K687">
        <f>IFERROR(VLOOKUP($A687,observations_series_id_EXJPUS_api_key_ecc133893ea92a842ee685c734246086_file_type[],2,FALSE),"")</f>
        <v>118.76</v>
      </c>
      <c r="L687" s="2">
        <f>IFERROR(VLOOKUP($A687,observations_series_id_EXJPUS_api_key_ecc133893ea92a842ee685c734246086_file_type[],3,FALSE),"")</f>
        <v>-2.0146513977770288</v>
      </c>
      <c r="M687" t="str">
        <f>IFERROR(AVERAGEIFS(timeseries_access_key_fqeas14oitk235763mntlb1c0brnk9w3fenzqbk313q5kvxyf52kukw1pa[Value.LME-ZNC],timeseries_access_key_fqeas14oitk235763mntlb1c0brnk9w3fenzqbk313q5kvxyf52kukw1pa[Month],MONTH(Data!$A687),timeseries_access_key_fqeas14oitk235763mntlb1c0brnk9w3fenzqbk313q5kvxyf52kukw1pa[Year],YEAR(Data!$A687)),"")</f>
        <v/>
      </c>
      <c r="N687" s="2" t="str">
        <f>IFERROR(AVERAGEIFS(timeseries_access_key_fqeas14oitk235763mntlb1c0brnk9w3fenzqbk313q5kvxyf52kukw1pa[Column1],timeseries_access_key_fqeas14oitk235763mntlb1c0brnk9w3fenzqbk313q5kvxyf52kukw1pa[Month],MONTH(Data!$A687),timeseries_access_key_fqeas14oitk235763mntlb1c0brnk9w3fenzqbk313q5kvxyf52kukw1pa[Year],YEAR(Data!$A687)),"")</f>
        <v/>
      </c>
      <c r="O687" s="8" t="str">
        <f>IFERROR(VLOOKUP($A687,Text_1_2[[Text.1.1.3]:[Text.1.3]],2,FALSE),"")</f>
        <v/>
      </c>
      <c r="P687" s="2"/>
    </row>
    <row r="688" spans="1:16" x14ac:dyDescent="0.25">
      <c r="A688" s="1">
        <v>42064</v>
      </c>
      <c r="B688">
        <f>HLOOKUP(Dashboard!$I$27,results,ROW(A688),FALSE)</f>
        <v>0.11971830985915488</v>
      </c>
      <c r="C688">
        <f>IFERROR(VLOOKUP(A688,observations_series_id_PCU22112222112243_api_key_ecc133893ea92a842ee685c73424608[],2,FALSE),"")</f>
        <v>182.4</v>
      </c>
      <c r="D688" s="2">
        <f>IFERROR(VLOOKUP(A688,observations_series_id_PCU22112222112243_api_key_ecc133893ea92a842ee685c73424608[],3,FALSE),"")</f>
        <v>0.90460526315789469</v>
      </c>
      <c r="E688">
        <f>IFERROR(VLOOKUP($A688,observations_series_id_WPU0613020T_api_key_ecc133893ea92a842ee685c734246086_file[],2,FALSE),"")</f>
        <v>98.8</v>
      </c>
      <c r="F688" s="2">
        <f>IFERROR(VLOOKUP($A688,observations_series_id_WPU0613020T_api_key_ecc133893ea92a842ee685c734246086_file[],3,FALSE),"")</f>
        <v>-1.2145748987854255E-2</v>
      </c>
      <c r="G688">
        <f>IFERROR(VLOOKUP($A688,observations_series_id_PCU22122212_api_key_ecc133893ea92a842ee685c734246086_file[],2,FALSE),"")</f>
        <v>113.6</v>
      </c>
      <c r="H688" s="2">
        <f>IFERROR(VLOOKUP($A688,observations_series_id_PCU22122212_api_key_ecc133893ea92a842ee685c734246086_file[],3,FALSE),"")</f>
        <v>0.11971830985915488</v>
      </c>
      <c r="I688">
        <f>IFERROR(VLOOKUP($A688,observations_series_id_PCU3241913241910_api_key_ecc133893ea92a842ee685c734246086[],2,FALSE),"")</f>
        <v>440.5</v>
      </c>
      <c r="J688" s="2">
        <f>IFERROR(VLOOKUP($A688,observations_series_id_PCU3241913241910_api_key_ecc133893ea92a842ee685c734246086[],3,FALSE),"")</f>
        <v>0.8833144154370034</v>
      </c>
      <c r="K688">
        <f>IFERROR(VLOOKUP($A688,observations_series_id_EXJPUS_api_key_ecc133893ea92a842ee685c734246086_file_type[],2,FALSE),"")</f>
        <v>120.39449999999999</v>
      </c>
      <c r="L688" s="2">
        <f>IFERROR(VLOOKUP($A688,observations_series_id_EXJPUS_api_key_ecc133893ea92a842ee685c734246086_file_type[],3,FALSE),"")</f>
        <v>-1.973723882735507</v>
      </c>
      <c r="M688" t="str">
        <f>IFERROR(AVERAGEIFS(timeseries_access_key_fqeas14oitk235763mntlb1c0brnk9w3fenzqbk313q5kvxyf52kukw1pa[Value.LME-ZNC],timeseries_access_key_fqeas14oitk235763mntlb1c0brnk9w3fenzqbk313q5kvxyf52kukw1pa[Month],MONTH(Data!$A688),timeseries_access_key_fqeas14oitk235763mntlb1c0brnk9w3fenzqbk313q5kvxyf52kukw1pa[Year],YEAR(Data!$A688)),"")</f>
        <v/>
      </c>
      <c r="N688" s="2" t="str">
        <f>IFERROR(AVERAGEIFS(timeseries_access_key_fqeas14oitk235763mntlb1c0brnk9w3fenzqbk313q5kvxyf52kukw1pa[Column1],timeseries_access_key_fqeas14oitk235763mntlb1c0brnk9w3fenzqbk313q5kvxyf52kukw1pa[Month],MONTH(Data!$A688),timeseries_access_key_fqeas14oitk235763mntlb1c0brnk9w3fenzqbk313q5kvxyf52kukw1pa[Year],YEAR(Data!$A688)),"")</f>
        <v/>
      </c>
      <c r="O688" s="8" t="str">
        <f>IFERROR(VLOOKUP($A688,Text_1_2[[Text.1.1.3]:[Text.1.3]],2,FALSE),"")</f>
        <v/>
      </c>
      <c r="P688" s="2"/>
    </row>
    <row r="689" spans="1:16" x14ac:dyDescent="0.25">
      <c r="A689" s="1">
        <v>42095</v>
      </c>
      <c r="B689">
        <f>HLOOKUP(Dashboard!$I$27,results,ROW(A689),FALSE)</f>
        <v>8.5086916742909358E-2</v>
      </c>
      <c r="C689">
        <f>IFERROR(VLOOKUP(A689,observations_series_id_PCU22112222112243_api_key_ecc133893ea92a842ee685c73424608[],2,FALSE),"")</f>
        <v>178.4</v>
      </c>
      <c r="D689" s="2">
        <f>IFERROR(VLOOKUP(A689,observations_series_id_PCU22112222112243_api_key_ecc133893ea92a842ee685c73424608[],3,FALSE),"")</f>
        <v>0.90246636771300448</v>
      </c>
      <c r="E689">
        <f>IFERROR(VLOOKUP($A689,observations_series_id_WPU0613020T_api_key_ecc133893ea92a842ee685c734246086_file[],2,FALSE),"")</f>
        <v>99</v>
      </c>
      <c r="F689" s="2">
        <f>IFERROR(VLOOKUP($A689,observations_series_id_WPU0613020T_api_key_ecc133893ea92a842ee685c734246086_file[],3,FALSE),"")</f>
        <v>-1.0101010101010166E-2</v>
      </c>
      <c r="G689">
        <f>IFERROR(VLOOKUP($A689,observations_series_id_PCU22122212_api_key_ecc133893ea92a842ee685c734246086_file[],2,FALSE),"")</f>
        <v>109.3</v>
      </c>
      <c r="H689" s="2">
        <f>IFERROR(VLOOKUP($A689,observations_series_id_PCU22122212_api_key_ecc133893ea92a842ee685c734246086_file[],3,FALSE),"")</f>
        <v>8.5086916742909358E-2</v>
      </c>
      <c r="I689">
        <f>IFERROR(VLOOKUP($A689,observations_series_id_PCU3241913241910_api_key_ecc133893ea92a842ee685c734246086[],2,FALSE),"")</f>
        <v>441.8</v>
      </c>
      <c r="J689" s="2">
        <f>IFERROR(VLOOKUP($A689,observations_series_id_PCU3241913241910_api_key_ecc133893ea92a842ee685c734246086[],3,FALSE),"")</f>
        <v>0.88365776369397919</v>
      </c>
      <c r="K689">
        <f>IFERROR(VLOOKUP($A689,observations_series_id_EXJPUS_api_key_ecc133893ea92a842ee685c734246086_file_type[],2,FALSE),"")</f>
        <v>119.5095</v>
      </c>
      <c r="L689" s="2">
        <f>IFERROR(VLOOKUP($A689,observations_series_id_EXJPUS_api_key_ecc133893ea92a842ee685c734246086_file_type[],3,FALSE),"")</f>
        <v>-1.995745108129479</v>
      </c>
      <c r="M689" t="str">
        <f>IFERROR(AVERAGEIFS(timeseries_access_key_fqeas14oitk235763mntlb1c0brnk9w3fenzqbk313q5kvxyf52kukw1pa[Value.LME-ZNC],timeseries_access_key_fqeas14oitk235763mntlb1c0brnk9w3fenzqbk313q5kvxyf52kukw1pa[Month],MONTH(Data!$A689),timeseries_access_key_fqeas14oitk235763mntlb1c0brnk9w3fenzqbk313q5kvxyf52kukw1pa[Year],YEAR(Data!$A689)),"")</f>
        <v/>
      </c>
      <c r="N689" s="2" t="str">
        <f>IFERROR(AVERAGEIFS(timeseries_access_key_fqeas14oitk235763mntlb1c0brnk9w3fenzqbk313q5kvxyf52kukw1pa[Column1],timeseries_access_key_fqeas14oitk235763mntlb1c0brnk9w3fenzqbk313q5kvxyf52kukw1pa[Month],MONTH(Data!$A689),timeseries_access_key_fqeas14oitk235763mntlb1c0brnk9w3fenzqbk313q5kvxyf52kukw1pa[Year],YEAR(Data!$A689)),"")</f>
        <v/>
      </c>
      <c r="O689" s="8">
        <f>IFERROR(VLOOKUP($A689,Text_1_2[[Text.1.1.3]:[Text.1.3]],2,FALSE),"")</f>
        <v>48800</v>
      </c>
      <c r="P689" s="2"/>
    </row>
    <row r="690" spans="1:16" x14ac:dyDescent="0.25">
      <c r="A690" s="1">
        <v>42125</v>
      </c>
      <c r="B690">
        <f>HLOOKUP(Dashboard!$I$27,results,ROW(A690),FALSE)</f>
        <v>6.0150375939849621E-2</v>
      </c>
      <c r="C690">
        <f>IFERROR(VLOOKUP(A690,observations_series_id_PCU22112222112243_api_key_ecc133893ea92a842ee685c73424608[],2,FALSE),"")</f>
        <v>181.5</v>
      </c>
      <c r="D690" s="2">
        <f>IFERROR(VLOOKUP(A690,observations_series_id_PCU22112222112243_api_key_ecc133893ea92a842ee685c73424608[],3,FALSE),"")</f>
        <v>0.90413223140495869</v>
      </c>
      <c r="E690">
        <f>IFERROR(VLOOKUP($A690,observations_series_id_WPU0613020T_api_key_ecc133893ea92a842ee685c734246086_file[],2,FALSE),"")</f>
        <v>99</v>
      </c>
      <c r="F690" s="2">
        <f>IFERROR(VLOOKUP($A690,observations_series_id_WPU0613020T_api_key_ecc133893ea92a842ee685c734246086_file[],3,FALSE),"")</f>
        <v>-1.0101010101010166E-2</v>
      </c>
      <c r="G690">
        <f>IFERROR(VLOOKUP($A690,observations_series_id_PCU22122212_api_key_ecc133893ea92a842ee685c734246086_file[],2,FALSE),"")</f>
        <v>106.4</v>
      </c>
      <c r="H690" s="2">
        <f>IFERROR(VLOOKUP($A690,observations_series_id_PCU22122212_api_key_ecc133893ea92a842ee685c734246086_file[],3,FALSE),"")</f>
        <v>6.0150375939849621E-2</v>
      </c>
      <c r="I690">
        <f>IFERROR(VLOOKUP($A690,observations_series_id_PCU3241913241910_api_key_ecc133893ea92a842ee685c734246086[],2,FALSE),"")</f>
        <v>441.8</v>
      </c>
      <c r="J690" s="2">
        <f>IFERROR(VLOOKUP($A690,observations_series_id_PCU3241913241910_api_key_ecc133893ea92a842ee685c734246086[],3,FALSE),"")</f>
        <v>0.88365776369397919</v>
      </c>
      <c r="K690">
        <f>IFERROR(VLOOKUP($A690,observations_series_id_EXJPUS_api_key_ecc133893ea92a842ee685c734246086_file_type[],2,FALSE),"")</f>
        <v>120.798</v>
      </c>
      <c r="L690" s="2">
        <f>IFERROR(VLOOKUP($A690,observations_series_id_EXJPUS_api_key_ecc133893ea92a842ee685c734246086_file_type[],3,FALSE),"")</f>
        <v>-1.9637907912382655</v>
      </c>
      <c r="M690" t="str">
        <f>IFERROR(AVERAGEIFS(timeseries_access_key_fqeas14oitk235763mntlb1c0brnk9w3fenzqbk313q5kvxyf52kukw1pa[Value.LME-ZNC],timeseries_access_key_fqeas14oitk235763mntlb1c0brnk9w3fenzqbk313q5kvxyf52kukw1pa[Month],MONTH(Data!$A690),timeseries_access_key_fqeas14oitk235763mntlb1c0brnk9w3fenzqbk313q5kvxyf52kukw1pa[Year],YEAR(Data!$A690)),"")</f>
        <v/>
      </c>
      <c r="N690" s="2" t="str">
        <f>IFERROR(AVERAGEIFS(timeseries_access_key_fqeas14oitk235763mntlb1c0brnk9w3fenzqbk313q5kvxyf52kukw1pa[Column1],timeseries_access_key_fqeas14oitk235763mntlb1c0brnk9w3fenzqbk313q5kvxyf52kukw1pa[Month],MONTH(Data!$A690),timeseries_access_key_fqeas14oitk235763mntlb1c0brnk9w3fenzqbk313q5kvxyf52kukw1pa[Year],YEAR(Data!$A690)),"")</f>
        <v/>
      </c>
      <c r="O690" s="8" t="str">
        <f>IFERROR(VLOOKUP($A690,Text_1_2[[Text.1.1.3]:[Text.1.3]],2,FALSE),"")</f>
        <v/>
      </c>
      <c r="P690" s="2"/>
    </row>
    <row r="691" spans="1:16" x14ac:dyDescent="0.25">
      <c r="A691" s="1">
        <v>42156</v>
      </c>
      <c r="B691">
        <f>HLOOKUP(Dashboard!$I$27,results,ROW(A691),FALSE)</f>
        <v>8.256880733944949E-2</v>
      </c>
      <c r="C691">
        <f>IFERROR(VLOOKUP(A691,observations_series_id_PCU22112222112243_api_key_ecc133893ea92a842ee685c73424608[],2,FALSE),"")</f>
        <v>197.8</v>
      </c>
      <c r="D691" s="2">
        <f>IFERROR(VLOOKUP(A691,observations_series_id_PCU22112222112243_api_key_ecc133893ea92a842ee685c73424608[],3,FALSE),"")</f>
        <v>0.91203235591506571</v>
      </c>
      <c r="E691">
        <f>IFERROR(VLOOKUP($A691,observations_series_id_WPU0613020T_api_key_ecc133893ea92a842ee685c734246086_file[],2,FALSE),"")</f>
        <v>97.1</v>
      </c>
      <c r="F691" s="2">
        <f>IFERROR(VLOOKUP($A691,observations_series_id_WPU0613020T_api_key_ecc133893ea92a842ee685c734246086_file[],3,FALSE),"")</f>
        <v>-2.9866117404737436E-2</v>
      </c>
      <c r="G691">
        <f>IFERROR(VLOOKUP($A691,observations_series_id_PCU22122212_api_key_ecc133893ea92a842ee685c734246086_file[],2,FALSE),"")</f>
        <v>109</v>
      </c>
      <c r="H691" s="2">
        <f>IFERROR(VLOOKUP($A691,observations_series_id_PCU22122212_api_key_ecc133893ea92a842ee685c734246086_file[],3,FALSE),"")</f>
        <v>8.256880733944949E-2</v>
      </c>
      <c r="I691">
        <f>IFERROR(VLOOKUP($A691,observations_series_id_PCU3241913241910_api_key_ecc133893ea92a842ee685c734246086[],2,FALSE),"")</f>
        <v>439.1</v>
      </c>
      <c r="J691" s="2">
        <f>IFERROR(VLOOKUP($A691,observations_series_id_PCU3241913241910_api_key_ecc133893ea92a842ee685c734246086[],3,FALSE),"")</f>
        <v>0.88294238214529719</v>
      </c>
      <c r="K691">
        <f>IFERROR(VLOOKUP($A691,observations_series_id_EXJPUS_api_key_ecc133893ea92a842ee685c734246086_file_type[],2,FALSE),"")</f>
        <v>123.7186</v>
      </c>
      <c r="L691" s="2">
        <f>IFERROR(VLOOKUP($A691,observations_series_id_EXJPUS_api_key_ecc133893ea92a842ee685c734246086_file_type[],3,FALSE),"")</f>
        <v>-1.8938251806923132</v>
      </c>
      <c r="M691" t="str">
        <f>IFERROR(AVERAGEIFS(timeseries_access_key_fqeas14oitk235763mntlb1c0brnk9w3fenzqbk313q5kvxyf52kukw1pa[Value.LME-ZNC],timeseries_access_key_fqeas14oitk235763mntlb1c0brnk9w3fenzqbk313q5kvxyf52kukw1pa[Month],MONTH(Data!$A691),timeseries_access_key_fqeas14oitk235763mntlb1c0brnk9w3fenzqbk313q5kvxyf52kukw1pa[Year],YEAR(Data!$A691)),"")</f>
        <v/>
      </c>
      <c r="N691" s="2" t="str">
        <f>IFERROR(AVERAGEIFS(timeseries_access_key_fqeas14oitk235763mntlb1c0brnk9w3fenzqbk313q5kvxyf52kukw1pa[Column1],timeseries_access_key_fqeas14oitk235763mntlb1c0brnk9w3fenzqbk313q5kvxyf52kukw1pa[Month],MONTH(Data!$A691),timeseries_access_key_fqeas14oitk235763mntlb1c0brnk9w3fenzqbk313q5kvxyf52kukw1pa[Year],YEAR(Data!$A691)),"")</f>
        <v/>
      </c>
      <c r="O691" s="8" t="str">
        <f>IFERROR(VLOOKUP($A691,Text_1_2[[Text.1.1.3]:[Text.1.3]],2,FALSE),"")</f>
        <v/>
      </c>
      <c r="P691" s="2"/>
    </row>
    <row r="692" spans="1:16" x14ac:dyDescent="0.25">
      <c r="A692" s="1">
        <v>42186</v>
      </c>
      <c r="B692">
        <f>HLOOKUP(Dashboard!$I$27,results,ROW(A692),FALSE)</f>
        <v>8.0036798528058894E-2</v>
      </c>
      <c r="C692">
        <f>IFERROR(VLOOKUP(A692,observations_series_id_PCU22112222112243_api_key_ecc133893ea92a842ee685c73424608[],2,FALSE),"")</f>
        <v>197.7</v>
      </c>
      <c r="D692" s="2">
        <f>IFERROR(VLOOKUP(A692,observations_series_id_PCU22112222112243_api_key_ecc133893ea92a842ee685c73424608[],3,FALSE),"")</f>
        <v>0.91198786039453716</v>
      </c>
      <c r="E692">
        <f>IFERROR(VLOOKUP($A692,observations_series_id_WPU0613020T_api_key_ecc133893ea92a842ee685c734246086_file[],2,FALSE),"")</f>
        <v>96.7</v>
      </c>
      <c r="F692" s="2">
        <f>IFERROR(VLOOKUP($A692,observations_series_id_WPU0613020T_api_key_ecc133893ea92a842ee685c734246086_file[],3,FALSE),"")</f>
        <v>-3.4126163391933861E-2</v>
      </c>
      <c r="G692">
        <f>IFERROR(VLOOKUP($A692,observations_series_id_PCU22122212_api_key_ecc133893ea92a842ee685c734246086_file[],2,FALSE),"")</f>
        <v>108.7</v>
      </c>
      <c r="H692" s="2">
        <f>IFERROR(VLOOKUP($A692,observations_series_id_PCU22122212_api_key_ecc133893ea92a842ee685c734246086_file[],3,FALSE),"")</f>
        <v>8.0036798528058894E-2</v>
      </c>
      <c r="I692">
        <f>IFERROR(VLOOKUP($A692,observations_series_id_PCU3241913241910_api_key_ecc133893ea92a842ee685c734246086[],2,FALSE),"")</f>
        <v>435.4</v>
      </c>
      <c r="J692" s="2">
        <f>IFERROR(VLOOKUP($A692,observations_series_id_PCU3241913241910_api_key_ecc133893ea92a842ee685c734246086[],3,FALSE),"")</f>
        <v>0.88194763435920986</v>
      </c>
      <c r="K692">
        <f>IFERROR(VLOOKUP($A692,observations_series_id_EXJPUS_api_key_ecc133893ea92a842ee685c734246086_file_type[],2,FALSE),"")</f>
        <v>123.3109</v>
      </c>
      <c r="L692" s="2">
        <f>IFERROR(VLOOKUP($A692,observations_series_id_EXJPUS_api_key_ecc133893ea92a842ee685c734246086_file_type[],3,FALSE),"")</f>
        <v>-1.9033929685048117</v>
      </c>
      <c r="M692" t="str">
        <f>IFERROR(AVERAGEIFS(timeseries_access_key_fqeas14oitk235763mntlb1c0brnk9w3fenzqbk313q5kvxyf52kukw1pa[Value.LME-ZNC],timeseries_access_key_fqeas14oitk235763mntlb1c0brnk9w3fenzqbk313q5kvxyf52kukw1pa[Month],MONTH(Data!$A692),timeseries_access_key_fqeas14oitk235763mntlb1c0brnk9w3fenzqbk313q5kvxyf52kukw1pa[Year],YEAR(Data!$A692)),"")</f>
        <v/>
      </c>
      <c r="N692" s="2" t="str">
        <f>IFERROR(AVERAGEIFS(timeseries_access_key_fqeas14oitk235763mntlb1c0brnk9w3fenzqbk313q5kvxyf52kukw1pa[Column1],timeseries_access_key_fqeas14oitk235763mntlb1c0brnk9w3fenzqbk313q5kvxyf52kukw1pa[Month],MONTH(Data!$A692),timeseries_access_key_fqeas14oitk235763mntlb1c0brnk9w3fenzqbk313q5kvxyf52kukw1pa[Year],YEAR(Data!$A692)),"")</f>
        <v/>
      </c>
      <c r="O692" s="8">
        <f>IFERROR(VLOOKUP($A692,Text_1_2[[Text.1.1.3]:[Text.1.3]],2,FALSE),"")</f>
        <v>47200</v>
      </c>
      <c r="P692" s="2"/>
    </row>
    <row r="693" spans="1:16" x14ac:dyDescent="0.25">
      <c r="A693" s="1">
        <v>42217</v>
      </c>
      <c r="B693">
        <f>HLOOKUP(Dashboard!$I$27,results,ROW(A693),FALSE)</f>
        <v>8.3409715857011846E-2</v>
      </c>
      <c r="C693">
        <f>IFERROR(VLOOKUP(A693,observations_series_id_PCU22112222112243_api_key_ecc133893ea92a842ee685c73424608[],2,FALSE),"")</f>
        <v>197.3</v>
      </c>
      <c r="D693" s="2">
        <f>IFERROR(VLOOKUP(A693,observations_series_id_PCU22112222112243_api_key_ecc133893ea92a842ee685c73424608[],3,FALSE),"")</f>
        <v>0.91180942726811964</v>
      </c>
      <c r="E693">
        <f>IFERROR(VLOOKUP($A693,observations_series_id_WPU0613020T_api_key_ecc133893ea92a842ee685c734246086_file[],2,FALSE),"")</f>
        <v>97</v>
      </c>
      <c r="F693" s="2">
        <f>IFERROR(VLOOKUP($A693,observations_series_id_WPU0613020T_api_key_ecc133893ea92a842ee685c734246086_file[],3,FALSE),"")</f>
        <v>-3.0927835051546282E-2</v>
      </c>
      <c r="G693">
        <f>IFERROR(VLOOKUP($A693,observations_series_id_PCU22122212_api_key_ecc133893ea92a842ee685c734246086_file[],2,FALSE),"")</f>
        <v>109.1</v>
      </c>
      <c r="H693" s="2">
        <f>IFERROR(VLOOKUP($A693,observations_series_id_PCU22122212_api_key_ecc133893ea92a842ee685c734246086_file[],3,FALSE),"")</f>
        <v>8.3409715857011846E-2</v>
      </c>
      <c r="I693">
        <f>IFERROR(VLOOKUP($A693,observations_series_id_PCU3241913241910_api_key_ecc133893ea92a842ee685c734246086[],2,FALSE),"")</f>
        <v>439.7</v>
      </c>
      <c r="J693" s="2">
        <f>IFERROR(VLOOKUP($A693,observations_series_id_PCU3241913241910_api_key_ecc133893ea92a842ee685c734246086[],3,FALSE),"")</f>
        <v>0.88310211507846259</v>
      </c>
      <c r="K693">
        <f>IFERROR(VLOOKUP($A693,observations_series_id_EXJPUS_api_key_ecc133893ea92a842ee685c734246086_file_type[],2,FALSE),"")</f>
        <v>123.0038</v>
      </c>
      <c r="L693" s="2">
        <f>IFERROR(VLOOKUP($A693,observations_series_id_EXJPUS_api_key_ecc133893ea92a842ee685c734246086_file_type[],3,FALSE),"")</f>
        <v>-1.9106417850505428</v>
      </c>
      <c r="M693" t="str">
        <f>IFERROR(AVERAGEIFS(timeseries_access_key_fqeas14oitk235763mntlb1c0brnk9w3fenzqbk313q5kvxyf52kukw1pa[Value.LME-ZNC],timeseries_access_key_fqeas14oitk235763mntlb1c0brnk9w3fenzqbk313q5kvxyf52kukw1pa[Month],MONTH(Data!$A693),timeseries_access_key_fqeas14oitk235763mntlb1c0brnk9w3fenzqbk313q5kvxyf52kukw1pa[Year],YEAR(Data!$A693)),"")</f>
        <v/>
      </c>
      <c r="N693" s="2" t="str">
        <f>IFERROR(AVERAGEIFS(timeseries_access_key_fqeas14oitk235763mntlb1c0brnk9w3fenzqbk313q5kvxyf52kukw1pa[Column1],timeseries_access_key_fqeas14oitk235763mntlb1c0brnk9w3fenzqbk313q5kvxyf52kukw1pa[Month],MONTH(Data!$A693),timeseries_access_key_fqeas14oitk235763mntlb1c0brnk9w3fenzqbk313q5kvxyf52kukw1pa[Year],YEAR(Data!$A693)),"")</f>
        <v/>
      </c>
      <c r="O693" s="8" t="str">
        <f>IFERROR(VLOOKUP($A693,Text_1_2[[Text.1.1.3]:[Text.1.3]],2,FALSE),"")</f>
        <v/>
      </c>
      <c r="P693" s="2"/>
    </row>
    <row r="694" spans="1:16" x14ac:dyDescent="0.25">
      <c r="A694" s="1">
        <v>42248</v>
      </c>
      <c r="B694">
        <f>HLOOKUP(Dashboard!$I$27,results,ROW(A694),FALSE)</f>
        <v>6.9767441860465129E-2</v>
      </c>
      <c r="C694">
        <f>IFERROR(VLOOKUP(A694,observations_series_id_PCU22112222112243_api_key_ecc133893ea92a842ee685c73424608[],2,FALSE),"")</f>
        <v>195.1</v>
      </c>
      <c r="D694" s="2">
        <f>IFERROR(VLOOKUP(A694,observations_series_id_PCU22112222112243_api_key_ecc133893ea92a842ee685c73424608[],3,FALSE),"")</f>
        <v>0.91081496668375195</v>
      </c>
      <c r="E694">
        <f>IFERROR(VLOOKUP($A694,observations_series_id_WPU0613020T_api_key_ecc133893ea92a842ee685c734246086_file[],2,FALSE),"")</f>
        <v>95.4</v>
      </c>
      <c r="F694" s="2">
        <f>IFERROR(VLOOKUP($A694,observations_series_id_WPU0613020T_api_key_ecc133893ea92a842ee685c734246086_file[],3,FALSE),"")</f>
        <v>-4.8218029350104663E-2</v>
      </c>
      <c r="G694">
        <f>IFERROR(VLOOKUP($A694,observations_series_id_PCU22122212_api_key_ecc133893ea92a842ee685c734246086_file[],2,FALSE),"")</f>
        <v>107.5</v>
      </c>
      <c r="H694" s="2">
        <f>IFERROR(VLOOKUP($A694,observations_series_id_PCU22122212_api_key_ecc133893ea92a842ee685c734246086_file[],3,FALSE),"")</f>
        <v>6.9767441860465129E-2</v>
      </c>
      <c r="I694">
        <f>IFERROR(VLOOKUP($A694,observations_series_id_PCU3241913241910_api_key_ecc133893ea92a842ee685c734246086[],2,FALSE),"")</f>
        <v>436.7</v>
      </c>
      <c r="J694" s="2">
        <f>IFERROR(VLOOKUP($A694,observations_series_id_PCU3241913241910_api_key_ecc133893ea92a842ee685c734246086[],3,FALSE),"")</f>
        <v>0.88229906114037093</v>
      </c>
      <c r="K694">
        <f>IFERROR(VLOOKUP($A694,observations_series_id_EXJPUS_api_key_ecc133893ea92a842ee685c734246086_file_type[],2,FALSE),"")</f>
        <v>120.1476</v>
      </c>
      <c r="L694" s="2">
        <f>IFERROR(VLOOKUP($A694,observations_series_id_EXJPUS_api_key_ecc133893ea92a842ee685c734246086_file_type[],3,FALSE),"")</f>
        <v>-1.9798348031920736</v>
      </c>
      <c r="M694" t="str">
        <f>IFERROR(AVERAGEIFS(timeseries_access_key_fqeas14oitk235763mntlb1c0brnk9w3fenzqbk313q5kvxyf52kukw1pa[Value.LME-ZNC],timeseries_access_key_fqeas14oitk235763mntlb1c0brnk9w3fenzqbk313q5kvxyf52kukw1pa[Month],MONTH(Data!$A694),timeseries_access_key_fqeas14oitk235763mntlb1c0brnk9w3fenzqbk313q5kvxyf52kukw1pa[Year],YEAR(Data!$A694)),"")</f>
        <v/>
      </c>
      <c r="N694" s="2" t="str">
        <f>IFERROR(AVERAGEIFS(timeseries_access_key_fqeas14oitk235763mntlb1c0brnk9w3fenzqbk313q5kvxyf52kukw1pa[Column1],timeseries_access_key_fqeas14oitk235763mntlb1c0brnk9w3fenzqbk313q5kvxyf52kukw1pa[Month],MONTH(Data!$A694),timeseries_access_key_fqeas14oitk235763mntlb1c0brnk9w3fenzqbk313q5kvxyf52kukw1pa[Year],YEAR(Data!$A694)),"")</f>
        <v/>
      </c>
      <c r="O694" s="8" t="str">
        <f>IFERROR(VLOOKUP($A694,Text_1_2[[Text.1.1.3]:[Text.1.3]],2,FALSE),"")</f>
        <v/>
      </c>
      <c r="P694" s="2"/>
    </row>
    <row r="695" spans="1:16" x14ac:dyDescent="0.25">
      <c r="A695" s="1">
        <v>42278</v>
      </c>
      <c r="B695">
        <f>HLOOKUP(Dashboard!$I$27,results,ROW(A695),FALSE)</f>
        <v>7.2356215213357999E-2</v>
      </c>
      <c r="C695">
        <f>IFERROR(VLOOKUP(A695,observations_series_id_PCU22112222112243_api_key_ecc133893ea92a842ee685c73424608[],2,FALSE),"")</f>
        <v>182.1</v>
      </c>
      <c r="D695" s="2">
        <f>IFERROR(VLOOKUP(A695,observations_series_id_PCU22112222112243_api_key_ecc133893ea92a842ee685c73424608[],3,FALSE),"")</f>
        <v>0.90444810543657328</v>
      </c>
      <c r="E695">
        <f>IFERROR(VLOOKUP($A695,observations_series_id_WPU0613020T_api_key_ecc133893ea92a842ee685c734246086_file[],2,FALSE),"")</f>
        <v>96.8</v>
      </c>
      <c r="F695" s="2">
        <f>IFERROR(VLOOKUP($A695,observations_series_id_WPU0613020T_api_key_ecc133893ea92a842ee685c734246086_file[],3,FALSE),"")</f>
        <v>-3.3057851239669533E-2</v>
      </c>
      <c r="G695">
        <f>IFERROR(VLOOKUP($A695,observations_series_id_PCU22122212_api_key_ecc133893ea92a842ee685c734246086_file[],2,FALSE),"")</f>
        <v>107.8</v>
      </c>
      <c r="H695" s="2">
        <f>IFERROR(VLOOKUP($A695,observations_series_id_PCU22122212_api_key_ecc133893ea92a842ee685c734246086_file[],3,FALSE),"")</f>
        <v>7.2356215213357999E-2</v>
      </c>
      <c r="I695">
        <f>IFERROR(VLOOKUP($A695,observations_series_id_PCU3241913241910_api_key_ecc133893ea92a842ee685c734246086[],2,FALSE),"")</f>
        <v>431.3</v>
      </c>
      <c r="J695" s="2">
        <f>IFERROR(VLOOKUP($A695,observations_series_id_PCU3241913241910_api_key_ecc133893ea92a842ee685c734246086[],3,FALSE),"")</f>
        <v>0.88082541154648741</v>
      </c>
      <c r="K695">
        <f>IFERROR(VLOOKUP($A695,observations_series_id_EXJPUS_api_key_ecc133893ea92a842ee685c734246086_file_type[],2,FALSE),"")</f>
        <v>120.04810000000001</v>
      </c>
      <c r="L695" s="2">
        <f>IFERROR(VLOOKUP($A695,observations_series_id_EXJPUS_api_key_ecc133893ea92a842ee685c734246086_file_type[],3,FALSE),"")</f>
        <v>-1.9823045929090086</v>
      </c>
      <c r="M695" t="str">
        <f>IFERROR(AVERAGEIFS(timeseries_access_key_fqeas14oitk235763mntlb1c0brnk9w3fenzqbk313q5kvxyf52kukw1pa[Value.LME-ZNC],timeseries_access_key_fqeas14oitk235763mntlb1c0brnk9w3fenzqbk313q5kvxyf52kukw1pa[Month],MONTH(Data!$A695),timeseries_access_key_fqeas14oitk235763mntlb1c0brnk9w3fenzqbk313q5kvxyf52kukw1pa[Year],YEAR(Data!$A695)),"")</f>
        <v/>
      </c>
      <c r="N695" s="2" t="str">
        <f>IFERROR(AVERAGEIFS(timeseries_access_key_fqeas14oitk235763mntlb1c0brnk9w3fenzqbk313q5kvxyf52kukw1pa[Column1],timeseries_access_key_fqeas14oitk235763mntlb1c0brnk9w3fenzqbk313q5kvxyf52kukw1pa[Month],MONTH(Data!$A695),timeseries_access_key_fqeas14oitk235763mntlb1c0brnk9w3fenzqbk313q5kvxyf52kukw1pa[Year],YEAR(Data!$A695)),"")</f>
        <v/>
      </c>
      <c r="O695" s="8">
        <f>IFERROR(VLOOKUP($A695,Text_1_2[[Text.1.1.3]:[Text.1.3]],2,FALSE),"")</f>
        <v>40900</v>
      </c>
      <c r="P695" s="2"/>
    </row>
    <row r="696" spans="1:16" x14ac:dyDescent="0.25">
      <c r="A696" s="1">
        <v>42309</v>
      </c>
      <c r="B696">
        <f>HLOOKUP(Dashboard!$I$27,results,ROW(A696),FALSE)</f>
        <v>6.0150375939849621E-2</v>
      </c>
      <c r="C696">
        <f>IFERROR(VLOOKUP(A696,observations_series_id_PCU22112222112243_api_key_ecc133893ea92a842ee685c73424608[],2,FALSE),"")</f>
        <v>178.1</v>
      </c>
      <c r="D696" s="2">
        <f>IFERROR(VLOOKUP(A696,observations_series_id_PCU22112222112243_api_key_ecc133893ea92a842ee685c73424608[],3,FALSE),"")</f>
        <v>0.90230207748455926</v>
      </c>
      <c r="E696">
        <f>IFERROR(VLOOKUP($A696,observations_series_id_WPU0613020T_api_key_ecc133893ea92a842ee685c734246086_file[],2,FALSE),"")</f>
        <v>96.5</v>
      </c>
      <c r="F696" s="2">
        <f>IFERROR(VLOOKUP($A696,observations_series_id_WPU0613020T_api_key_ecc133893ea92a842ee685c734246086_file[],3,FALSE),"")</f>
        <v>-3.6269430051813378E-2</v>
      </c>
      <c r="G696">
        <f>IFERROR(VLOOKUP($A696,observations_series_id_PCU22122212_api_key_ecc133893ea92a842ee685c734246086_file[],2,FALSE),"")</f>
        <v>106.4</v>
      </c>
      <c r="H696" s="2">
        <f>IFERROR(VLOOKUP($A696,observations_series_id_PCU22122212_api_key_ecc133893ea92a842ee685c734246086_file[],3,FALSE),"")</f>
        <v>6.0150375939849621E-2</v>
      </c>
      <c r="I696">
        <f>IFERROR(VLOOKUP($A696,observations_series_id_PCU3241913241910_api_key_ecc133893ea92a842ee685c734246086[],2,FALSE),"")</f>
        <v>430.2</v>
      </c>
      <c r="J696" s="2">
        <f>IFERROR(VLOOKUP($A696,observations_series_id_PCU3241913241910_api_key_ecc133893ea92a842ee685c734246086[],3,FALSE),"")</f>
        <v>0.88052068805206885</v>
      </c>
      <c r="K696">
        <f>IFERROR(VLOOKUP($A696,observations_series_id_EXJPUS_api_key_ecc133893ea92a842ee685c734246086_file_type[],2,FALSE),"")</f>
        <v>122.64319999999999</v>
      </c>
      <c r="L696" s="2">
        <f>IFERROR(VLOOKUP($A696,observations_series_id_EXJPUS_api_key_ecc133893ea92a842ee685c734246086_file_type[],3,FALSE),"")</f>
        <v>-1.9191997599540782</v>
      </c>
      <c r="M696" t="str">
        <f>IFERROR(AVERAGEIFS(timeseries_access_key_fqeas14oitk235763mntlb1c0brnk9w3fenzqbk313q5kvxyf52kukw1pa[Value.LME-ZNC],timeseries_access_key_fqeas14oitk235763mntlb1c0brnk9w3fenzqbk313q5kvxyf52kukw1pa[Month],MONTH(Data!$A696),timeseries_access_key_fqeas14oitk235763mntlb1c0brnk9w3fenzqbk313q5kvxyf52kukw1pa[Year],YEAR(Data!$A696)),"")</f>
        <v/>
      </c>
      <c r="N696" s="2" t="str">
        <f>IFERROR(AVERAGEIFS(timeseries_access_key_fqeas14oitk235763mntlb1c0brnk9w3fenzqbk313q5kvxyf52kukw1pa[Column1],timeseries_access_key_fqeas14oitk235763mntlb1c0brnk9w3fenzqbk313q5kvxyf52kukw1pa[Month],MONTH(Data!$A696),timeseries_access_key_fqeas14oitk235763mntlb1c0brnk9w3fenzqbk313q5kvxyf52kukw1pa[Year],YEAR(Data!$A696)),"")</f>
        <v/>
      </c>
      <c r="O696" s="8" t="str">
        <f>IFERROR(VLOOKUP($A696,Text_1_2[[Text.1.1.3]:[Text.1.3]],2,FALSE),"")</f>
        <v/>
      </c>
      <c r="P696" s="2"/>
    </row>
    <row r="697" spans="1:16" x14ac:dyDescent="0.25">
      <c r="A697" s="1">
        <v>42339</v>
      </c>
      <c r="B697">
        <f>HLOOKUP(Dashboard!$I$27,results,ROW(A697),FALSE)</f>
        <v>6.367041198501866E-2</v>
      </c>
      <c r="C697">
        <f>IFERROR(VLOOKUP(A697,observations_series_id_PCU22112222112243_api_key_ecc133893ea92a842ee685c73424608[],2,FALSE),"")</f>
        <v>179.2</v>
      </c>
      <c r="D697" s="2">
        <f>IFERROR(VLOOKUP(A697,observations_series_id_PCU22112222112243_api_key_ecc133893ea92a842ee685c73424608[],3,FALSE),"")</f>
        <v>0.9029017857142857</v>
      </c>
      <c r="E697">
        <f>IFERROR(VLOOKUP($A697,observations_series_id_WPU0613020T_api_key_ecc133893ea92a842ee685c734246086_file[],2,FALSE),"")</f>
        <v>95.6</v>
      </c>
      <c r="F697" s="2">
        <f>IFERROR(VLOOKUP($A697,observations_series_id_WPU0613020T_api_key_ecc133893ea92a842ee685c734246086_file[],3,FALSE),"")</f>
        <v>-4.6025104602510414E-2</v>
      </c>
      <c r="G697">
        <f>IFERROR(VLOOKUP($A697,observations_series_id_PCU22122212_api_key_ecc133893ea92a842ee685c734246086_file[],2,FALSE),"")</f>
        <v>106.8</v>
      </c>
      <c r="H697" s="2">
        <f>IFERROR(VLOOKUP($A697,observations_series_id_PCU22122212_api_key_ecc133893ea92a842ee685c734246086_file[],3,FALSE),"")</f>
        <v>6.367041198501866E-2</v>
      </c>
      <c r="I697">
        <f>IFERROR(VLOOKUP($A697,observations_series_id_PCU3241913241910_api_key_ecc133893ea92a842ee685c734246086[],2,FALSE),"")</f>
        <v>427.2</v>
      </c>
      <c r="J697" s="2">
        <f>IFERROR(VLOOKUP($A697,observations_series_id_PCU3241913241910_api_key_ecc133893ea92a842ee685c734246086[],3,FALSE),"")</f>
        <v>0.87968164794007486</v>
      </c>
      <c r="K697">
        <f>IFERROR(VLOOKUP($A697,observations_series_id_EXJPUS_api_key_ecc133893ea92a842ee685c734246086_file_type[],2,FALSE),"")</f>
        <v>121.63500000000001</v>
      </c>
      <c r="L697" s="2">
        <f>IFERROR(VLOOKUP($A697,observations_series_id_EXJPUS_api_key_ecc133893ea92a842ee685c734246086_file_type[],3,FALSE),"")</f>
        <v>-1.9433962264150941</v>
      </c>
      <c r="M697" t="str">
        <f>IFERROR(AVERAGEIFS(timeseries_access_key_fqeas14oitk235763mntlb1c0brnk9w3fenzqbk313q5kvxyf52kukw1pa[Value.LME-ZNC],timeseries_access_key_fqeas14oitk235763mntlb1c0brnk9w3fenzqbk313q5kvxyf52kukw1pa[Month],MONTH(Data!$A697),timeseries_access_key_fqeas14oitk235763mntlb1c0brnk9w3fenzqbk313q5kvxyf52kukw1pa[Year],YEAR(Data!$A697)),"")</f>
        <v/>
      </c>
      <c r="N697" s="2" t="str">
        <f>IFERROR(AVERAGEIFS(timeseries_access_key_fqeas14oitk235763mntlb1c0brnk9w3fenzqbk313q5kvxyf52kukw1pa[Column1],timeseries_access_key_fqeas14oitk235763mntlb1c0brnk9w3fenzqbk313q5kvxyf52kukw1pa[Month],MONTH(Data!$A697),timeseries_access_key_fqeas14oitk235763mntlb1c0brnk9w3fenzqbk313q5kvxyf52kukw1pa[Year],YEAR(Data!$A697)),"")</f>
        <v/>
      </c>
      <c r="O697" s="8" t="str">
        <f>IFERROR(VLOOKUP($A697,Text_1_2[[Text.1.1.3]:[Text.1.3]],2,FALSE),"")</f>
        <v/>
      </c>
      <c r="P697" s="2"/>
    </row>
    <row r="698" spans="1:16" x14ac:dyDescent="0.25">
      <c r="A698" s="1">
        <v>42370</v>
      </c>
      <c r="B698">
        <f>HLOOKUP(Dashboard!$I$27,results,ROW(A698),FALSE)</f>
        <v>8.5923217550274322E-2</v>
      </c>
      <c r="C698">
        <f>IFERROR(VLOOKUP(A698,observations_series_id_PCU22112222112243_api_key_ecc133893ea92a842ee685c73424608[],2,FALSE),"")</f>
        <v>171</v>
      </c>
      <c r="D698" s="2">
        <f>IFERROR(VLOOKUP(A698,observations_series_id_PCU22112222112243_api_key_ecc133893ea92a842ee685c73424608[],3,FALSE),"")</f>
        <v>0.89824561403508774</v>
      </c>
      <c r="E698">
        <f>IFERROR(VLOOKUP($A698,observations_series_id_WPU0613020T_api_key_ecc133893ea92a842ee685c734246086_file[],2,FALSE),"")</f>
        <v>95.7</v>
      </c>
      <c r="F698" s="2">
        <f>IFERROR(VLOOKUP($A698,observations_series_id_WPU0613020T_api_key_ecc133893ea92a842ee685c734246086_file[],3,FALSE),"")</f>
        <v>-4.4932079414838011E-2</v>
      </c>
      <c r="G698">
        <f>IFERROR(VLOOKUP($A698,observations_series_id_PCU22122212_api_key_ecc133893ea92a842ee685c734246086_file[],2,FALSE),"")</f>
        <v>109.4</v>
      </c>
      <c r="H698" s="2">
        <f>IFERROR(VLOOKUP($A698,observations_series_id_PCU22122212_api_key_ecc133893ea92a842ee685c734246086_file[],3,FALSE),"")</f>
        <v>8.5923217550274322E-2</v>
      </c>
      <c r="I698">
        <f>IFERROR(VLOOKUP($A698,observations_series_id_PCU3241913241910_api_key_ecc133893ea92a842ee685c734246086[],2,FALSE),"")</f>
        <v>433.2</v>
      </c>
      <c r="J698" s="2">
        <f>IFERROR(VLOOKUP($A698,observations_series_id_PCU3241913241910_api_key_ecc133893ea92a842ee685c734246086[],3,FALSE),"")</f>
        <v>0.88134810710987999</v>
      </c>
      <c r="K698">
        <f>IFERROR(VLOOKUP($A698,observations_series_id_EXJPUS_api_key_ecc133893ea92a842ee685c734246086_file_type[],2,FALSE),"")</f>
        <v>118.22580000000001</v>
      </c>
      <c r="L698" s="2">
        <f>IFERROR(VLOOKUP($A698,observations_series_id_EXJPUS_api_key_ecc133893ea92a842ee685c734246086_file_type[],3,FALSE),"")</f>
        <v>-2.0282730165496869</v>
      </c>
      <c r="M698" t="str">
        <f>IFERROR(AVERAGEIFS(timeseries_access_key_fqeas14oitk235763mntlb1c0brnk9w3fenzqbk313q5kvxyf52kukw1pa[Value.LME-ZNC],timeseries_access_key_fqeas14oitk235763mntlb1c0brnk9w3fenzqbk313q5kvxyf52kukw1pa[Month],MONTH(Data!$A698),timeseries_access_key_fqeas14oitk235763mntlb1c0brnk9w3fenzqbk313q5kvxyf52kukw1pa[Year],YEAR(Data!$A698)),"")</f>
        <v/>
      </c>
      <c r="N698" s="2" t="str">
        <f>IFERROR(AVERAGEIFS(timeseries_access_key_fqeas14oitk235763mntlb1c0brnk9w3fenzqbk313q5kvxyf52kukw1pa[Column1],timeseries_access_key_fqeas14oitk235763mntlb1c0brnk9w3fenzqbk313q5kvxyf52kukw1pa[Month],MONTH(Data!$A698),timeseries_access_key_fqeas14oitk235763mntlb1c0brnk9w3fenzqbk313q5kvxyf52kukw1pa[Year],YEAR(Data!$A698)),"")</f>
        <v/>
      </c>
      <c r="O698" s="8">
        <f>IFERROR(VLOOKUP($A698,Text_1_2[[Text.1.1.3]:[Text.1.3]],2,FALSE),"")</f>
        <v>34300</v>
      </c>
      <c r="P698" s="2"/>
    </row>
    <row r="699" spans="1:16" x14ac:dyDescent="0.25">
      <c r="A699" s="1">
        <v>42401</v>
      </c>
      <c r="B699">
        <f>HLOOKUP(Dashboard!$I$27,results,ROW(A699),FALSE)</f>
        <v>6.629318394024275E-2</v>
      </c>
      <c r="C699">
        <f>IFERROR(VLOOKUP(A699,observations_series_id_PCU22112222112243_api_key_ecc133893ea92a842ee685c73424608[],2,FALSE),"")</f>
        <v>170.2</v>
      </c>
      <c r="D699" s="2">
        <f>IFERROR(VLOOKUP(A699,observations_series_id_PCU22112222112243_api_key_ecc133893ea92a842ee685c73424608[],3,FALSE),"")</f>
        <v>0.89776733254994123</v>
      </c>
      <c r="E699">
        <f>IFERROR(VLOOKUP($A699,observations_series_id_WPU0613020T_api_key_ecc133893ea92a842ee685c734246086_file[],2,FALSE),"")</f>
        <v>94.8</v>
      </c>
      <c r="F699" s="2">
        <f>IFERROR(VLOOKUP($A699,observations_series_id_WPU0613020T_api_key_ecc133893ea92a842ee685c734246086_file[],3,FALSE),"")</f>
        <v>-5.4852320675105481E-2</v>
      </c>
      <c r="G699">
        <f>IFERROR(VLOOKUP($A699,observations_series_id_PCU22122212_api_key_ecc133893ea92a842ee685c734246086_file[],2,FALSE),"")</f>
        <v>107.1</v>
      </c>
      <c r="H699" s="2">
        <f>IFERROR(VLOOKUP($A699,observations_series_id_PCU22122212_api_key_ecc133893ea92a842ee685c734246086_file[],3,FALSE),"")</f>
        <v>6.629318394024275E-2</v>
      </c>
      <c r="I699">
        <f>IFERROR(VLOOKUP($A699,observations_series_id_PCU3241913241910_api_key_ecc133893ea92a842ee685c734246086[],2,FALSE),"")</f>
        <v>428.2</v>
      </c>
      <c r="J699" s="2">
        <f>IFERROR(VLOOKUP($A699,observations_series_id_PCU3241913241910_api_key_ecc133893ea92a842ee685c734246086[],3,FALSE),"")</f>
        <v>0.87996263428304533</v>
      </c>
      <c r="K699">
        <f>IFERROR(VLOOKUP($A699,observations_series_id_EXJPUS_api_key_ecc133893ea92a842ee685c734246086_file_type[],2,FALSE),"")</f>
        <v>114.6155</v>
      </c>
      <c r="L699" s="2">
        <f>IFERROR(VLOOKUP($A699,observations_series_id_EXJPUS_api_key_ecc133893ea92a842ee685c734246086_file_type[],3,FALSE),"")</f>
        <v>-2.1236612849047467</v>
      </c>
      <c r="M699" t="str">
        <f>IFERROR(AVERAGEIFS(timeseries_access_key_fqeas14oitk235763mntlb1c0brnk9w3fenzqbk313q5kvxyf52kukw1pa[Value.LME-ZNC],timeseries_access_key_fqeas14oitk235763mntlb1c0brnk9w3fenzqbk313q5kvxyf52kukw1pa[Month],MONTH(Data!$A699),timeseries_access_key_fqeas14oitk235763mntlb1c0brnk9w3fenzqbk313q5kvxyf52kukw1pa[Year],YEAR(Data!$A699)),"")</f>
        <v/>
      </c>
      <c r="N699" s="2" t="str">
        <f>IFERROR(AVERAGEIFS(timeseries_access_key_fqeas14oitk235763mntlb1c0brnk9w3fenzqbk313q5kvxyf52kukw1pa[Column1],timeseries_access_key_fqeas14oitk235763mntlb1c0brnk9w3fenzqbk313q5kvxyf52kukw1pa[Month],MONTH(Data!$A699),timeseries_access_key_fqeas14oitk235763mntlb1c0brnk9w3fenzqbk313q5kvxyf52kukw1pa[Year],YEAR(Data!$A699)),"")</f>
        <v/>
      </c>
      <c r="O699" s="8" t="str">
        <f>IFERROR(VLOOKUP($A699,Text_1_2[[Text.1.1.3]:[Text.1.3]],2,FALSE),"")</f>
        <v/>
      </c>
      <c r="P699" s="2"/>
    </row>
    <row r="700" spans="1:16" x14ac:dyDescent="0.25">
      <c r="A700" s="1">
        <v>42430</v>
      </c>
      <c r="B700">
        <f>HLOOKUP(Dashboard!$I$27,results,ROW(A700),FALSE)</f>
        <v>4.4890162368672382E-2</v>
      </c>
      <c r="C700">
        <f>IFERROR(VLOOKUP(A700,observations_series_id_PCU22112222112243_api_key_ecc133893ea92a842ee685c73424608[],2,FALSE),"")</f>
        <v>170.4</v>
      </c>
      <c r="D700" s="2">
        <f>IFERROR(VLOOKUP(A700,observations_series_id_PCU22112222112243_api_key_ecc133893ea92a842ee685c73424608[],3,FALSE),"")</f>
        <v>0.897887323943662</v>
      </c>
      <c r="E700">
        <f>IFERROR(VLOOKUP($A700,observations_series_id_WPU0613020T_api_key_ecc133893ea92a842ee685c734246086_file[],2,FALSE),"")</f>
        <v>95.4</v>
      </c>
      <c r="F700" s="2">
        <f>IFERROR(VLOOKUP($A700,observations_series_id_WPU0613020T_api_key_ecc133893ea92a842ee685c734246086_file[],3,FALSE),"")</f>
        <v>-4.8218029350104663E-2</v>
      </c>
      <c r="G700">
        <f>IFERROR(VLOOKUP($A700,observations_series_id_PCU22122212_api_key_ecc133893ea92a842ee685c734246086_file[],2,FALSE),"")</f>
        <v>104.7</v>
      </c>
      <c r="H700" s="2">
        <f>IFERROR(VLOOKUP($A700,observations_series_id_PCU22122212_api_key_ecc133893ea92a842ee685c734246086_file[],3,FALSE),"")</f>
        <v>4.4890162368672382E-2</v>
      </c>
      <c r="I700">
        <f>IFERROR(VLOOKUP($A700,observations_series_id_PCU3241913241910_api_key_ecc133893ea92a842ee685c734246086[],2,FALSE),"")</f>
        <v>424</v>
      </c>
      <c r="J700" s="2">
        <f>IFERROR(VLOOKUP($A700,observations_series_id_PCU3241913241910_api_key_ecc133893ea92a842ee685c734246086[],3,FALSE),"")</f>
        <v>0.87877358490566038</v>
      </c>
      <c r="K700">
        <f>IFERROR(VLOOKUP($A700,observations_series_id_EXJPUS_api_key_ecc133893ea92a842ee685c734246086_file_type[],2,FALSE),"")</f>
        <v>112.93170000000001</v>
      </c>
      <c r="L700" s="2">
        <f>IFERROR(VLOOKUP($A700,observations_series_id_EXJPUS_api_key_ecc133893ea92a842ee685c734246086_file_type[],3,FALSE),"")</f>
        <v>-2.1702347525097023</v>
      </c>
      <c r="M700" t="str">
        <f>IFERROR(AVERAGEIFS(timeseries_access_key_fqeas14oitk235763mntlb1c0brnk9w3fenzqbk313q5kvxyf52kukw1pa[Value.LME-ZNC],timeseries_access_key_fqeas14oitk235763mntlb1c0brnk9w3fenzqbk313q5kvxyf52kukw1pa[Month],MONTH(Data!$A700),timeseries_access_key_fqeas14oitk235763mntlb1c0brnk9w3fenzqbk313q5kvxyf52kukw1pa[Year],YEAR(Data!$A700)),"")</f>
        <v/>
      </c>
      <c r="N700" s="2" t="str">
        <f>IFERROR(AVERAGEIFS(timeseries_access_key_fqeas14oitk235763mntlb1c0brnk9w3fenzqbk313q5kvxyf52kukw1pa[Column1],timeseries_access_key_fqeas14oitk235763mntlb1c0brnk9w3fenzqbk313q5kvxyf52kukw1pa[Month],MONTH(Data!$A700),timeseries_access_key_fqeas14oitk235763mntlb1c0brnk9w3fenzqbk313q5kvxyf52kukw1pa[Year],YEAR(Data!$A700)),"")</f>
        <v/>
      </c>
      <c r="O700" s="8" t="str">
        <f>IFERROR(VLOOKUP($A700,Text_1_2[[Text.1.1.3]:[Text.1.3]],2,FALSE),"")</f>
        <v/>
      </c>
      <c r="P700" s="2"/>
    </row>
    <row r="701" spans="1:16" x14ac:dyDescent="0.25">
      <c r="A701" s="1">
        <v>42461</v>
      </c>
      <c r="B701">
        <f>HLOOKUP(Dashboard!$I$27,results,ROW(A701),FALSE)</f>
        <v>4.3062200956937802E-2</v>
      </c>
      <c r="C701">
        <f>IFERROR(VLOOKUP(A701,observations_series_id_PCU22112222112243_api_key_ecc133893ea92a842ee685c73424608[],2,FALSE),"")</f>
        <v>168.6</v>
      </c>
      <c r="D701" s="2">
        <f>IFERROR(VLOOKUP(A701,observations_series_id_PCU22112222112243_api_key_ecc133893ea92a842ee685c73424608[],3,FALSE),"")</f>
        <v>0.89679715302491103</v>
      </c>
      <c r="E701">
        <f>IFERROR(VLOOKUP($A701,observations_series_id_WPU0613020T_api_key_ecc133893ea92a842ee685c734246086_file[],2,FALSE),"")</f>
        <v>94.1</v>
      </c>
      <c r="F701" s="2">
        <f>IFERROR(VLOOKUP($A701,observations_series_id_WPU0613020T_api_key_ecc133893ea92a842ee685c734246086_file[],3,FALSE),"")</f>
        <v>-6.2699256110520851E-2</v>
      </c>
      <c r="G701">
        <f>IFERROR(VLOOKUP($A701,observations_series_id_PCU22122212_api_key_ecc133893ea92a842ee685c734246086_file[],2,FALSE),"")</f>
        <v>104.5</v>
      </c>
      <c r="H701" s="2">
        <f>IFERROR(VLOOKUP($A701,observations_series_id_PCU22122212_api_key_ecc133893ea92a842ee685c734246086_file[],3,FALSE),"")</f>
        <v>4.3062200956937802E-2</v>
      </c>
      <c r="I701">
        <f>IFERROR(VLOOKUP($A701,observations_series_id_PCU3241913241910_api_key_ecc133893ea92a842ee685c734246086[],2,FALSE),"")</f>
        <v>420.2</v>
      </c>
      <c r="J701" s="2">
        <f>IFERROR(VLOOKUP($A701,observations_series_id_PCU3241913241910_api_key_ecc133893ea92a842ee685c734246086[],3,FALSE),"")</f>
        <v>0.87767729652546411</v>
      </c>
      <c r="K701">
        <f>IFERROR(VLOOKUP($A701,observations_series_id_EXJPUS_api_key_ecc133893ea92a842ee685c734246086_file_type[],2,FALSE),"")</f>
        <v>109.5519</v>
      </c>
      <c r="L701" s="2">
        <f>IFERROR(VLOOKUP($A701,observations_series_id_EXJPUS_api_key_ecc133893ea92a842ee685c734246086_file_type[],3,FALSE),"")</f>
        <v>-2.2680400796334883</v>
      </c>
      <c r="M701" t="str">
        <f>IFERROR(AVERAGEIFS(timeseries_access_key_fqeas14oitk235763mntlb1c0brnk9w3fenzqbk313q5kvxyf52kukw1pa[Value.LME-ZNC],timeseries_access_key_fqeas14oitk235763mntlb1c0brnk9w3fenzqbk313q5kvxyf52kukw1pa[Month],MONTH(Data!$A701),timeseries_access_key_fqeas14oitk235763mntlb1c0brnk9w3fenzqbk313q5kvxyf52kukw1pa[Year],YEAR(Data!$A701)),"")</f>
        <v/>
      </c>
      <c r="N701" s="2" t="str">
        <f>IFERROR(AVERAGEIFS(timeseries_access_key_fqeas14oitk235763mntlb1c0brnk9w3fenzqbk313q5kvxyf52kukw1pa[Column1],timeseries_access_key_fqeas14oitk235763mntlb1c0brnk9w3fenzqbk313q5kvxyf52kukw1pa[Month],MONTH(Data!$A701),timeseries_access_key_fqeas14oitk235763mntlb1c0brnk9w3fenzqbk313q5kvxyf52kukw1pa[Year],YEAR(Data!$A701)),"")</f>
        <v/>
      </c>
      <c r="O701" s="8">
        <f>IFERROR(VLOOKUP($A701,Text_1_2[[Text.1.1.3]:[Text.1.3]],2,FALSE),"")</f>
        <v>31600</v>
      </c>
      <c r="P701" s="2"/>
    </row>
    <row r="702" spans="1:16" x14ac:dyDescent="0.25">
      <c r="A702" s="1">
        <v>42491</v>
      </c>
      <c r="B702">
        <f>HLOOKUP(Dashboard!$I$27,results,ROW(A702),FALSE)</f>
        <v>4.0307101727447225E-2</v>
      </c>
      <c r="C702">
        <f>IFERROR(VLOOKUP(A702,observations_series_id_PCU22112222112243_api_key_ecc133893ea92a842ee685c73424608[],2,FALSE),"")</f>
        <v>171.8</v>
      </c>
      <c r="D702" s="2">
        <f>IFERROR(VLOOKUP(A702,observations_series_id_PCU22112222112243_api_key_ecc133893ea92a842ee685c73424608[],3,FALSE),"")</f>
        <v>0.89871944121071012</v>
      </c>
      <c r="E702">
        <f>IFERROR(VLOOKUP($A702,observations_series_id_WPU0613020T_api_key_ecc133893ea92a842ee685c734246086_file[],2,FALSE),"")</f>
        <v>92.1</v>
      </c>
      <c r="F702" s="2">
        <f>IFERROR(VLOOKUP($A702,observations_series_id_WPU0613020T_api_key_ecc133893ea92a842ee685c734246086_file[],3,FALSE),"")</f>
        <v>-8.5776330076004381E-2</v>
      </c>
      <c r="G702">
        <f>IFERROR(VLOOKUP($A702,observations_series_id_PCU22122212_api_key_ecc133893ea92a842ee685c734246086_file[],2,FALSE),"")</f>
        <v>104.2</v>
      </c>
      <c r="H702" s="2">
        <f>IFERROR(VLOOKUP($A702,observations_series_id_PCU22122212_api_key_ecc133893ea92a842ee685c734246086_file[],3,FALSE),"")</f>
        <v>4.0307101727447225E-2</v>
      </c>
      <c r="I702">
        <f>IFERROR(VLOOKUP($A702,observations_series_id_PCU3241913241910_api_key_ecc133893ea92a842ee685c734246086[],2,FALSE),"")</f>
        <v>421.9</v>
      </c>
      <c r="J702" s="2">
        <f>IFERROR(VLOOKUP($A702,observations_series_id_PCU3241913241910_api_key_ecc133893ea92a842ee685c734246086[],3,FALSE),"")</f>
        <v>0.87817018250770329</v>
      </c>
      <c r="K702">
        <f>IFERROR(VLOOKUP($A702,observations_series_id_EXJPUS_api_key_ecc133893ea92a842ee685c734246086_file_type[],2,FALSE),"")</f>
        <v>108.8481</v>
      </c>
      <c r="L702" s="2">
        <f>IFERROR(VLOOKUP($A702,observations_series_id_EXJPUS_api_key_ecc133893ea92a842ee685c734246086_file_type[],3,FALSE),"")</f>
        <v>-2.2891708720685062</v>
      </c>
      <c r="M702" t="str">
        <f>IFERROR(AVERAGEIFS(timeseries_access_key_fqeas14oitk235763mntlb1c0brnk9w3fenzqbk313q5kvxyf52kukw1pa[Value.LME-ZNC],timeseries_access_key_fqeas14oitk235763mntlb1c0brnk9w3fenzqbk313q5kvxyf52kukw1pa[Month],MONTH(Data!$A702),timeseries_access_key_fqeas14oitk235763mntlb1c0brnk9w3fenzqbk313q5kvxyf52kukw1pa[Year],YEAR(Data!$A702)),"")</f>
        <v/>
      </c>
      <c r="N702" s="2" t="str">
        <f>IFERROR(AVERAGEIFS(timeseries_access_key_fqeas14oitk235763mntlb1c0brnk9w3fenzqbk313q5kvxyf52kukw1pa[Column1],timeseries_access_key_fqeas14oitk235763mntlb1c0brnk9w3fenzqbk313q5kvxyf52kukw1pa[Month],MONTH(Data!$A702),timeseries_access_key_fqeas14oitk235763mntlb1c0brnk9w3fenzqbk313q5kvxyf52kukw1pa[Year],YEAR(Data!$A702)),"")</f>
        <v/>
      </c>
      <c r="O702" s="8" t="str">
        <f>IFERROR(VLOOKUP($A702,Text_1_2[[Text.1.1.3]:[Text.1.3]],2,FALSE),"")</f>
        <v/>
      </c>
      <c r="P702" s="2"/>
    </row>
    <row r="703" spans="1:16" x14ac:dyDescent="0.25">
      <c r="A703" s="1">
        <v>42522</v>
      </c>
      <c r="B703">
        <f>HLOOKUP(Dashboard!$I$27,results,ROW(A703),FALSE)</f>
        <v>4.4890162368672382E-2</v>
      </c>
      <c r="C703">
        <f>IFERROR(VLOOKUP(A703,observations_series_id_PCU22112222112243_api_key_ecc133893ea92a842ee685c73424608[],2,FALSE),"")</f>
        <v>183.2</v>
      </c>
      <c r="D703" s="2">
        <f>IFERROR(VLOOKUP(A703,observations_series_id_PCU22112222112243_api_key_ecc133893ea92a842ee685c73424608[],3,FALSE),"")</f>
        <v>0.90502183406113534</v>
      </c>
      <c r="E703">
        <f>IFERROR(VLOOKUP($A703,observations_series_id_WPU0613020T_api_key_ecc133893ea92a842ee685c734246086_file[],2,FALSE),"")</f>
        <v>90</v>
      </c>
      <c r="F703" s="2">
        <f>IFERROR(VLOOKUP($A703,observations_series_id_WPU0613020T_api_key_ecc133893ea92a842ee685c734246086_file[],3,FALSE),"")</f>
        <v>-0.11111111111111116</v>
      </c>
      <c r="G703">
        <f>IFERROR(VLOOKUP($A703,observations_series_id_PCU22122212_api_key_ecc133893ea92a842ee685c734246086_file[],2,FALSE),"")</f>
        <v>104.7</v>
      </c>
      <c r="H703" s="2">
        <f>IFERROR(VLOOKUP($A703,observations_series_id_PCU22122212_api_key_ecc133893ea92a842ee685c734246086_file[],3,FALSE),"")</f>
        <v>4.4890162368672382E-2</v>
      </c>
      <c r="I703">
        <f>IFERROR(VLOOKUP($A703,observations_series_id_PCU3241913241910_api_key_ecc133893ea92a842ee685c734246086[],2,FALSE),"")</f>
        <v>422.4</v>
      </c>
      <c r="J703" s="2">
        <f>IFERROR(VLOOKUP($A703,observations_series_id_PCU3241913241910_api_key_ecc133893ea92a842ee685c734246086[],3,FALSE),"")</f>
        <v>0.87831439393939392</v>
      </c>
      <c r="K703">
        <f>IFERROR(VLOOKUP($A703,observations_series_id_EXJPUS_api_key_ecc133893ea92a842ee685c734246086_file_type[],2,FALSE),"")</f>
        <v>105.3509</v>
      </c>
      <c r="L703" s="2">
        <f>IFERROR(VLOOKUP($A703,observations_series_id_EXJPUS_api_key_ecc133893ea92a842ee685c734246086_file_type[],3,FALSE),"")</f>
        <v>-2.398357299273191</v>
      </c>
      <c r="M703" t="str">
        <f>IFERROR(AVERAGEIFS(timeseries_access_key_fqeas14oitk235763mntlb1c0brnk9w3fenzqbk313q5kvxyf52kukw1pa[Value.LME-ZNC],timeseries_access_key_fqeas14oitk235763mntlb1c0brnk9w3fenzqbk313q5kvxyf52kukw1pa[Month],MONTH(Data!$A703),timeseries_access_key_fqeas14oitk235763mntlb1c0brnk9w3fenzqbk313q5kvxyf52kukw1pa[Year],YEAR(Data!$A703)),"")</f>
        <v/>
      </c>
      <c r="N703" s="2" t="str">
        <f>IFERROR(AVERAGEIFS(timeseries_access_key_fqeas14oitk235763mntlb1c0brnk9w3fenzqbk313q5kvxyf52kukw1pa[Column1],timeseries_access_key_fqeas14oitk235763mntlb1c0brnk9w3fenzqbk313q5kvxyf52kukw1pa[Month],MONTH(Data!$A703),timeseries_access_key_fqeas14oitk235763mntlb1c0brnk9w3fenzqbk313q5kvxyf52kukw1pa[Year],YEAR(Data!$A703)),"")</f>
        <v/>
      </c>
      <c r="O703" s="8" t="str">
        <f>IFERROR(VLOOKUP($A703,Text_1_2[[Text.1.1.3]:[Text.1.3]],2,FALSE),"")</f>
        <v/>
      </c>
      <c r="P703" s="2"/>
    </row>
    <row r="704" spans="1:16" x14ac:dyDescent="0.25">
      <c r="A704" s="1">
        <v>42552</v>
      </c>
      <c r="B704">
        <f>HLOOKUP(Dashboard!$I$27,results,ROW(A704),FALSE)</f>
        <v>8.4249084249084283E-2</v>
      </c>
      <c r="C704">
        <f>IFERROR(VLOOKUP(A704,observations_series_id_PCU22112222112243_api_key_ecc133893ea92a842ee685c73424608[],2,FALSE),"")</f>
        <v>188.3</v>
      </c>
      <c r="D704" s="2">
        <f>IFERROR(VLOOKUP(A704,observations_series_id_PCU22112222112243_api_key_ecc133893ea92a842ee685c73424608[],3,FALSE),"")</f>
        <v>0.90759426447158786</v>
      </c>
      <c r="E704">
        <f>IFERROR(VLOOKUP($A704,observations_series_id_WPU0613020T_api_key_ecc133893ea92a842ee685c734246086_file[],2,FALSE),"")</f>
        <v>86.4</v>
      </c>
      <c r="F704" s="2">
        <f>IFERROR(VLOOKUP($A704,observations_series_id_WPU0613020T_api_key_ecc133893ea92a842ee685c734246086_file[],3,FALSE),"")</f>
        <v>-0.15740740740740744</v>
      </c>
      <c r="G704">
        <f>IFERROR(VLOOKUP($A704,observations_series_id_PCU22122212_api_key_ecc133893ea92a842ee685c734246086_file[],2,FALSE),"")</f>
        <v>109.2</v>
      </c>
      <c r="H704" s="2">
        <f>IFERROR(VLOOKUP($A704,observations_series_id_PCU22122212_api_key_ecc133893ea92a842ee685c734246086_file[],3,FALSE),"")</f>
        <v>8.4249084249084283E-2</v>
      </c>
      <c r="I704">
        <f>IFERROR(VLOOKUP($A704,observations_series_id_PCU3241913241910_api_key_ecc133893ea92a842ee685c734246086[],2,FALSE),"")</f>
        <v>423.4</v>
      </c>
      <c r="J704" s="2">
        <f>IFERROR(VLOOKUP($A704,observations_series_id_PCU3241913241910_api_key_ecc133893ea92a842ee685c734246086[],3,FALSE),"")</f>
        <v>0.87860179499291446</v>
      </c>
      <c r="K704">
        <f>IFERROR(VLOOKUP($A704,observations_series_id_EXJPUS_api_key_ecc133893ea92a842ee685c734246086_file_type[],2,FALSE),"")</f>
        <v>104.191</v>
      </c>
      <c r="L704" s="2">
        <f>IFERROR(VLOOKUP($A704,observations_series_id_EXJPUS_api_key_ecc133893ea92a842ee685c734246086_file_type[],3,FALSE),"")</f>
        <v>-2.4361893061780764</v>
      </c>
      <c r="M704" t="str">
        <f>IFERROR(AVERAGEIFS(timeseries_access_key_fqeas14oitk235763mntlb1c0brnk9w3fenzqbk313q5kvxyf52kukw1pa[Value.LME-ZNC],timeseries_access_key_fqeas14oitk235763mntlb1c0brnk9w3fenzqbk313q5kvxyf52kukw1pa[Month],MONTH(Data!$A704),timeseries_access_key_fqeas14oitk235763mntlb1c0brnk9w3fenzqbk313q5kvxyf52kukw1pa[Year],YEAR(Data!$A704)),"")</f>
        <v/>
      </c>
      <c r="N704" s="2" t="str">
        <f>IFERROR(AVERAGEIFS(timeseries_access_key_fqeas14oitk235763mntlb1c0brnk9w3fenzqbk313q5kvxyf52kukw1pa[Column1],timeseries_access_key_fqeas14oitk235763mntlb1c0brnk9w3fenzqbk313q5kvxyf52kukw1pa[Month],MONTH(Data!$A704),timeseries_access_key_fqeas14oitk235763mntlb1c0brnk9w3fenzqbk313q5kvxyf52kukw1pa[Year],YEAR(Data!$A704)),"")</f>
        <v/>
      </c>
      <c r="O704" s="8">
        <f>IFERROR(VLOOKUP($A704,Text_1_2[[Text.1.1.3]:[Text.1.3]],2,FALSE),"")</f>
        <v>31300</v>
      </c>
      <c r="P704" s="2"/>
    </row>
    <row r="705" spans="1:16" x14ac:dyDescent="0.25">
      <c r="A705" s="1">
        <v>42583</v>
      </c>
      <c r="B705">
        <f>HLOOKUP(Dashboard!$I$27,results,ROW(A705),FALSE)</f>
        <v>9.9909990999099918E-2</v>
      </c>
      <c r="C705">
        <f>IFERROR(VLOOKUP(A705,observations_series_id_PCU22112222112243_api_key_ecc133893ea92a842ee685c73424608[],2,FALSE),"")</f>
        <v>189.2</v>
      </c>
      <c r="D705" s="2">
        <f>IFERROR(VLOOKUP(A705,observations_series_id_PCU22112222112243_api_key_ecc133893ea92a842ee685c73424608[],3,FALSE),"")</f>
        <v>0.90803382663847776</v>
      </c>
      <c r="E705">
        <f>IFERROR(VLOOKUP($A705,observations_series_id_WPU0613020T_api_key_ecc133893ea92a842ee685c734246086_file[],2,FALSE),"")</f>
        <v>84.6</v>
      </c>
      <c r="F705" s="2">
        <f>IFERROR(VLOOKUP($A705,observations_series_id_WPU0613020T_api_key_ecc133893ea92a842ee685c734246086_file[],3,FALSE),"")</f>
        <v>-0.1820330969267141</v>
      </c>
      <c r="G705">
        <f>IFERROR(VLOOKUP($A705,observations_series_id_PCU22122212_api_key_ecc133893ea92a842ee685c734246086_file[],2,FALSE),"")</f>
        <v>111.1</v>
      </c>
      <c r="H705" s="2">
        <f>IFERROR(VLOOKUP($A705,observations_series_id_PCU22122212_api_key_ecc133893ea92a842ee685c734246086_file[],3,FALSE),"")</f>
        <v>9.9909990999099918E-2</v>
      </c>
      <c r="I705">
        <f>IFERROR(VLOOKUP($A705,observations_series_id_PCU3241913241910_api_key_ecc133893ea92a842ee685c734246086[],2,FALSE),"")</f>
        <v>426.6</v>
      </c>
      <c r="J705" s="2">
        <f>IFERROR(VLOOKUP($A705,observations_series_id_PCU3241913241910_api_key_ecc133893ea92a842ee685c734246086[],3,FALSE),"")</f>
        <v>0.8795124238162213</v>
      </c>
      <c r="K705">
        <f>IFERROR(VLOOKUP($A705,observations_series_id_EXJPUS_api_key_ecc133893ea92a842ee685c734246086_file_type[],2,FALSE),"")</f>
        <v>101.2383</v>
      </c>
      <c r="L705" s="2">
        <f>IFERROR(VLOOKUP($A705,observations_series_id_EXJPUS_api_key_ecc133893ea92a842ee685c734246086_file_type[],3,FALSE),"")</f>
        <v>-2.5364086516664148</v>
      </c>
      <c r="M705" t="str">
        <f>IFERROR(AVERAGEIFS(timeseries_access_key_fqeas14oitk235763mntlb1c0brnk9w3fenzqbk313q5kvxyf52kukw1pa[Value.LME-ZNC],timeseries_access_key_fqeas14oitk235763mntlb1c0brnk9w3fenzqbk313q5kvxyf52kukw1pa[Month],MONTH(Data!$A705),timeseries_access_key_fqeas14oitk235763mntlb1c0brnk9w3fenzqbk313q5kvxyf52kukw1pa[Year],YEAR(Data!$A705)),"")</f>
        <v/>
      </c>
      <c r="N705" s="2" t="str">
        <f>IFERROR(AVERAGEIFS(timeseries_access_key_fqeas14oitk235763mntlb1c0brnk9w3fenzqbk313q5kvxyf52kukw1pa[Column1],timeseries_access_key_fqeas14oitk235763mntlb1c0brnk9w3fenzqbk313q5kvxyf52kukw1pa[Month],MONTH(Data!$A705),timeseries_access_key_fqeas14oitk235763mntlb1c0brnk9w3fenzqbk313q5kvxyf52kukw1pa[Year],YEAR(Data!$A705)),"")</f>
        <v/>
      </c>
      <c r="O705" s="8" t="str">
        <f>IFERROR(VLOOKUP($A705,Text_1_2[[Text.1.1.3]:[Text.1.3]],2,FALSE),"")</f>
        <v/>
      </c>
      <c r="P705" s="2"/>
    </row>
    <row r="706" spans="1:16" x14ac:dyDescent="0.25">
      <c r="A706" s="1">
        <v>42614</v>
      </c>
      <c r="B706">
        <f>HLOOKUP(Dashboard!$I$27,results,ROW(A706),FALSE)</f>
        <v>0.10394265232974909</v>
      </c>
      <c r="C706">
        <f>IFERROR(VLOOKUP(A706,observations_series_id_PCU22112222112243_api_key_ecc133893ea92a842ee685c73424608[],2,FALSE),"")</f>
        <v>189.9</v>
      </c>
      <c r="D706" s="2">
        <f>IFERROR(VLOOKUP(A706,observations_series_id_PCU22112222112243_api_key_ecc133893ea92a842ee685c73424608[],3,FALSE),"")</f>
        <v>0.90837282780410744</v>
      </c>
      <c r="E706">
        <f>IFERROR(VLOOKUP($A706,observations_series_id_WPU0613020T_api_key_ecc133893ea92a842ee685c734246086_file[],2,FALSE),"")</f>
        <v>81.900000000000006</v>
      </c>
      <c r="F706" s="2">
        <f>IFERROR(VLOOKUP($A706,observations_series_id_WPU0613020T_api_key_ecc133893ea92a842ee685c734246086_file[],3,FALSE),"")</f>
        <v>-0.22100122100122088</v>
      </c>
      <c r="G706">
        <f>IFERROR(VLOOKUP($A706,observations_series_id_PCU22122212_api_key_ecc133893ea92a842ee685c734246086_file[],2,FALSE),"")</f>
        <v>111.6</v>
      </c>
      <c r="H706" s="2">
        <f>IFERROR(VLOOKUP($A706,observations_series_id_PCU22122212_api_key_ecc133893ea92a842ee685c734246086_file[],3,FALSE),"")</f>
        <v>0.10394265232974909</v>
      </c>
      <c r="I706">
        <f>IFERROR(VLOOKUP($A706,observations_series_id_PCU3241913241910_api_key_ecc133893ea92a842ee685c734246086[],2,FALSE),"")</f>
        <v>427</v>
      </c>
      <c r="J706" s="2">
        <f>IFERROR(VLOOKUP($A706,observations_series_id_PCU3241913241910_api_key_ecc133893ea92a842ee685c734246086[],3,FALSE),"")</f>
        <v>0.87962529274004686</v>
      </c>
      <c r="K706">
        <f>IFERROR(VLOOKUP($A706,observations_series_id_EXJPUS_api_key_ecc133893ea92a842ee685c734246086_file_type[],2,FALSE),"")</f>
        <v>101.7843</v>
      </c>
      <c r="L706" s="2">
        <f>IFERROR(VLOOKUP($A706,observations_series_id_EXJPUS_api_key_ecc133893ea92a842ee685c734246086_file_type[],3,FALSE),"")</f>
        <v>-2.5174383475644082</v>
      </c>
      <c r="M706" t="str">
        <f>IFERROR(AVERAGEIFS(timeseries_access_key_fqeas14oitk235763mntlb1c0brnk9w3fenzqbk313q5kvxyf52kukw1pa[Value.LME-ZNC],timeseries_access_key_fqeas14oitk235763mntlb1c0brnk9w3fenzqbk313q5kvxyf52kukw1pa[Month],MONTH(Data!$A706),timeseries_access_key_fqeas14oitk235763mntlb1c0brnk9w3fenzqbk313q5kvxyf52kukw1pa[Year],YEAR(Data!$A706)),"")</f>
        <v/>
      </c>
      <c r="N706" s="2" t="str">
        <f>IFERROR(AVERAGEIFS(timeseries_access_key_fqeas14oitk235763mntlb1c0brnk9w3fenzqbk313q5kvxyf52kukw1pa[Column1],timeseries_access_key_fqeas14oitk235763mntlb1c0brnk9w3fenzqbk313q5kvxyf52kukw1pa[Month],MONTH(Data!$A706),timeseries_access_key_fqeas14oitk235763mntlb1c0brnk9w3fenzqbk313q5kvxyf52kukw1pa[Year],YEAR(Data!$A706)),"")</f>
        <v/>
      </c>
      <c r="O706" s="8" t="str">
        <f>IFERROR(VLOOKUP($A706,Text_1_2[[Text.1.1.3]:[Text.1.3]],2,FALSE),"")</f>
        <v/>
      </c>
      <c r="P706" s="2"/>
    </row>
    <row r="707" spans="1:16" x14ac:dyDescent="0.25">
      <c r="A707" s="1">
        <v>42644</v>
      </c>
      <c r="B707">
        <f>HLOOKUP(Dashboard!$I$27,results,ROW(A707),FALSE)</f>
        <v>0.1142604074402126</v>
      </c>
      <c r="C707">
        <f>IFERROR(VLOOKUP(A707,observations_series_id_PCU22112222112243_api_key_ecc133893ea92a842ee685c73424608[],2,FALSE),"")</f>
        <v>179.2</v>
      </c>
      <c r="D707" s="2">
        <f>IFERROR(VLOOKUP(A707,observations_series_id_PCU22112222112243_api_key_ecc133893ea92a842ee685c73424608[],3,FALSE),"")</f>
        <v>0.9029017857142857</v>
      </c>
      <c r="E707">
        <f>IFERROR(VLOOKUP($A707,observations_series_id_WPU0613020T_api_key_ecc133893ea92a842ee685c734246086_file[],2,FALSE),"")</f>
        <v>81.599999999999994</v>
      </c>
      <c r="F707" s="2">
        <f>IFERROR(VLOOKUP($A707,observations_series_id_WPU0613020T_api_key_ecc133893ea92a842ee685c734246086_file[],3,FALSE),"")</f>
        <v>-0.22549019607843146</v>
      </c>
      <c r="G707">
        <f>IFERROR(VLOOKUP($A707,observations_series_id_PCU22122212_api_key_ecc133893ea92a842ee685c734246086_file[],2,FALSE),"")</f>
        <v>112.9</v>
      </c>
      <c r="H707" s="2">
        <f>IFERROR(VLOOKUP($A707,observations_series_id_PCU22122212_api_key_ecc133893ea92a842ee685c734246086_file[],3,FALSE),"")</f>
        <v>0.1142604074402126</v>
      </c>
      <c r="I707">
        <f>IFERROR(VLOOKUP($A707,observations_series_id_PCU3241913241910_api_key_ecc133893ea92a842ee685c734246086[],2,FALSE),"")</f>
        <v>428.2</v>
      </c>
      <c r="J707" s="2">
        <f>IFERROR(VLOOKUP($A707,observations_series_id_PCU3241913241910_api_key_ecc133893ea92a842ee685c734246086[],3,FALSE),"")</f>
        <v>0.87996263428304533</v>
      </c>
      <c r="K707">
        <f>IFERROR(VLOOKUP($A707,observations_series_id_EXJPUS_api_key_ecc133893ea92a842ee685c734246086_file_type[],2,FALSE),"")</f>
        <v>103.9075</v>
      </c>
      <c r="L707" s="2">
        <f>IFERROR(VLOOKUP($A707,observations_series_id_EXJPUS_api_key_ecc133893ea92a842ee685c734246086_file_type[],3,FALSE),"")</f>
        <v>-2.445564564636816</v>
      </c>
      <c r="M707" t="str">
        <f>IFERROR(AVERAGEIFS(timeseries_access_key_fqeas14oitk235763mntlb1c0brnk9w3fenzqbk313q5kvxyf52kukw1pa[Value.LME-ZNC],timeseries_access_key_fqeas14oitk235763mntlb1c0brnk9w3fenzqbk313q5kvxyf52kukw1pa[Month],MONTH(Data!$A707),timeseries_access_key_fqeas14oitk235763mntlb1c0brnk9w3fenzqbk313q5kvxyf52kukw1pa[Year],YEAR(Data!$A707)),"")</f>
        <v/>
      </c>
      <c r="N707" s="2" t="str">
        <f>IFERROR(AVERAGEIFS(timeseries_access_key_fqeas14oitk235763mntlb1c0brnk9w3fenzqbk313q5kvxyf52kukw1pa[Column1],timeseries_access_key_fqeas14oitk235763mntlb1c0brnk9w3fenzqbk313q5kvxyf52kukw1pa[Month],MONTH(Data!$A707),timeseries_access_key_fqeas14oitk235763mntlb1c0brnk9w3fenzqbk313q5kvxyf52kukw1pa[Year],YEAR(Data!$A707)),"")</f>
        <v/>
      </c>
      <c r="O707" s="8">
        <f>IFERROR(VLOOKUP($A707,Text_1_2[[Text.1.1.3]:[Text.1.3]],2,FALSE),"")</f>
        <v>34000</v>
      </c>
      <c r="P707" s="2"/>
    </row>
    <row r="708" spans="1:16" x14ac:dyDescent="0.25">
      <c r="A708" s="1">
        <v>42675</v>
      </c>
      <c r="B708">
        <f>HLOOKUP(Dashboard!$I$27,results,ROW(A708),FALSE)</f>
        <v>0.10952804986642917</v>
      </c>
      <c r="C708">
        <f>IFERROR(VLOOKUP(A708,observations_series_id_PCU22112222112243_api_key_ecc133893ea92a842ee685c73424608[],2,FALSE),"")</f>
        <v>176.2</v>
      </c>
      <c r="D708" s="2">
        <f>IFERROR(VLOOKUP(A708,observations_series_id_PCU22112222112243_api_key_ecc133893ea92a842ee685c73424608[],3,FALSE),"")</f>
        <v>0.90124858115777529</v>
      </c>
      <c r="E708">
        <f>IFERROR(VLOOKUP($A708,observations_series_id_WPU0613020T_api_key_ecc133893ea92a842ee685c734246086_file[],2,FALSE),"")</f>
        <v>81.8</v>
      </c>
      <c r="F708" s="2">
        <f>IFERROR(VLOOKUP($A708,observations_series_id_WPU0613020T_api_key_ecc133893ea92a842ee685c734246086_file[],3,FALSE),"")</f>
        <v>-0.22249388753056243</v>
      </c>
      <c r="G708">
        <f>IFERROR(VLOOKUP($A708,observations_series_id_PCU22122212_api_key_ecc133893ea92a842ee685c734246086_file[],2,FALSE),"")</f>
        <v>112.3</v>
      </c>
      <c r="H708" s="2">
        <f>IFERROR(VLOOKUP($A708,observations_series_id_PCU22122212_api_key_ecc133893ea92a842ee685c734246086_file[],3,FALSE),"")</f>
        <v>0.10952804986642917</v>
      </c>
      <c r="I708">
        <f>IFERROR(VLOOKUP($A708,observations_series_id_PCU3241913241910_api_key_ecc133893ea92a842ee685c734246086[],2,FALSE),"")</f>
        <v>428.8</v>
      </c>
      <c r="J708" s="2">
        <f>IFERROR(VLOOKUP($A708,observations_series_id_PCU3241913241910_api_key_ecc133893ea92a842ee685c734246086[],3,FALSE),"")</f>
        <v>0.88013059701492535</v>
      </c>
      <c r="K708">
        <f>IFERROR(VLOOKUP($A708,observations_series_id_EXJPUS_api_key_ecc133893ea92a842ee685c734246086_file_type[],2,FALSE),"")</f>
        <v>108.443</v>
      </c>
      <c r="L708" s="2">
        <f>IFERROR(VLOOKUP($A708,observations_series_id_EXJPUS_api_key_ecc133893ea92a842ee685c734246086_file_type[],3,FALSE),"")</f>
        <v>-2.3014579087631288</v>
      </c>
      <c r="M708" t="str">
        <f>IFERROR(AVERAGEIFS(timeseries_access_key_fqeas14oitk235763mntlb1c0brnk9w3fenzqbk313q5kvxyf52kukw1pa[Value.LME-ZNC],timeseries_access_key_fqeas14oitk235763mntlb1c0brnk9w3fenzqbk313q5kvxyf52kukw1pa[Month],MONTH(Data!$A708),timeseries_access_key_fqeas14oitk235763mntlb1c0brnk9w3fenzqbk313q5kvxyf52kukw1pa[Year],YEAR(Data!$A708)),"")</f>
        <v/>
      </c>
      <c r="N708" s="2" t="str">
        <f>IFERROR(AVERAGEIFS(timeseries_access_key_fqeas14oitk235763mntlb1c0brnk9w3fenzqbk313q5kvxyf52kukw1pa[Column1],timeseries_access_key_fqeas14oitk235763mntlb1c0brnk9w3fenzqbk313q5kvxyf52kukw1pa[Month],MONTH(Data!$A708),timeseries_access_key_fqeas14oitk235763mntlb1c0brnk9w3fenzqbk313q5kvxyf52kukw1pa[Year],YEAR(Data!$A708)),"")</f>
        <v/>
      </c>
      <c r="O708" s="8" t="str">
        <f>IFERROR(VLOOKUP($A708,Text_1_2[[Text.1.1.3]:[Text.1.3]],2,FALSE),"")</f>
        <v/>
      </c>
      <c r="P708" s="2"/>
    </row>
    <row r="709" spans="1:16" x14ac:dyDescent="0.25">
      <c r="A709" s="1">
        <v>42705</v>
      </c>
      <c r="B709">
        <f>HLOOKUP(Dashboard!$I$27,results,ROW(A709),FALSE)</f>
        <v>0.1266375545851528</v>
      </c>
      <c r="C709">
        <f>IFERROR(VLOOKUP(A709,observations_series_id_PCU22112222112243_api_key_ecc133893ea92a842ee685c73424608[],2,FALSE),"")</f>
        <v>176.5</v>
      </c>
      <c r="D709" s="2">
        <f>IFERROR(VLOOKUP(A709,observations_series_id_PCU22112222112243_api_key_ecc133893ea92a842ee685c73424608[],3,FALSE),"")</f>
        <v>0.90141643059490084</v>
      </c>
      <c r="E709">
        <f>IFERROR(VLOOKUP($A709,observations_series_id_WPU0613020T_api_key_ecc133893ea92a842ee685c734246086_file[],2,FALSE),"")</f>
        <v>82</v>
      </c>
      <c r="F709" s="2">
        <f>IFERROR(VLOOKUP($A709,observations_series_id_WPU0613020T_api_key_ecc133893ea92a842ee685c734246086_file[],3,FALSE),"")</f>
        <v>-0.21951219512195119</v>
      </c>
      <c r="G709">
        <f>IFERROR(VLOOKUP($A709,observations_series_id_PCU22122212_api_key_ecc133893ea92a842ee685c734246086_file[],2,FALSE),"")</f>
        <v>114.5</v>
      </c>
      <c r="H709" s="2">
        <f>IFERROR(VLOOKUP($A709,observations_series_id_PCU22122212_api_key_ecc133893ea92a842ee685c734246086_file[],3,FALSE),"")</f>
        <v>0.1266375545851528</v>
      </c>
      <c r="I709">
        <f>IFERROR(VLOOKUP($A709,observations_series_id_PCU3241913241910_api_key_ecc133893ea92a842ee685c734246086[],2,FALSE),"")</f>
        <v>427.8</v>
      </c>
      <c r="J709" s="2">
        <f>IFERROR(VLOOKUP($A709,observations_series_id_PCU3241913241910_api_key_ecc133893ea92a842ee685c734246086[],3,FALSE),"")</f>
        <v>0.87985039738195425</v>
      </c>
      <c r="K709">
        <f>IFERROR(VLOOKUP($A709,observations_series_id_EXJPUS_api_key_ecc133893ea92a842ee685c734246086_file_type[],2,FALSE),"")</f>
        <v>115.99809999999999</v>
      </c>
      <c r="L709" s="2">
        <f>IFERROR(VLOOKUP($A709,observations_series_id_EXJPUS_api_key_ecc133893ea92a842ee685c734246086_file_type[],3,FALSE),"")</f>
        <v>-2.0864298639374264</v>
      </c>
      <c r="M709" t="str">
        <f>IFERROR(AVERAGEIFS(timeseries_access_key_fqeas14oitk235763mntlb1c0brnk9w3fenzqbk313q5kvxyf52kukw1pa[Value.LME-ZNC],timeseries_access_key_fqeas14oitk235763mntlb1c0brnk9w3fenzqbk313q5kvxyf52kukw1pa[Month],MONTH(Data!$A709),timeseries_access_key_fqeas14oitk235763mntlb1c0brnk9w3fenzqbk313q5kvxyf52kukw1pa[Year],YEAR(Data!$A709)),"")</f>
        <v/>
      </c>
      <c r="N709" s="2" t="str">
        <f>IFERROR(AVERAGEIFS(timeseries_access_key_fqeas14oitk235763mntlb1c0brnk9w3fenzqbk313q5kvxyf52kukw1pa[Column1],timeseries_access_key_fqeas14oitk235763mntlb1c0brnk9w3fenzqbk313q5kvxyf52kukw1pa[Month],MONTH(Data!$A709),timeseries_access_key_fqeas14oitk235763mntlb1c0brnk9w3fenzqbk313q5kvxyf52kukw1pa[Year],YEAR(Data!$A709)),"")</f>
        <v/>
      </c>
      <c r="O709" s="8" t="str">
        <f>IFERROR(VLOOKUP($A709,Text_1_2[[Text.1.1.3]:[Text.1.3]],2,FALSE),"")</f>
        <v/>
      </c>
      <c r="P709" s="2"/>
    </row>
    <row r="710" spans="1:16" x14ac:dyDescent="0.25">
      <c r="A710" s="1">
        <v>42736</v>
      </c>
      <c r="B710">
        <f>HLOOKUP(Dashboard!$I$27,results,ROW(A710),FALSE)</f>
        <v>0.17491749174917492</v>
      </c>
      <c r="C710">
        <f>IFERROR(VLOOKUP(A710,observations_series_id_PCU22112222112243_api_key_ecc133893ea92a842ee685c73424608[],2,FALSE),"")</f>
        <v>193.8</v>
      </c>
      <c r="D710" s="2">
        <f>IFERROR(VLOOKUP(A710,observations_series_id_PCU22112222112243_api_key_ecc133893ea92a842ee685c73424608[],3,FALSE),"")</f>
        <v>0.91021671826625394</v>
      </c>
      <c r="E710">
        <f>IFERROR(VLOOKUP($A710,observations_series_id_WPU0613020T_api_key_ecc133893ea92a842ee685c734246086_file[],2,FALSE),"")</f>
        <v>81.099999999999994</v>
      </c>
      <c r="F710" s="2">
        <f>IFERROR(VLOOKUP($A710,observations_series_id_WPU0613020T_api_key_ecc133893ea92a842ee685c734246086_file[],3,FALSE),"")</f>
        <v>-0.23304562268803952</v>
      </c>
      <c r="G710">
        <f>IFERROR(VLOOKUP($A710,observations_series_id_PCU22122212_api_key_ecc133893ea92a842ee685c734246086_file[],2,FALSE),"")</f>
        <v>121.2</v>
      </c>
      <c r="H710" s="2">
        <f>IFERROR(VLOOKUP($A710,observations_series_id_PCU22122212_api_key_ecc133893ea92a842ee685c734246086_file[],3,FALSE),"")</f>
        <v>0.17491749174917492</v>
      </c>
      <c r="I710">
        <f>IFERROR(VLOOKUP($A710,observations_series_id_PCU3241913241910_api_key_ecc133893ea92a842ee685c734246086[],2,FALSE),"")</f>
        <v>426.9</v>
      </c>
      <c r="J710" s="2">
        <f>IFERROR(VLOOKUP($A710,observations_series_id_PCU3241913241910_api_key_ecc133893ea92a842ee685c734246086[],3,FALSE),"")</f>
        <v>0.87959709533848673</v>
      </c>
      <c r="K710">
        <f>IFERROR(VLOOKUP($A710,observations_series_id_EXJPUS_api_key_ecc133893ea92a842ee685c734246086_file_type[],2,FALSE),"")</f>
        <v>114.8721</v>
      </c>
      <c r="L710" s="2">
        <f>IFERROR(VLOOKUP($A710,observations_series_id_EXJPUS_api_key_ecc133893ea92a842ee685c734246086_file_type[],3,FALSE),"")</f>
        <v>-2.116683685594674</v>
      </c>
      <c r="M710" t="str">
        <f>IFERROR(AVERAGEIFS(timeseries_access_key_fqeas14oitk235763mntlb1c0brnk9w3fenzqbk313q5kvxyf52kukw1pa[Value.LME-ZNC],timeseries_access_key_fqeas14oitk235763mntlb1c0brnk9w3fenzqbk313q5kvxyf52kukw1pa[Month],MONTH(Data!$A710),timeseries_access_key_fqeas14oitk235763mntlb1c0brnk9w3fenzqbk313q5kvxyf52kukw1pa[Year],YEAR(Data!$A710)),"")</f>
        <v/>
      </c>
      <c r="N710" s="2" t="str">
        <f>IFERROR(AVERAGEIFS(timeseries_access_key_fqeas14oitk235763mntlb1c0brnk9w3fenzqbk313q5kvxyf52kukw1pa[Column1],timeseries_access_key_fqeas14oitk235763mntlb1c0brnk9w3fenzqbk313q5kvxyf52kukw1pa[Month],MONTH(Data!$A710),timeseries_access_key_fqeas14oitk235763mntlb1c0brnk9w3fenzqbk313q5kvxyf52kukw1pa[Year],YEAR(Data!$A710)),"")</f>
        <v/>
      </c>
      <c r="O710" s="8">
        <f>IFERROR(VLOOKUP($A710,Text_1_2[[Text.1.1.3]:[Text.1.3]],2,FALSE),"")</f>
        <v>41800</v>
      </c>
      <c r="P710" s="2"/>
    </row>
    <row r="711" spans="1:16" x14ac:dyDescent="0.25">
      <c r="A711" s="1">
        <v>42767</v>
      </c>
      <c r="B711">
        <f>HLOOKUP(Dashboard!$I$27,results,ROW(A711),FALSE)</f>
        <v>0.15540540540540548</v>
      </c>
      <c r="C711">
        <f>IFERROR(VLOOKUP(A711,observations_series_id_PCU22112222112243_api_key_ecc133893ea92a842ee685c73424608[],2,FALSE),"")</f>
        <v>194.7</v>
      </c>
      <c r="D711" s="2">
        <f>IFERROR(VLOOKUP(A711,observations_series_id_PCU22112222112243_api_key_ecc133893ea92a842ee685c73424608[],3,FALSE),"")</f>
        <v>0.91063174114021572</v>
      </c>
      <c r="E711">
        <f>IFERROR(VLOOKUP($A711,observations_series_id_WPU0613020T_api_key_ecc133893ea92a842ee685c734246086_file[],2,FALSE),"")</f>
        <v>81</v>
      </c>
      <c r="F711" s="2">
        <f>IFERROR(VLOOKUP($A711,observations_series_id_WPU0613020T_api_key_ecc133893ea92a842ee685c734246086_file[],3,FALSE),"")</f>
        <v>-0.23456790123456783</v>
      </c>
      <c r="G711">
        <f>IFERROR(VLOOKUP($A711,observations_series_id_PCU22122212_api_key_ecc133893ea92a842ee685c734246086_file[],2,FALSE),"")</f>
        <v>118.4</v>
      </c>
      <c r="H711" s="2">
        <f>IFERROR(VLOOKUP($A711,observations_series_id_PCU22122212_api_key_ecc133893ea92a842ee685c734246086_file[],3,FALSE),"")</f>
        <v>0.15540540540540548</v>
      </c>
      <c r="I711">
        <f>IFERROR(VLOOKUP($A711,observations_series_id_PCU3241913241910_api_key_ecc133893ea92a842ee685c734246086[],2,FALSE),"")</f>
        <v>426.7</v>
      </c>
      <c r="J711" s="2">
        <f>IFERROR(VLOOKUP($A711,observations_series_id_PCU3241913241910_api_key_ecc133893ea92a842ee685c734246086[],3,FALSE),"")</f>
        <v>0.87954066088586824</v>
      </c>
      <c r="K711">
        <f>IFERROR(VLOOKUP($A711,observations_series_id_EXJPUS_api_key_ecc133893ea92a842ee685c734246086_file_type[],2,FALSE),"")</f>
        <v>112.91160000000001</v>
      </c>
      <c r="L711" s="2">
        <f>IFERROR(VLOOKUP($A711,observations_series_id_EXJPUS_api_key_ecc133893ea92a842ee685c734246086_file_type[],3,FALSE),"")</f>
        <v>-2.1707991030151019</v>
      </c>
      <c r="M711" t="str">
        <f>IFERROR(AVERAGEIFS(timeseries_access_key_fqeas14oitk235763mntlb1c0brnk9w3fenzqbk313q5kvxyf52kukw1pa[Value.LME-ZNC],timeseries_access_key_fqeas14oitk235763mntlb1c0brnk9w3fenzqbk313q5kvxyf52kukw1pa[Month],MONTH(Data!$A711),timeseries_access_key_fqeas14oitk235763mntlb1c0brnk9w3fenzqbk313q5kvxyf52kukw1pa[Year],YEAR(Data!$A711)),"")</f>
        <v/>
      </c>
      <c r="N711" s="2" t="str">
        <f>IFERROR(AVERAGEIFS(timeseries_access_key_fqeas14oitk235763mntlb1c0brnk9w3fenzqbk313q5kvxyf52kukw1pa[Column1],timeseries_access_key_fqeas14oitk235763mntlb1c0brnk9w3fenzqbk313q5kvxyf52kukw1pa[Month],MONTH(Data!$A711),timeseries_access_key_fqeas14oitk235763mntlb1c0brnk9w3fenzqbk313q5kvxyf52kukw1pa[Year],YEAR(Data!$A711)),"")</f>
        <v/>
      </c>
      <c r="O711" s="8" t="str">
        <f>IFERROR(VLOOKUP($A711,Text_1_2[[Text.1.1.3]:[Text.1.3]],2,FALSE),"")</f>
        <v/>
      </c>
      <c r="P711" s="2"/>
    </row>
    <row r="712" spans="1:16" x14ac:dyDescent="0.25">
      <c r="A712" s="1">
        <v>42795</v>
      </c>
      <c r="B712">
        <f>HLOOKUP(Dashboard!$I$27,results,ROW(A712),FALSE)</f>
        <v>0.1142604074402126</v>
      </c>
      <c r="C712">
        <f>IFERROR(VLOOKUP(A712,observations_series_id_PCU22112222112243_api_key_ecc133893ea92a842ee685c73424608[],2,FALSE),"")</f>
        <v>195.9</v>
      </c>
      <c r="D712" s="2">
        <f>IFERROR(VLOOKUP(A712,observations_series_id_PCU22112222112243_api_key_ecc133893ea92a842ee685c73424608[],3,FALSE),"")</f>
        <v>0.9111791730474732</v>
      </c>
      <c r="E712">
        <f>IFERROR(VLOOKUP($A712,observations_series_id_WPU0613020T_api_key_ecc133893ea92a842ee685c734246086_file[],2,FALSE),"")</f>
        <v>80.7</v>
      </c>
      <c r="F712" s="2">
        <f>IFERROR(VLOOKUP($A712,observations_series_id_WPU0613020T_api_key_ecc133893ea92a842ee685c734246086_file[],3,FALSE),"")</f>
        <v>-0.23915737298636919</v>
      </c>
      <c r="G712">
        <f>IFERROR(VLOOKUP($A712,observations_series_id_PCU22122212_api_key_ecc133893ea92a842ee685c734246086_file[],2,FALSE),"")</f>
        <v>112.9</v>
      </c>
      <c r="H712" s="2">
        <f>IFERROR(VLOOKUP($A712,observations_series_id_PCU22122212_api_key_ecc133893ea92a842ee685c734246086_file[],3,FALSE),"")</f>
        <v>0.1142604074402126</v>
      </c>
      <c r="I712">
        <f>IFERROR(VLOOKUP($A712,observations_series_id_PCU3241913241910_api_key_ecc133893ea92a842ee685c734246086[],2,FALSE),"")</f>
        <v>429</v>
      </c>
      <c r="J712" s="2">
        <f>IFERROR(VLOOKUP($A712,observations_series_id_PCU3241913241910_api_key_ecc133893ea92a842ee685c734246086[],3,FALSE),"")</f>
        <v>0.88018648018648016</v>
      </c>
      <c r="K712">
        <f>IFERROR(VLOOKUP($A712,observations_series_id_EXJPUS_api_key_ecc133893ea92a842ee685c734246086_file_type[],2,FALSE),"")</f>
        <v>112.9165</v>
      </c>
      <c r="L712" s="2">
        <f>IFERROR(VLOOKUP($A712,observations_series_id_EXJPUS_api_key_ecc133893ea92a842ee685c734246086_file_type[],3,FALSE),"")</f>
        <v>-2.1706615065114487</v>
      </c>
      <c r="M712" t="str">
        <f>IFERROR(AVERAGEIFS(timeseries_access_key_fqeas14oitk235763mntlb1c0brnk9w3fenzqbk313q5kvxyf52kukw1pa[Value.LME-ZNC],timeseries_access_key_fqeas14oitk235763mntlb1c0brnk9w3fenzqbk313q5kvxyf52kukw1pa[Month],MONTH(Data!$A712),timeseries_access_key_fqeas14oitk235763mntlb1c0brnk9w3fenzqbk313q5kvxyf52kukw1pa[Year],YEAR(Data!$A712)),"")</f>
        <v/>
      </c>
      <c r="N712" s="2" t="str">
        <f>IFERROR(AVERAGEIFS(timeseries_access_key_fqeas14oitk235763mntlb1c0brnk9w3fenzqbk313q5kvxyf52kukw1pa[Column1],timeseries_access_key_fqeas14oitk235763mntlb1c0brnk9w3fenzqbk313q5kvxyf52kukw1pa[Month],MONTH(Data!$A712),timeseries_access_key_fqeas14oitk235763mntlb1c0brnk9w3fenzqbk313q5kvxyf52kukw1pa[Year],YEAR(Data!$A712)),"")</f>
        <v/>
      </c>
      <c r="O712" s="8" t="str">
        <f>IFERROR(VLOOKUP($A712,Text_1_2[[Text.1.1.3]:[Text.1.3]],2,FALSE),"")</f>
        <v/>
      </c>
      <c r="P712" s="2"/>
    </row>
    <row r="713" spans="1:16" x14ac:dyDescent="0.25">
      <c r="A713" s="1">
        <v>42826</v>
      </c>
      <c r="B713">
        <f>HLOOKUP(Dashboard!$I$27,results,ROW(A713),FALSE)</f>
        <v>0.14236706689536871</v>
      </c>
      <c r="C713">
        <f>IFERROR(VLOOKUP(A713,observations_series_id_PCU22112222112243_api_key_ecc133893ea92a842ee685c73424608[],2,FALSE),"")</f>
        <v>196</v>
      </c>
      <c r="D713" s="2">
        <f>IFERROR(VLOOKUP(A713,observations_series_id_PCU22112222112243_api_key_ecc133893ea92a842ee685c73424608[],3,FALSE),"")</f>
        <v>0.91122448979591841</v>
      </c>
      <c r="E713">
        <f>IFERROR(VLOOKUP($A713,observations_series_id_WPU0613020T_api_key_ecc133893ea92a842ee685c734246086_file[],2,FALSE),"")</f>
        <v>80.400000000000006</v>
      </c>
      <c r="F713" s="2">
        <f>IFERROR(VLOOKUP($A713,observations_series_id_WPU0613020T_api_key_ecc133893ea92a842ee685c734246086_file[],3,FALSE),"")</f>
        <v>-0.24378109452736307</v>
      </c>
      <c r="G713">
        <f>IFERROR(VLOOKUP($A713,observations_series_id_PCU22122212_api_key_ecc133893ea92a842ee685c734246086_file[],2,FALSE),"")</f>
        <v>116.6</v>
      </c>
      <c r="H713" s="2">
        <f>IFERROR(VLOOKUP($A713,observations_series_id_PCU22122212_api_key_ecc133893ea92a842ee685c734246086_file[],3,FALSE),"")</f>
        <v>0.14236706689536871</v>
      </c>
      <c r="I713">
        <f>IFERROR(VLOOKUP($A713,observations_series_id_PCU3241913241910_api_key_ecc133893ea92a842ee685c734246086[],2,FALSE),"")</f>
        <v>434.1</v>
      </c>
      <c r="J713" s="2">
        <f>IFERROR(VLOOKUP($A713,observations_series_id_PCU3241913241910_api_key_ecc133893ea92a842ee685c734246086[],3,FALSE),"")</f>
        <v>0.8815941027413039</v>
      </c>
      <c r="K713">
        <f>IFERROR(VLOOKUP($A713,observations_series_id_EXJPUS_api_key_ecc133893ea92a842ee685c734246086_file_type[],2,FALSE),"")</f>
        <v>110.09099999999999</v>
      </c>
      <c r="L713" s="2">
        <f>IFERROR(VLOOKUP($A713,observations_series_id_EXJPUS_api_key_ecc133893ea92a842ee685c734246086_file_type[],3,FALSE),"")</f>
        <v>-2.2520369512494209</v>
      </c>
      <c r="M713" t="str">
        <f>IFERROR(AVERAGEIFS(timeseries_access_key_fqeas14oitk235763mntlb1c0brnk9w3fenzqbk313q5kvxyf52kukw1pa[Value.LME-ZNC],timeseries_access_key_fqeas14oitk235763mntlb1c0brnk9w3fenzqbk313q5kvxyf52kukw1pa[Month],MONTH(Data!$A713),timeseries_access_key_fqeas14oitk235763mntlb1c0brnk9w3fenzqbk313q5kvxyf52kukw1pa[Year],YEAR(Data!$A713)),"")</f>
        <v/>
      </c>
      <c r="N713" s="2" t="str">
        <f>IFERROR(AVERAGEIFS(timeseries_access_key_fqeas14oitk235763mntlb1c0brnk9w3fenzqbk313q5kvxyf52kukw1pa[Column1],timeseries_access_key_fqeas14oitk235763mntlb1c0brnk9w3fenzqbk313q5kvxyf52kukw1pa[Month],MONTH(Data!$A713),timeseries_access_key_fqeas14oitk235763mntlb1c0brnk9w3fenzqbk313q5kvxyf52kukw1pa[Year],YEAR(Data!$A713)),"")</f>
        <v/>
      </c>
      <c r="O713" s="8">
        <f>IFERROR(VLOOKUP($A713,Text_1_2[[Text.1.1.3]:[Text.1.3]],2,FALSE),"")</f>
        <v>39100</v>
      </c>
      <c r="P713" s="2"/>
    </row>
    <row r="714" spans="1:16" x14ac:dyDescent="0.25">
      <c r="A714" s="1">
        <v>42856</v>
      </c>
      <c r="B714">
        <f>HLOOKUP(Dashboard!$I$27,results,ROW(A714),FALSE)</f>
        <v>0.14236706689536871</v>
      </c>
      <c r="C714">
        <f>IFERROR(VLOOKUP(A714,observations_series_id_PCU22112222112243_api_key_ecc133893ea92a842ee685c73424608[],2,FALSE),"")</f>
        <v>198.2</v>
      </c>
      <c r="D714" s="2">
        <f>IFERROR(VLOOKUP(A714,observations_series_id_PCU22112222112243_api_key_ecc133893ea92a842ee685c73424608[],3,FALSE),"")</f>
        <v>0.91220988900100908</v>
      </c>
      <c r="E714">
        <f>IFERROR(VLOOKUP($A714,observations_series_id_WPU0613020T_api_key_ecc133893ea92a842ee685c734246086_file[],2,FALSE),"")</f>
        <v>81</v>
      </c>
      <c r="F714" s="2">
        <f>IFERROR(VLOOKUP($A714,observations_series_id_WPU0613020T_api_key_ecc133893ea92a842ee685c734246086_file[],3,FALSE),"")</f>
        <v>-0.23456790123456783</v>
      </c>
      <c r="G714">
        <f>IFERROR(VLOOKUP($A714,observations_series_id_PCU22122212_api_key_ecc133893ea92a842ee685c734246086_file[],2,FALSE),"")</f>
        <v>116.6</v>
      </c>
      <c r="H714" s="2">
        <f>IFERROR(VLOOKUP($A714,observations_series_id_PCU22122212_api_key_ecc133893ea92a842ee685c734246086_file[],3,FALSE),"")</f>
        <v>0.14236706689536871</v>
      </c>
      <c r="I714">
        <f>IFERROR(VLOOKUP($A714,observations_series_id_PCU3241913241910_api_key_ecc133893ea92a842ee685c734246086[],2,FALSE),"")</f>
        <v>434.9</v>
      </c>
      <c r="J714" s="2">
        <f>IFERROR(VLOOKUP($A714,observations_series_id_PCU3241913241910_api_key_ecc133893ea92a842ee685c734246086[],3,FALSE),"")</f>
        <v>0.88181191078408827</v>
      </c>
      <c r="K714">
        <f>IFERROR(VLOOKUP($A714,observations_series_id_EXJPUS_api_key_ecc133893ea92a842ee685c734246086_file_type[],2,FALSE),"")</f>
        <v>112.2436</v>
      </c>
      <c r="L714" s="2">
        <f>IFERROR(VLOOKUP($A714,observations_series_id_EXJPUS_api_key_ecc133893ea92a842ee685c734246086_file_type[],3,FALSE),"")</f>
        <v>-2.189669611452234</v>
      </c>
      <c r="M714" t="str">
        <f>IFERROR(AVERAGEIFS(timeseries_access_key_fqeas14oitk235763mntlb1c0brnk9w3fenzqbk313q5kvxyf52kukw1pa[Value.LME-ZNC],timeseries_access_key_fqeas14oitk235763mntlb1c0brnk9w3fenzqbk313q5kvxyf52kukw1pa[Month],MONTH(Data!$A714),timeseries_access_key_fqeas14oitk235763mntlb1c0brnk9w3fenzqbk313q5kvxyf52kukw1pa[Year],YEAR(Data!$A714)),"")</f>
        <v/>
      </c>
      <c r="N714" s="2" t="str">
        <f>IFERROR(AVERAGEIFS(timeseries_access_key_fqeas14oitk235763mntlb1c0brnk9w3fenzqbk313q5kvxyf52kukw1pa[Column1],timeseries_access_key_fqeas14oitk235763mntlb1c0brnk9w3fenzqbk313q5kvxyf52kukw1pa[Month],MONTH(Data!$A714),timeseries_access_key_fqeas14oitk235763mntlb1c0brnk9w3fenzqbk313q5kvxyf52kukw1pa[Year],YEAR(Data!$A714)),"")</f>
        <v/>
      </c>
      <c r="O714" s="8" t="str">
        <f>IFERROR(VLOOKUP($A714,Text_1_2[[Text.1.1.3]:[Text.1.3]],2,FALSE),"")</f>
        <v/>
      </c>
      <c r="P714" s="2"/>
    </row>
    <row r="715" spans="1:16" x14ac:dyDescent="0.25">
      <c r="A715" s="1">
        <v>42887</v>
      </c>
      <c r="B715">
        <f>HLOOKUP(Dashboard!$I$27,results,ROW(A715),FALSE)</f>
        <v>0.15895710681244746</v>
      </c>
      <c r="C715">
        <f>IFERROR(VLOOKUP(A715,observations_series_id_PCU22112222112243_api_key_ecc133893ea92a842ee685c73424608[],2,FALSE),"")</f>
        <v>209.8</v>
      </c>
      <c r="D715" s="2">
        <f>IFERROR(VLOOKUP(A715,observations_series_id_PCU22112222112243_api_key_ecc133893ea92a842ee685c73424608[],3,FALSE),"")</f>
        <v>0.91706387035271686</v>
      </c>
      <c r="E715">
        <f>IFERROR(VLOOKUP($A715,observations_series_id_WPU0613020T_api_key_ecc133893ea92a842ee685c734246086_file[],2,FALSE),"")</f>
        <v>83.9</v>
      </c>
      <c r="F715" s="2">
        <f>IFERROR(VLOOKUP($A715,observations_series_id_WPU0613020T_api_key_ecc133893ea92a842ee685c734246086_file[],3,FALSE),"")</f>
        <v>-0.19189511323003572</v>
      </c>
      <c r="G715">
        <f>IFERROR(VLOOKUP($A715,observations_series_id_PCU22122212_api_key_ecc133893ea92a842ee685c734246086_file[],2,FALSE),"")</f>
        <v>118.9</v>
      </c>
      <c r="H715" s="2">
        <f>IFERROR(VLOOKUP($A715,observations_series_id_PCU22122212_api_key_ecc133893ea92a842ee685c734246086_file[],3,FALSE),"")</f>
        <v>0.15895710681244746</v>
      </c>
      <c r="I715">
        <f>IFERROR(VLOOKUP($A715,observations_series_id_PCU3241913241910_api_key_ecc133893ea92a842ee685c734246086[],2,FALSE),"")</f>
        <v>435.8</v>
      </c>
      <c r="J715" s="2">
        <f>IFERROR(VLOOKUP($A715,observations_series_id_PCU3241913241910_api_key_ecc133893ea92a842ee685c734246086[],3,FALSE),"")</f>
        <v>0.88205598898577331</v>
      </c>
      <c r="K715">
        <f>IFERROR(VLOOKUP($A715,observations_series_id_EXJPUS_api_key_ecc133893ea92a842ee685c734246086_file_type[],2,FALSE),"")</f>
        <v>110.9141</v>
      </c>
      <c r="L715" s="2">
        <f>IFERROR(VLOOKUP($A715,observations_series_id_EXJPUS_api_key_ecc133893ea92a842ee685c734246086_file_type[],3,FALSE),"")</f>
        <v>-2.2279033955105794</v>
      </c>
      <c r="M715" t="str">
        <f>IFERROR(AVERAGEIFS(timeseries_access_key_fqeas14oitk235763mntlb1c0brnk9w3fenzqbk313q5kvxyf52kukw1pa[Value.LME-ZNC],timeseries_access_key_fqeas14oitk235763mntlb1c0brnk9w3fenzqbk313q5kvxyf52kukw1pa[Month],MONTH(Data!$A715),timeseries_access_key_fqeas14oitk235763mntlb1c0brnk9w3fenzqbk313q5kvxyf52kukw1pa[Year],YEAR(Data!$A715)),"")</f>
        <v/>
      </c>
      <c r="N715" s="2" t="str">
        <f>IFERROR(AVERAGEIFS(timeseries_access_key_fqeas14oitk235763mntlb1c0brnk9w3fenzqbk313q5kvxyf52kukw1pa[Column1],timeseries_access_key_fqeas14oitk235763mntlb1c0brnk9w3fenzqbk313q5kvxyf52kukw1pa[Month],MONTH(Data!$A715),timeseries_access_key_fqeas14oitk235763mntlb1c0brnk9w3fenzqbk313q5kvxyf52kukw1pa[Year],YEAR(Data!$A715)),"")</f>
        <v/>
      </c>
      <c r="O715" s="8" t="str">
        <f>IFERROR(VLOOKUP($A715,Text_1_2[[Text.1.1.3]:[Text.1.3]],2,FALSE),"")</f>
        <v/>
      </c>
      <c r="P715" s="2"/>
    </row>
    <row r="716" spans="1:16" x14ac:dyDescent="0.25">
      <c r="A716" s="1">
        <v>42917</v>
      </c>
      <c r="B716">
        <f>HLOOKUP(Dashboard!$I$27,results,ROW(A716),FALSE)</f>
        <v>0.15038232795242146</v>
      </c>
      <c r="C716">
        <f>IFERROR(VLOOKUP(A716,observations_series_id_PCU22112222112243_api_key_ecc133893ea92a842ee685c73424608[],2,FALSE),"")</f>
        <v>211.8</v>
      </c>
      <c r="D716" s="2">
        <f>IFERROR(VLOOKUP(A716,observations_series_id_PCU22112222112243_api_key_ecc133893ea92a842ee685c73424608[],3,FALSE),"")</f>
        <v>0.9178470254957507</v>
      </c>
      <c r="E716">
        <f>IFERROR(VLOOKUP($A716,observations_series_id_WPU0613020T_api_key_ecc133893ea92a842ee685c734246086_file[],2,FALSE),"")</f>
        <v>85.3</v>
      </c>
      <c r="F716" s="2">
        <f>IFERROR(VLOOKUP($A716,observations_series_id_WPU0613020T_api_key_ecc133893ea92a842ee685c734246086_file[],3,FALSE),"")</f>
        <v>-0.17233294255568588</v>
      </c>
      <c r="G716">
        <f>IFERROR(VLOOKUP($A716,observations_series_id_PCU22122212_api_key_ecc133893ea92a842ee685c734246086_file[],2,FALSE),"")</f>
        <v>117.7</v>
      </c>
      <c r="H716" s="2">
        <f>IFERROR(VLOOKUP($A716,observations_series_id_PCU22122212_api_key_ecc133893ea92a842ee685c734246086_file[],3,FALSE),"")</f>
        <v>0.15038232795242146</v>
      </c>
      <c r="I716">
        <f>IFERROR(VLOOKUP($A716,observations_series_id_PCU3241913241910_api_key_ecc133893ea92a842ee685c734246086[],2,FALSE),"")</f>
        <v>438.4</v>
      </c>
      <c r="J716" s="2">
        <f>IFERROR(VLOOKUP($A716,observations_series_id_PCU3241913241910_api_key_ecc133893ea92a842ee685c734246086[],3,FALSE),"")</f>
        <v>0.88275547445255476</v>
      </c>
      <c r="K716">
        <f>IFERROR(VLOOKUP($A716,observations_series_id_EXJPUS_api_key_ecc133893ea92a842ee685c734246086_file_type[],2,FALSE),"")</f>
        <v>112.417</v>
      </c>
      <c r="L716" s="2">
        <f>IFERROR(VLOOKUP($A716,observations_series_id_EXJPUS_api_key_ecc133893ea92a842ee685c734246086_file_type[],3,FALSE),"")</f>
        <v>-2.1847496375103406</v>
      </c>
      <c r="M716" t="str">
        <f>IFERROR(AVERAGEIFS(timeseries_access_key_fqeas14oitk235763mntlb1c0brnk9w3fenzqbk313q5kvxyf52kukw1pa[Value.LME-ZNC],timeseries_access_key_fqeas14oitk235763mntlb1c0brnk9w3fenzqbk313q5kvxyf52kukw1pa[Month],MONTH(Data!$A716),timeseries_access_key_fqeas14oitk235763mntlb1c0brnk9w3fenzqbk313q5kvxyf52kukw1pa[Year],YEAR(Data!$A716)),"")</f>
        <v/>
      </c>
      <c r="N716" s="2" t="str">
        <f>IFERROR(AVERAGEIFS(timeseries_access_key_fqeas14oitk235763mntlb1c0brnk9w3fenzqbk313q5kvxyf52kukw1pa[Column1],timeseries_access_key_fqeas14oitk235763mntlb1c0brnk9w3fenzqbk313q5kvxyf52kukw1pa[Month],MONTH(Data!$A716),timeseries_access_key_fqeas14oitk235763mntlb1c0brnk9w3fenzqbk313q5kvxyf52kukw1pa[Year],YEAR(Data!$A716)),"")</f>
        <v/>
      </c>
      <c r="O716" s="8">
        <f>IFERROR(VLOOKUP($A716,Text_1_2[[Text.1.1.3]:[Text.1.3]],2,FALSE),"")</f>
        <v>36100</v>
      </c>
      <c r="P716" s="2"/>
    </row>
    <row r="717" spans="1:16" x14ac:dyDescent="0.25">
      <c r="A717" s="1">
        <v>42948</v>
      </c>
      <c r="B717">
        <f>HLOOKUP(Dashboard!$I$27,results,ROW(A717),FALSE)</f>
        <v>0.13941480206540446</v>
      </c>
      <c r="C717">
        <f>IFERROR(VLOOKUP(A717,observations_series_id_PCU22112222112243_api_key_ecc133893ea92a842ee685c73424608[],2,FALSE),"")</f>
        <v>209.9</v>
      </c>
      <c r="D717" s="2">
        <f>IFERROR(VLOOKUP(A717,observations_series_id_PCU22112222112243_api_key_ecc133893ea92a842ee685c73424608[],3,FALSE),"")</f>
        <v>0.91710338256312529</v>
      </c>
      <c r="E717">
        <f>IFERROR(VLOOKUP($A717,observations_series_id_WPU0613020T_api_key_ecc133893ea92a842ee685c734246086_file[],2,FALSE),"")</f>
        <v>86.5</v>
      </c>
      <c r="F717" s="2">
        <f>IFERROR(VLOOKUP($A717,observations_series_id_WPU0613020T_api_key_ecc133893ea92a842ee685c734246086_file[],3,FALSE),"")</f>
        <v>-0.1560693641618498</v>
      </c>
      <c r="G717">
        <f>IFERROR(VLOOKUP($A717,observations_series_id_PCU22122212_api_key_ecc133893ea92a842ee685c734246086_file[],2,FALSE),"")</f>
        <v>116.2</v>
      </c>
      <c r="H717" s="2">
        <f>IFERROR(VLOOKUP($A717,observations_series_id_PCU22122212_api_key_ecc133893ea92a842ee685c734246086_file[],3,FALSE),"")</f>
        <v>0.13941480206540446</v>
      </c>
      <c r="I717">
        <f>IFERROR(VLOOKUP($A717,observations_series_id_PCU3241913241910_api_key_ecc133893ea92a842ee685c734246086[],2,FALSE),"")</f>
        <v>436.8</v>
      </c>
      <c r="J717" s="2">
        <f>IFERROR(VLOOKUP($A717,observations_series_id_PCU3241913241910_api_key_ecc133893ea92a842ee685c734246086[],3,FALSE),"")</f>
        <v>0.8823260073260073</v>
      </c>
      <c r="K717">
        <f>IFERROR(VLOOKUP($A717,observations_series_id_EXJPUS_api_key_ecc133893ea92a842ee685c734246086_file_type[],2,FALSE),"")</f>
        <v>109.827</v>
      </c>
      <c r="L717" s="2">
        <f>IFERROR(VLOOKUP($A717,observations_series_id_EXJPUS_api_key_ecc133893ea92a842ee685c734246086_file_type[],3,FALSE),"")</f>
        <v>-2.2598541342292879</v>
      </c>
      <c r="M717" t="str">
        <f>IFERROR(AVERAGEIFS(timeseries_access_key_fqeas14oitk235763mntlb1c0brnk9w3fenzqbk313q5kvxyf52kukw1pa[Value.LME-ZNC],timeseries_access_key_fqeas14oitk235763mntlb1c0brnk9w3fenzqbk313q5kvxyf52kukw1pa[Month],MONTH(Data!$A717),timeseries_access_key_fqeas14oitk235763mntlb1c0brnk9w3fenzqbk313q5kvxyf52kukw1pa[Year],YEAR(Data!$A717)),"")</f>
        <v/>
      </c>
      <c r="N717" s="2" t="str">
        <f>IFERROR(AVERAGEIFS(timeseries_access_key_fqeas14oitk235763mntlb1c0brnk9w3fenzqbk313q5kvxyf52kukw1pa[Column1],timeseries_access_key_fqeas14oitk235763mntlb1c0brnk9w3fenzqbk313q5kvxyf52kukw1pa[Month],MONTH(Data!$A717),timeseries_access_key_fqeas14oitk235763mntlb1c0brnk9w3fenzqbk313q5kvxyf52kukw1pa[Year],YEAR(Data!$A717)),"")</f>
        <v/>
      </c>
      <c r="O717" s="8" t="str">
        <f>IFERROR(VLOOKUP($A717,Text_1_2[[Text.1.1.3]:[Text.1.3]],2,FALSE),"")</f>
        <v/>
      </c>
      <c r="P717" s="2"/>
    </row>
    <row r="718" spans="1:16" x14ac:dyDescent="0.25">
      <c r="A718" s="1">
        <v>42979</v>
      </c>
      <c r="B718">
        <f>HLOOKUP(Dashboard!$I$27,results,ROW(A718),FALSE)</f>
        <v>0.13419913419913421</v>
      </c>
      <c r="C718">
        <f>IFERROR(VLOOKUP(A718,observations_series_id_PCU22112222112243_api_key_ecc133893ea92a842ee685c73424608[],2,FALSE),"")</f>
        <v>208.1</v>
      </c>
      <c r="D718" s="2">
        <f>IFERROR(VLOOKUP(A718,observations_series_id_PCU22112222112243_api_key_ecc133893ea92a842ee685c73424608[],3,FALSE),"")</f>
        <v>0.91638635271504087</v>
      </c>
      <c r="E718">
        <f>IFERROR(VLOOKUP($A718,observations_series_id_WPU0613020T_api_key_ecc133893ea92a842ee685c734246086_file[],2,FALSE),"")</f>
        <v>86.2</v>
      </c>
      <c r="F718" s="2">
        <f>IFERROR(VLOOKUP($A718,observations_series_id_WPU0613020T_api_key_ecc133893ea92a842ee685c734246086_file[],3,FALSE),"")</f>
        <v>-0.16009280742459397</v>
      </c>
      <c r="G718">
        <f>IFERROR(VLOOKUP($A718,observations_series_id_PCU22122212_api_key_ecc133893ea92a842ee685c734246086_file[],2,FALSE),"")</f>
        <v>115.5</v>
      </c>
      <c r="H718" s="2">
        <f>IFERROR(VLOOKUP($A718,observations_series_id_PCU22122212_api_key_ecc133893ea92a842ee685c734246086_file[],3,FALSE),"")</f>
        <v>0.13419913419913421</v>
      </c>
      <c r="I718">
        <f>IFERROR(VLOOKUP($A718,observations_series_id_PCU3241913241910_api_key_ecc133893ea92a842ee685c734246086[],2,FALSE),"")</f>
        <v>440</v>
      </c>
      <c r="J718" s="2">
        <f>IFERROR(VLOOKUP($A718,observations_series_id_PCU3241913241910_api_key_ecc133893ea92a842ee685c734246086[],3,FALSE),"")</f>
        <v>0.88318181818181818</v>
      </c>
      <c r="K718">
        <f>IFERROR(VLOOKUP($A718,observations_series_id_EXJPUS_api_key_ecc133893ea92a842ee685c734246086_file_type[],2,FALSE),"")</f>
        <v>110.776</v>
      </c>
      <c r="L718" s="2">
        <f>IFERROR(VLOOKUP($A718,observations_series_id_EXJPUS_api_key_ecc133893ea92a842ee685c734246086_file_type[],3,FALSE),"")</f>
        <v>-2.2319274933198527</v>
      </c>
      <c r="M718" t="str">
        <f>IFERROR(AVERAGEIFS(timeseries_access_key_fqeas14oitk235763mntlb1c0brnk9w3fenzqbk313q5kvxyf52kukw1pa[Value.LME-ZNC],timeseries_access_key_fqeas14oitk235763mntlb1c0brnk9w3fenzqbk313q5kvxyf52kukw1pa[Month],MONTH(Data!$A718),timeseries_access_key_fqeas14oitk235763mntlb1c0brnk9w3fenzqbk313q5kvxyf52kukw1pa[Year],YEAR(Data!$A718)),"")</f>
        <v/>
      </c>
      <c r="N718" s="2" t="str">
        <f>IFERROR(AVERAGEIFS(timeseries_access_key_fqeas14oitk235763mntlb1c0brnk9w3fenzqbk313q5kvxyf52kukw1pa[Column1],timeseries_access_key_fqeas14oitk235763mntlb1c0brnk9w3fenzqbk313q5kvxyf52kukw1pa[Month],MONTH(Data!$A718),timeseries_access_key_fqeas14oitk235763mntlb1c0brnk9w3fenzqbk313q5kvxyf52kukw1pa[Year],YEAR(Data!$A718)),"")</f>
        <v/>
      </c>
      <c r="O718" s="8" t="str">
        <f>IFERROR(VLOOKUP($A718,Text_1_2[[Text.1.1.3]:[Text.1.3]],2,FALSE),"")</f>
        <v/>
      </c>
      <c r="P718" s="2"/>
    </row>
    <row r="719" spans="1:16" x14ac:dyDescent="0.25">
      <c r="A719" s="1">
        <v>43009</v>
      </c>
      <c r="B719">
        <f>HLOOKUP(Dashboard!$I$27,results,ROW(A719),FALSE)</f>
        <v>0.13269731136166518</v>
      </c>
      <c r="C719">
        <f>IFERROR(VLOOKUP(A719,observations_series_id_PCU22112222112243_api_key_ecc133893ea92a842ee685c73424608[],2,FALSE),"")</f>
        <v>199.6</v>
      </c>
      <c r="D719" s="2">
        <f>IFERROR(VLOOKUP(A719,observations_series_id_PCU22112222112243_api_key_ecc133893ea92a842ee685c73424608[],3,FALSE),"")</f>
        <v>0.91282565130260518</v>
      </c>
      <c r="E719">
        <f>IFERROR(VLOOKUP($A719,observations_series_id_WPU0613020T_api_key_ecc133893ea92a842ee685c734246086_file[],2,FALSE),"")</f>
        <v>87.9</v>
      </c>
      <c r="F719" s="2">
        <f>IFERROR(VLOOKUP($A719,observations_series_id_WPU0613020T_api_key_ecc133893ea92a842ee685c734246086_file[],3,FALSE),"")</f>
        <v>-0.13765642775881681</v>
      </c>
      <c r="G719">
        <f>IFERROR(VLOOKUP($A719,observations_series_id_PCU22122212_api_key_ecc133893ea92a842ee685c734246086_file[],2,FALSE),"")</f>
        <v>115.3</v>
      </c>
      <c r="H719" s="2">
        <f>IFERROR(VLOOKUP($A719,observations_series_id_PCU22122212_api_key_ecc133893ea92a842ee685c734246086_file[],3,FALSE),"")</f>
        <v>0.13269731136166518</v>
      </c>
      <c r="I719">
        <f>IFERROR(VLOOKUP($A719,observations_series_id_PCU3241913241910_api_key_ecc133893ea92a842ee685c734246086[],2,FALSE),"")</f>
        <v>439</v>
      </c>
      <c r="J719" s="2">
        <f>IFERROR(VLOOKUP($A719,observations_series_id_PCU3241913241910_api_key_ecc133893ea92a842ee685c734246086[],3,FALSE),"")</f>
        <v>0.88291571753986331</v>
      </c>
      <c r="K719">
        <f>IFERROR(VLOOKUP($A719,observations_series_id_EXJPUS_api_key_ecc133893ea92a842ee685c734246086_file_type[],2,FALSE),"")</f>
        <v>112.9148</v>
      </c>
      <c r="L719" s="2">
        <f>IFERROR(VLOOKUP($A719,observations_series_id_EXJPUS_api_key_ecc133893ea92a842ee685c734246086_file_type[],3,FALSE),"")</f>
        <v>-2.1707092427210601</v>
      </c>
      <c r="M719" t="str">
        <f>IFERROR(AVERAGEIFS(timeseries_access_key_fqeas14oitk235763mntlb1c0brnk9w3fenzqbk313q5kvxyf52kukw1pa[Value.LME-ZNC],timeseries_access_key_fqeas14oitk235763mntlb1c0brnk9w3fenzqbk313q5kvxyf52kukw1pa[Month],MONTH(Data!$A719),timeseries_access_key_fqeas14oitk235763mntlb1c0brnk9w3fenzqbk313q5kvxyf52kukw1pa[Year],YEAR(Data!$A719)),"")</f>
        <v/>
      </c>
      <c r="N719" s="2" t="str">
        <f>IFERROR(AVERAGEIFS(timeseries_access_key_fqeas14oitk235763mntlb1c0brnk9w3fenzqbk313q5kvxyf52kukw1pa[Column1],timeseries_access_key_fqeas14oitk235763mntlb1c0brnk9w3fenzqbk313q5kvxyf52kukw1pa[Month],MONTH(Data!$A719),timeseries_access_key_fqeas14oitk235763mntlb1c0brnk9w3fenzqbk313q5kvxyf52kukw1pa[Year],YEAR(Data!$A719)),"")</f>
        <v/>
      </c>
      <c r="O719" s="8">
        <f>IFERROR(VLOOKUP($A719,Text_1_2[[Text.1.1.3]:[Text.1.3]],2,FALSE),"")</f>
        <v>44600</v>
      </c>
      <c r="P719" s="2"/>
    </row>
    <row r="720" spans="1:16" x14ac:dyDescent="0.25">
      <c r="A720" s="1">
        <v>43040</v>
      </c>
      <c r="B720">
        <f>HLOOKUP(Dashboard!$I$27,results,ROW(A720),FALSE)</f>
        <v>0.13644214162348878</v>
      </c>
      <c r="C720">
        <f>IFERROR(VLOOKUP(A720,observations_series_id_PCU22112222112243_api_key_ecc133893ea92a842ee685c73424608[],2,FALSE),"")</f>
        <v>197.9</v>
      </c>
      <c r="D720" s="2">
        <f>IFERROR(VLOOKUP(A720,observations_series_id_PCU22112222112243_api_key_ecc133893ea92a842ee685c73424608[],3,FALSE),"")</f>
        <v>0.91207680646791311</v>
      </c>
      <c r="E720">
        <f>IFERROR(VLOOKUP($A720,observations_series_id_WPU0613020T_api_key_ecc133893ea92a842ee685c734246086_file[],2,FALSE),"")</f>
        <v>92.7</v>
      </c>
      <c r="F720" s="2">
        <f>IFERROR(VLOOKUP($A720,observations_series_id_WPU0613020T_api_key_ecc133893ea92a842ee685c734246086_file[],3,FALSE),"")</f>
        <v>-7.8748651564185534E-2</v>
      </c>
      <c r="G720">
        <f>IFERROR(VLOOKUP($A720,observations_series_id_PCU22122212_api_key_ecc133893ea92a842ee685c734246086_file[],2,FALSE),"")</f>
        <v>115.8</v>
      </c>
      <c r="H720" s="2">
        <f>IFERROR(VLOOKUP($A720,observations_series_id_PCU22122212_api_key_ecc133893ea92a842ee685c734246086_file[],3,FALSE),"")</f>
        <v>0.13644214162348878</v>
      </c>
      <c r="I720">
        <f>IFERROR(VLOOKUP($A720,observations_series_id_PCU3241913241910_api_key_ecc133893ea92a842ee685c734246086[],2,FALSE),"")</f>
        <v>437</v>
      </c>
      <c r="J720" s="2">
        <f>IFERROR(VLOOKUP($A720,observations_series_id_PCU3241913241910_api_key_ecc133893ea92a842ee685c734246086[],3,FALSE),"")</f>
        <v>0.88237986270022883</v>
      </c>
      <c r="K720">
        <f>IFERROR(VLOOKUP($A720,observations_series_id_EXJPUS_api_key_ecc133893ea92a842ee685c734246086_file_type[],2,FALSE),"")</f>
        <v>112.819</v>
      </c>
      <c r="L720" s="2">
        <f>IFERROR(VLOOKUP($A720,observations_series_id_EXJPUS_api_key_ecc133893ea92a842ee685c734246086_file_type[],3,FALSE),"")</f>
        <v>-2.1734016433402172</v>
      </c>
      <c r="M720" t="str">
        <f>IFERROR(AVERAGEIFS(timeseries_access_key_fqeas14oitk235763mntlb1c0brnk9w3fenzqbk313q5kvxyf52kukw1pa[Value.LME-ZNC],timeseries_access_key_fqeas14oitk235763mntlb1c0brnk9w3fenzqbk313q5kvxyf52kukw1pa[Month],MONTH(Data!$A720),timeseries_access_key_fqeas14oitk235763mntlb1c0brnk9w3fenzqbk313q5kvxyf52kukw1pa[Year],YEAR(Data!$A720)),"")</f>
        <v/>
      </c>
      <c r="N720" s="2" t="str">
        <f>IFERROR(AVERAGEIFS(timeseries_access_key_fqeas14oitk235763mntlb1c0brnk9w3fenzqbk313q5kvxyf52kukw1pa[Column1],timeseries_access_key_fqeas14oitk235763mntlb1c0brnk9w3fenzqbk313q5kvxyf52kukw1pa[Month],MONTH(Data!$A720),timeseries_access_key_fqeas14oitk235763mntlb1c0brnk9w3fenzqbk313q5kvxyf52kukw1pa[Year],YEAR(Data!$A720)),"")</f>
        <v/>
      </c>
      <c r="O720" s="8" t="str">
        <f>IFERROR(VLOOKUP($A720,Text_1_2[[Text.1.1.3]:[Text.1.3]],2,FALSE),"")</f>
        <v/>
      </c>
      <c r="P720" s="2"/>
    </row>
    <row r="721" spans="1:16" x14ac:dyDescent="0.25">
      <c r="A721" s="1">
        <v>43070</v>
      </c>
      <c r="B721">
        <f>HLOOKUP(Dashboard!$I$27,results,ROW(A721),FALSE)</f>
        <v>0.15254237288135597</v>
      </c>
      <c r="C721">
        <f>IFERROR(VLOOKUP(A721,observations_series_id_PCU22112222112243_api_key_ecc133893ea92a842ee685c73424608[],2,FALSE),"")</f>
        <v>198.4</v>
      </c>
      <c r="D721" s="2">
        <f>IFERROR(VLOOKUP(A721,observations_series_id_PCU22112222112243_api_key_ecc133893ea92a842ee685c73424608[],3,FALSE),"")</f>
        <v>0.91229838709677424</v>
      </c>
      <c r="E721">
        <f>IFERROR(VLOOKUP($A721,observations_series_id_WPU0613020T_api_key_ecc133893ea92a842ee685c734246086_file[],2,FALSE),"")</f>
        <v>95.5</v>
      </c>
      <c r="F721" s="2">
        <f>IFERROR(VLOOKUP($A721,observations_series_id_WPU0613020T_api_key_ecc133893ea92a842ee685c734246086_file[],3,FALSE),"")</f>
        <v>-4.7120418848167533E-2</v>
      </c>
      <c r="G721">
        <f>IFERROR(VLOOKUP($A721,observations_series_id_PCU22122212_api_key_ecc133893ea92a842ee685c734246086_file[],2,FALSE),"")</f>
        <v>118</v>
      </c>
      <c r="H721" s="2">
        <f>IFERROR(VLOOKUP($A721,observations_series_id_PCU22122212_api_key_ecc133893ea92a842ee685c734246086_file[],3,FALSE),"")</f>
        <v>0.15254237288135597</v>
      </c>
      <c r="I721">
        <f>IFERROR(VLOOKUP($A721,observations_series_id_PCU3241913241910_api_key_ecc133893ea92a842ee685c734246086[],2,FALSE),"")</f>
        <v>446.8</v>
      </c>
      <c r="J721" s="2">
        <f>IFERROR(VLOOKUP($A721,observations_series_id_PCU3241913241910_api_key_ecc133893ea92a842ee685c734246086[],3,FALSE),"")</f>
        <v>0.88495971351835268</v>
      </c>
      <c r="K721">
        <f>IFERROR(VLOOKUP($A721,observations_series_id_EXJPUS_api_key_ecc133893ea92a842ee685c734246086_file_type[],2,FALSE),"")</f>
        <v>112.9405</v>
      </c>
      <c r="L721" s="2">
        <f>IFERROR(VLOOKUP($A721,observations_series_id_EXJPUS_api_key_ecc133893ea92a842ee685c734246086_file_type[],3,FALSE),"")</f>
        <v>-2.1699877369057159</v>
      </c>
      <c r="M721" t="str">
        <f>IFERROR(AVERAGEIFS(timeseries_access_key_fqeas14oitk235763mntlb1c0brnk9w3fenzqbk313q5kvxyf52kukw1pa[Value.LME-ZNC],timeseries_access_key_fqeas14oitk235763mntlb1c0brnk9w3fenzqbk313q5kvxyf52kukw1pa[Month],MONTH(Data!$A721),timeseries_access_key_fqeas14oitk235763mntlb1c0brnk9w3fenzqbk313q5kvxyf52kukw1pa[Year],YEAR(Data!$A721)),"")</f>
        <v/>
      </c>
      <c r="N721" s="2" t="str">
        <f>IFERROR(AVERAGEIFS(timeseries_access_key_fqeas14oitk235763mntlb1c0brnk9w3fenzqbk313q5kvxyf52kukw1pa[Column1],timeseries_access_key_fqeas14oitk235763mntlb1c0brnk9w3fenzqbk313q5kvxyf52kukw1pa[Month],MONTH(Data!$A721),timeseries_access_key_fqeas14oitk235763mntlb1c0brnk9w3fenzqbk313q5kvxyf52kukw1pa[Year],YEAR(Data!$A721)),"")</f>
        <v/>
      </c>
      <c r="O721" s="8" t="str">
        <f>IFERROR(VLOOKUP($A721,Text_1_2[[Text.1.1.3]:[Text.1.3]],2,FALSE),"")</f>
        <v/>
      </c>
      <c r="P721" s="2"/>
    </row>
    <row r="722" spans="1:16" x14ac:dyDescent="0.25">
      <c r="A722" s="1">
        <v>43101</v>
      </c>
      <c r="B722">
        <f>HLOOKUP(Dashboard!$I$27,results,ROW(A722),FALSE)</f>
        <v>0.13941480206540446</v>
      </c>
      <c r="C722">
        <f>IFERROR(VLOOKUP(A722,observations_series_id_PCU22112222112243_api_key_ecc133893ea92a842ee685c73424608[],2,FALSE),"")</f>
        <v>203.5</v>
      </c>
      <c r="D722" s="2">
        <f>IFERROR(VLOOKUP(A722,observations_series_id_PCU22112222112243_api_key_ecc133893ea92a842ee685c73424608[],3,FALSE),"")</f>
        <v>0.91449631449631452</v>
      </c>
      <c r="E722">
        <f>IFERROR(VLOOKUP($A722,observations_series_id_WPU0613020T_api_key_ecc133893ea92a842ee685c734246086_file[],2,FALSE),"")</f>
        <v>95.1</v>
      </c>
      <c r="F722" s="2">
        <f>IFERROR(VLOOKUP($A722,observations_series_id_WPU0613020T_api_key_ecc133893ea92a842ee685c734246086_file[],3,FALSE),"")</f>
        <v>-5.1524710830704645E-2</v>
      </c>
      <c r="G722">
        <f>IFERROR(VLOOKUP($A722,observations_series_id_PCU22122212_api_key_ecc133893ea92a842ee685c734246086_file[],2,FALSE),"")</f>
        <v>116.2</v>
      </c>
      <c r="H722" s="2">
        <f>IFERROR(VLOOKUP($A722,observations_series_id_PCU22122212_api_key_ecc133893ea92a842ee685c734246086_file[],3,FALSE),"")</f>
        <v>0.13941480206540446</v>
      </c>
      <c r="I722">
        <f>IFERROR(VLOOKUP($A722,observations_series_id_PCU3241913241910_api_key_ecc133893ea92a842ee685c734246086[],2,FALSE),"")</f>
        <v>446.3</v>
      </c>
      <c r="J722" s="2">
        <f>IFERROR(VLOOKUP($A722,observations_series_id_PCU3241913241910_api_key_ecc133893ea92a842ee685c734246086[],3,FALSE),"")</f>
        <v>0.88483083127940843</v>
      </c>
      <c r="K722">
        <f>IFERROR(VLOOKUP($A722,observations_series_id_EXJPUS_api_key_ecc133893ea92a842ee685c734246086_file_type[],2,FALSE),"")</f>
        <v>110.871</v>
      </c>
      <c r="L722" s="2">
        <f>IFERROR(VLOOKUP($A722,observations_series_id_EXJPUS_api_key_ecc133893ea92a842ee685c734246086_file_type[],3,FALSE),"")</f>
        <v>-2.2291582108937416</v>
      </c>
      <c r="M722" t="str">
        <f>IFERROR(AVERAGEIFS(timeseries_access_key_fqeas14oitk235763mntlb1c0brnk9w3fenzqbk313q5kvxyf52kukw1pa[Value.LME-ZNC],timeseries_access_key_fqeas14oitk235763mntlb1c0brnk9w3fenzqbk313q5kvxyf52kukw1pa[Month],MONTH(Data!$A722),timeseries_access_key_fqeas14oitk235763mntlb1c0brnk9w3fenzqbk313q5kvxyf52kukw1pa[Year],YEAR(Data!$A722)),"")</f>
        <v/>
      </c>
      <c r="N722" s="2" t="str">
        <f>IFERROR(AVERAGEIFS(timeseries_access_key_fqeas14oitk235763mntlb1c0brnk9w3fenzqbk313q5kvxyf52kukw1pa[Column1],timeseries_access_key_fqeas14oitk235763mntlb1c0brnk9w3fenzqbk313q5kvxyf52kukw1pa[Month],MONTH(Data!$A722),timeseries_access_key_fqeas14oitk235763mntlb1c0brnk9w3fenzqbk313q5kvxyf52kukw1pa[Year],YEAR(Data!$A722)),"")</f>
        <v/>
      </c>
      <c r="O722" s="8">
        <f>IFERROR(VLOOKUP($A722,Text_1_2[[Text.1.1.3]:[Text.1.3]],2,FALSE),"")</f>
        <v>47900</v>
      </c>
      <c r="P722" s="2"/>
    </row>
    <row r="723" spans="1:16" x14ac:dyDescent="0.25">
      <c r="A723" s="1">
        <v>43132</v>
      </c>
      <c r="B723">
        <f>HLOOKUP(Dashboard!$I$27,results,ROW(A723),FALSE)</f>
        <v>0.1961414790996785</v>
      </c>
      <c r="C723">
        <f>IFERROR(VLOOKUP(A723,observations_series_id_PCU22112222112243_api_key_ecc133893ea92a842ee685c73424608[],2,FALSE),"")</f>
        <v>205</v>
      </c>
      <c r="D723" s="2">
        <f>IFERROR(VLOOKUP(A723,observations_series_id_PCU22112222112243_api_key_ecc133893ea92a842ee685c73424608[],3,FALSE),"")</f>
        <v>0.91512195121951223</v>
      </c>
      <c r="E723">
        <f>IFERROR(VLOOKUP($A723,observations_series_id_WPU0613020T_api_key_ecc133893ea92a842ee685c734246086_file[],2,FALSE),"")</f>
        <v>97.6</v>
      </c>
      <c r="F723" s="2">
        <f>IFERROR(VLOOKUP($A723,observations_series_id_WPU0613020T_api_key_ecc133893ea92a842ee685c734246086_file[],3,FALSE),"")</f>
        <v>-2.4590163934426368E-2</v>
      </c>
      <c r="G723">
        <f>IFERROR(VLOOKUP($A723,observations_series_id_PCU22122212_api_key_ecc133893ea92a842ee685c734246086_file[],2,FALSE),"")</f>
        <v>124.4</v>
      </c>
      <c r="H723" s="2">
        <f>IFERROR(VLOOKUP($A723,observations_series_id_PCU22122212_api_key_ecc133893ea92a842ee685c734246086_file[],3,FALSE),"")</f>
        <v>0.1961414790996785</v>
      </c>
      <c r="I723">
        <f>IFERROR(VLOOKUP($A723,observations_series_id_PCU3241913241910_api_key_ecc133893ea92a842ee685c734246086[],2,FALSE),"")</f>
        <v>449.2</v>
      </c>
      <c r="J723" s="2">
        <f>IFERROR(VLOOKUP($A723,observations_series_id_PCU3241913241910_api_key_ecc133893ea92a842ee685c734246086[],3,FALSE),"")</f>
        <v>0.88557435440783616</v>
      </c>
      <c r="K723">
        <f>IFERROR(VLOOKUP($A723,observations_series_id_EXJPUS_api_key_ecc133893ea92a842ee685c734246086_file_type[],2,FALSE),"")</f>
        <v>107.97</v>
      </c>
      <c r="L723" s="2">
        <f>IFERROR(VLOOKUP($A723,observations_series_id_EXJPUS_api_key_ecc133893ea92a842ee685c734246086_file_type[],3,FALSE),"")</f>
        <v>-2.3159210891914421</v>
      </c>
      <c r="M723" t="str">
        <f>IFERROR(AVERAGEIFS(timeseries_access_key_fqeas14oitk235763mntlb1c0brnk9w3fenzqbk313q5kvxyf52kukw1pa[Value.LME-ZNC],timeseries_access_key_fqeas14oitk235763mntlb1c0brnk9w3fenzqbk313q5kvxyf52kukw1pa[Month],MONTH(Data!$A723),timeseries_access_key_fqeas14oitk235763mntlb1c0brnk9w3fenzqbk313q5kvxyf52kukw1pa[Year],YEAR(Data!$A723)),"")</f>
        <v/>
      </c>
      <c r="N723" s="2" t="str">
        <f>IFERROR(AVERAGEIFS(timeseries_access_key_fqeas14oitk235763mntlb1c0brnk9w3fenzqbk313q5kvxyf52kukw1pa[Column1],timeseries_access_key_fqeas14oitk235763mntlb1c0brnk9w3fenzqbk313q5kvxyf52kukw1pa[Month],MONTH(Data!$A723),timeseries_access_key_fqeas14oitk235763mntlb1c0brnk9w3fenzqbk313q5kvxyf52kukw1pa[Year],YEAR(Data!$A723)),"")</f>
        <v/>
      </c>
      <c r="O723" s="8" t="str">
        <f>IFERROR(VLOOKUP($A723,Text_1_2[[Text.1.1.3]:[Text.1.3]],2,FALSE),"")</f>
        <v/>
      </c>
      <c r="P723" s="2"/>
    </row>
    <row r="724" spans="1:16" x14ac:dyDescent="0.25">
      <c r="A724" s="1">
        <v>43160</v>
      </c>
      <c r="B724">
        <f>HLOOKUP(Dashboard!$I$27,results,ROW(A724),FALSE)</f>
        <v>0.14310197086546705</v>
      </c>
      <c r="C724">
        <f>IFERROR(VLOOKUP(A724,observations_series_id_PCU22112222112243_api_key_ecc133893ea92a842ee685c73424608[],2,FALSE),"")</f>
        <v>201.4</v>
      </c>
      <c r="D724" s="2">
        <f>IFERROR(VLOOKUP(A724,observations_series_id_PCU22112222112243_api_key_ecc133893ea92a842ee685c73424608[],3,FALSE),"")</f>
        <v>0.91360476663356505</v>
      </c>
      <c r="E724">
        <f>IFERROR(VLOOKUP($A724,observations_series_id_WPU0613020T_api_key_ecc133893ea92a842ee685c734246086_file[],2,FALSE),"")</f>
        <v>105</v>
      </c>
      <c r="F724" s="2">
        <f>IFERROR(VLOOKUP($A724,observations_series_id_WPU0613020T_api_key_ecc133893ea92a842ee685c734246086_file[],3,FALSE),"")</f>
        <v>4.7619047619047672E-2</v>
      </c>
      <c r="G724">
        <f>IFERROR(VLOOKUP($A724,observations_series_id_PCU22122212_api_key_ecc133893ea92a842ee685c734246086_file[],2,FALSE),"")</f>
        <v>116.7</v>
      </c>
      <c r="H724" s="2">
        <f>IFERROR(VLOOKUP($A724,observations_series_id_PCU22122212_api_key_ecc133893ea92a842ee685c734246086_file[],3,FALSE),"")</f>
        <v>0.14310197086546705</v>
      </c>
      <c r="I724">
        <f>IFERROR(VLOOKUP($A724,observations_series_id_PCU3241913241910_api_key_ecc133893ea92a842ee685c734246086[],2,FALSE),"")</f>
        <v>455</v>
      </c>
      <c r="J724" s="2">
        <f>IFERROR(VLOOKUP($A724,observations_series_id_PCU3241913241910_api_key_ecc133893ea92a842ee685c734246086[],3,FALSE),"")</f>
        <v>0.88703296703296708</v>
      </c>
      <c r="K724">
        <f>IFERROR(VLOOKUP($A724,observations_series_id_EXJPUS_api_key_ecc133893ea92a842ee685c734246086_file_type[],2,FALSE),"")</f>
        <v>106.0468</v>
      </c>
      <c r="L724" s="2">
        <f>IFERROR(VLOOKUP($A724,observations_series_id_EXJPUS_api_key_ecc133893ea92a842ee685c734246086_file_type[],3,FALSE),"")</f>
        <v>-2.3760566089688702</v>
      </c>
      <c r="M724" t="str">
        <f>IFERROR(AVERAGEIFS(timeseries_access_key_fqeas14oitk235763mntlb1c0brnk9w3fenzqbk313q5kvxyf52kukw1pa[Value.LME-ZNC],timeseries_access_key_fqeas14oitk235763mntlb1c0brnk9w3fenzqbk313q5kvxyf52kukw1pa[Month],MONTH(Data!$A724),timeseries_access_key_fqeas14oitk235763mntlb1c0brnk9w3fenzqbk313q5kvxyf52kukw1pa[Year],YEAR(Data!$A724)),"")</f>
        <v/>
      </c>
      <c r="N724" s="2" t="str">
        <f>IFERROR(AVERAGEIFS(timeseries_access_key_fqeas14oitk235763mntlb1c0brnk9w3fenzqbk313q5kvxyf52kukw1pa[Column1],timeseries_access_key_fqeas14oitk235763mntlb1c0brnk9w3fenzqbk313q5kvxyf52kukw1pa[Month],MONTH(Data!$A724),timeseries_access_key_fqeas14oitk235763mntlb1c0brnk9w3fenzqbk313q5kvxyf52kukw1pa[Year],YEAR(Data!$A724)),"")</f>
        <v/>
      </c>
      <c r="O724" s="8" t="str">
        <f>IFERROR(VLOOKUP($A724,Text_1_2[[Text.1.1.3]:[Text.1.3]],2,FALSE),"")</f>
        <v/>
      </c>
      <c r="P724" s="2"/>
    </row>
    <row r="725" spans="1:16" x14ac:dyDescent="0.25">
      <c r="A725" s="1">
        <v>43191</v>
      </c>
      <c r="B725">
        <f>HLOOKUP(Dashboard!$I$27,results,ROW(A725),FALSE)</f>
        <v>0.13494809688581311</v>
      </c>
      <c r="C725">
        <f>IFERROR(VLOOKUP(A725,observations_series_id_PCU22112222112243_api_key_ecc133893ea92a842ee685c73424608[],2,FALSE),"")</f>
        <v>198.6</v>
      </c>
      <c r="D725" s="2">
        <f>IFERROR(VLOOKUP(A725,observations_series_id_PCU22112222112243_api_key_ecc133893ea92a842ee685c73424608[],3,FALSE),"")</f>
        <v>0.91238670694864044</v>
      </c>
      <c r="E725">
        <f>IFERROR(VLOOKUP($A725,observations_series_id_WPU0613020T_api_key_ecc133893ea92a842ee685c734246086_file[],2,FALSE),"")</f>
        <v>104.7</v>
      </c>
      <c r="F725" s="2">
        <f>IFERROR(VLOOKUP($A725,observations_series_id_WPU0613020T_api_key_ecc133893ea92a842ee685c734246086_file[],3,FALSE),"")</f>
        <v>4.4890162368672382E-2</v>
      </c>
      <c r="G725">
        <f>IFERROR(VLOOKUP($A725,observations_series_id_PCU22122212_api_key_ecc133893ea92a842ee685c734246086_file[],2,FALSE),"")</f>
        <v>115.6</v>
      </c>
      <c r="H725" s="2">
        <f>IFERROR(VLOOKUP($A725,observations_series_id_PCU22122212_api_key_ecc133893ea92a842ee685c734246086_file[],3,FALSE),"")</f>
        <v>0.13494809688581311</v>
      </c>
      <c r="I725">
        <f>IFERROR(VLOOKUP($A725,observations_series_id_PCU3241913241910_api_key_ecc133893ea92a842ee685c734246086[],2,FALSE),"")</f>
        <v>461.3</v>
      </c>
      <c r="J725" s="2">
        <f>IFERROR(VLOOKUP($A725,observations_series_id_PCU3241913241910_api_key_ecc133893ea92a842ee685c734246086[],3,FALSE),"")</f>
        <v>0.88857576414480821</v>
      </c>
      <c r="K725">
        <f>IFERROR(VLOOKUP($A725,observations_series_id_EXJPUS_api_key_ecc133893ea92a842ee685c734246086_file_type[],2,FALSE),"")</f>
        <v>107.6562</v>
      </c>
      <c r="L725" s="2">
        <f>IFERROR(VLOOKUP($A725,observations_series_id_EXJPUS_api_key_ecc133893ea92a842ee685c734246086_file_type[],3,FALSE),"")</f>
        <v>-2.3255864501998027</v>
      </c>
      <c r="M725" t="str">
        <f>IFERROR(AVERAGEIFS(timeseries_access_key_fqeas14oitk235763mntlb1c0brnk9w3fenzqbk313q5kvxyf52kukw1pa[Value.LME-ZNC],timeseries_access_key_fqeas14oitk235763mntlb1c0brnk9w3fenzqbk313q5kvxyf52kukw1pa[Month],MONTH(Data!$A725),timeseries_access_key_fqeas14oitk235763mntlb1c0brnk9w3fenzqbk313q5kvxyf52kukw1pa[Year],YEAR(Data!$A725)),"")</f>
        <v/>
      </c>
      <c r="N725" s="2" t="str">
        <f>IFERROR(AVERAGEIFS(timeseries_access_key_fqeas14oitk235763mntlb1c0brnk9w3fenzqbk313q5kvxyf52kukw1pa[Column1],timeseries_access_key_fqeas14oitk235763mntlb1c0brnk9w3fenzqbk313q5kvxyf52kukw1pa[Month],MONTH(Data!$A725),timeseries_access_key_fqeas14oitk235763mntlb1c0brnk9w3fenzqbk313q5kvxyf52kukw1pa[Year],YEAR(Data!$A725)),"")</f>
        <v/>
      </c>
      <c r="O725" s="8">
        <f>IFERROR(VLOOKUP($A725,Text_1_2[[Text.1.1.3]:[Text.1.3]],2,FALSE),"")</f>
        <v>48700</v>
      </c>
      <c r="P725" s="2"/>
    </row>
    <row r="726" spans="1:16" x14ac:dyDescent="0.25">
      <c r="A726" s="1">
        <v>43221</v>
      </c>
      <c r="B726">
        <f>HLOOKUP(Dashboard!$I$27,results,ROW(A726),FALSE)</f>
        <v>0.1296779808529156</v>
      </c>
      <c r="C726">
        <f>IFERROR(VLOOKUP(A726,observations_series_id_PCU22112222112243_api_key_ecc133893ea92a842ee685c73424608[],2,FALSE),"")</f>
        <v>201.6</v>
      </c>
      <c r="D726" s="2">
        <f>IFERROR(VLOOKUP(A726,observations_series_id_PCU22112222112243_api_key_ecc133893ea92a842ee685c73424608[],3,FALSE),"")</f>
        <v>0.91369047619047616</v>
      </c>
      <c r="E726">
        <f>IFERROR(VLOOKUP($A726,observations_series_id_WPU0613020T_api_key_ecc133893ea92a842ee685c734246086_file[],2,FALSE),"")</f>
        <v>104.8</v>
      </c>
      <c r="F726" s="2">
        <f>IFERROR(VLOOKUP($A726,observations_series_id_WPU0613020T_api_key_ecc133893ea92a842ee685c734246086_file[],3,FALSE),"")</f>
        <v>4.5801526717557217E-2</v>
      </c>
      <c r="G726">
        <f>IFERROR(VLOOKUP($A726,observations_series_id_PCU22122212_api_key_ecc133893ea92a842ee685c734246086_file[],2,FALSE),"")</f>
        <v>114.9</v>
      </c>
      <c r="H726" s="2">
        <f>IFERROR(VLOOKUP($A726,observations_series_id_PCU22122212_api_key_ecc133893ea92a842ee685c734246086_file[],3,FALSE),"")</f>
        <v>0.1296779808529156</v>
      </c>
      <c r="I726">
        <f>IFERROR(VLOOKUP($A726,observations_series_id_PCU3241913241910_api_key_ecc133893ea92a842ee685c734246086[],2,FALSE),"")</f>
        <v>465.9</v>
      </c>
      <c r="J726" s="2">
        <f>IFERROR(VLOOKUP($A726,observations_series_id_PCU3241913241910_api_key_ecc133893ea92a842ee685c734246086[],3,FALSE),"")</f>
        <v>0.88967589611504616</v>
      </c>
      <c r="K726">
        <f>IFERROR(VLOOKUP($A726,observations_series_id_EXJPUS_api_key_ecc133893ea92a842ee685c734246086_file_type[],2,FALSE),"")</f>
        <v>109.68819999999999</v>
      </c>
      <c r="L726" s="2">
        <f>IFERROR(VLOOKUP($A726,observations_series_id_EXJPUS_api_key_ecc133893ea92a842ee685c734246086_file_type[],3,FALSE),"")</f>
        <v>-2.2639791700474619</v>
      </c>
      <c r="M726" t="str">
        <f>IFERROR(AVERAGEIFS(timeseries_access_key_fqeas14oitk235763mntlb1c0brnk9w3fenzqbk313q5kvxyf52kukw1pa[Value.LME-ZNC],timeseries_access_key_fqeas14oitk235763mntlb1c0brnk9w3fenzqbk313q5kvxyf52kukw1pa[Month],MONTH(Data!$A726),timeseries_access_key_fqeas14oitk235763mntlb1c0brnk9w3fenzqbk313q5kvxyf52kukw1pa[Year],YEAR(Data!$A726)),"")</f>
        <v/>
      </c>
      <c r="N726" s="2" t="str">
        <f>IFERROR(AVERAGEIFS(timeseries_access_key_fqeas14oitk235763mntlb1c0brnk9w3fenzqbk313q5kvxyf52kukw1pa[Column1],timeseries_access_key_fqeas14oitk235763mntlb1c0brnk9w3fenzqbk313q5kvxyf52kukw1pa[Month],MONTH(Data!$A726),timeseries_access_key_fqeas14oitk235763mntlb1c0brnk9w3fenzqbk313q5kvxyf52kukw1pa[Year],YEAR(Data!$A726)),"")</f>
        <v/>
      </c>
      <c r="O726" s="8" t="str">
        <f>IFERROR(VLOOKUP($A726,Text_1_2[[Text.1.1.3]:[Text.1.3]],2,FALSE),"")</f>
        <v/>
      </c>
      <c r="P726" s="2"/>
    </row>
    <row r="727" spans="1:16" x14ac:dyDescent="0.25">
      <c r="A727" s="1">
        <v>43252</v>
      </c>
      <c r="B727">
        <f>HLOOKUP(Dashboard!$I$27,results,ROW(A727),FALSE)</f>
        <v>0.13194444444444442</v>
      </c>
      <c r="C727">
        <f>IFERROR(VLOOKUP(A727,observations_series_id_PCU22112222112243_api_key_ecc133893ea92a842ee685c73424608[],2,FALSE),"")</f>
        <v>213.3</v>
      </c>
      <c r="D727" s="2">
        <f>IFERROR(VLOOKUP(A727,observations_series_id_PCU22112222112243_api_key_ecc133893ea92a842ee685c73424608[],3,FALSE),"")</f>
        <v>0.91842475386779188</v>
      </c>
      <c r="E727">
        <f>IFERROR(VLOOKUP($A727,observations_series_id_WPU0613020T_api_key_ecc133893ea92a842ee685c734246086_file[],2,FALSE),"")</f>
        <v>105.2</v>
      </c>
      <c r="F727" s="2">
        <f>IFERROR(VLOOKUP($A727,observations_series_id_WPU0613020T_api_key_ecc133893ea92a842ee685c734246086_file[],3,FALSE),"")</f>
        <v>4.9429657794676785E-2</v>
      </c>
      <c r="G727">
        <f>IFERROR(VLOOKUP($A727,observations_series_id_PCU22122212_api_key_ecc133893ea92a842ee685c734246086_file[],2,FALSE),"")</f>
        <v>115.2</v>
      </c>
      <c r="H727" s="2">
        <f>IFERROR(VLOOKUP($A727,observations_series_id_PCU22122212_api_key_ecc133893ea92a842ee685c734246086_file[],3,FALSE),"")</f>
        <v>0.13194444444444442</v>
      </c>
      <c r="I727">
        <f>IFERROR(VLOOKUP($A727,observations_series_id_PCU3241913241910_api_key_ecc133893ea92a842ee685c734246086[],2,FALSE),"")</f>
        <v>470.1</v>
      </c>
      <c r="J727" s="2">
        <f>IFERROR(VLOOKUP($A727,observations_series_id_PCU3241913241910_api_key_ecc133893ea92a842ee685c734246086[],3,FALSE),"")</f>
        <v>0.89066156136992136</v>
      </c>
      <c r="K727">
        <f>IFERROR(VLOOKUP($A727,observations_series_id_EXJPUS_api_key_ecc133893ea92a842ee685c734246086_file_type[],2,FALSE),"")</f>
        <v>110.0638</v>
      </c>
      <c r="L727" s="2">
        <f>IFERROR(VLOOKUP($A727,observations_series_id_EXJPUS_api_key_ecc133893ea92a842ee685c734246086_file_type[],3,FALSE),"")</f>
        <v>-2.2528406251646769</v>
      </c>
      <c r="M727" t="str">
        <f>IFERROR(AVERAGEIFS(timeseries_access_key_fqeas14oitk235763mntlb1c0brnk9w3fenzqbk313q5kvxyf52kukw1pa[Value.LME-ZNC],timeseries_access_key_fqeas14oitk235763mntlb1c0brnk9w3fenzqbk313q5kvxyf52kukw1pa[Month],MONTH(Data!$A727),timeseries_access_key_fqeas14oitk235763mntlb1c0brnk9w3fenzqbk313q5kvxyf52kukw1pa[Year],YEAR(Data!$A727)),"")</f>
        <v/>
      </c>
      <c r="N727" s="2" t="str">
        <f>IFERROR(AVERAGEIFS(timeseries_access_key_fqeas14oitk235763mntlb1c0brnk9w3fenzqbk313q5kvxyf52kukw1pa[Column1],timeseries_access_key_fqeas14oitk235763mntlb1c0brnk9w3fenzqbk313q5kvxyf52kukw1pa[Month],MONTH(Data!$A727),timeseries_access_key_fqeas14oitk235763mntlb1c0brnk9w3fenzqbk313q5kvxyf52kukw1pa[Year],YEAR(Data!$A727)),"")</f>
        <v/>
      </c>
      <c r="O727" s="8" t="str">
        <f>IFERROR(VLOOKUP($A727,Text_1_2[[Text.1.1.3]:[Text.1.3]],2,FALSE),"")</f>
        <v/>
      </c>
      <c r="P727" s="2"/>
    </row>
    <row r="728" spans="1:16" x14ac:dyDescent="0.25">
      <c r="A728" s="1">
        <v>43282</v>
      </c>
      <c r="B728">
        <f>HLOOKUP(Dashboard!$I$27,results,ROW(A728),FALSE)</f>
        <v>0.13793103448275867</v>
      </c>
      <c r="C728">
        <f>IFERROR(VLOOKUP(A728,observations_series_id_PCU22112222112243_api_key_ecc133893ea92a842ee685c73424608[],2,FALSE),"")</f>
        <v>216.3</v>
      </c>
      <c r="D728" s="2">
        <f>IFERROR(VLOOKUP(A728,observations_series_id_PCU22112222112243_api_key_ecc133893ea92a842ee685c73424608[],3,FALSE),"")</f>
        <v>0.91955617198335649</v>
      </c>
      <c r="E728">
        <f>IFERROR(VLOOKUP($A728,observations_series_id_WPU0613020T_api_key_ecc133893ea92a842ee685c734246086_file[],2,FALSE),"")</f>
        <v>108.2</v>
      </c>
      <c r="F728" s="2">
        <f>IFERROR(VLOOKUP($A728,observations_series_id_WPU0613020T_api_key_ecc133893ea92a842ee685c734246086_file[],3,FALSE),"")</f>
        <v>7.578558225508325E-2</v>
      </c>
      <c r="G728">
        <f>IFERROR(VLOOKUP($A728,observations_series_id_PCU22122212_api_key_ecc133893ea92a842ee685c734246086_file[],2,FALSE),"")</f>
        <v>116</v>
      </c>
      <c r="H728" s="2">
        <f>IFERROR(VLOOKUP($A728,observations_series_id_PCU22122212_api_key_ecc133893ea92a842ee685c734246086_file[],3,FALSE),"")</f>
        <v>0.13793103448275867</v>
      </c>
      <c r="I728">
        <f>IFERROR(VLOOKUP($A728,observations_series_id_PCU3241913241910_api_key_ecc133893ea92a842ee685c734246086[],2,FALSE),"")</f>
        <v>475.7</v>
      </c>
      <c r="J728" s="2">
        <f>IFERROR(VLOOKUP($A728,observations_series_id_PCU3241913241910_api_key_ecc133893ea92a842ee685c734246086[],3,FALSE),"")</f>
        <v>0.89194870716838348</v>
      </c>
      <c r="K728">
        <f>IFERROR(VLOOKUP($A728,observations_series_id_EXJPUS_api_key_ecc133893ea92a842ee685c734246086_file_type[],2,FALSE),"")</f>
        <v>111.521</v>
      </c>
      <c r="L728" s="2">
        <f>IFERROR(VLOOKUP($A728,observations_series_id_EXJPUS_api_key_ecc133893ea92a842ee685c734246086_file_type[],3,FALSE),"")</f>
        <v>-2.2103370665614546</v>
      </c>
      <c r="M728" t="str">
        <f>IFERROR(AVERAGEIFS(timeseries_access_key_fqeas14oitk235763mntlb1c0brnk9w3fenzqbk313q5kvxyf52kukw1pa[Value.LME-ZNC],timeseries_access_key_fqeas14oitk235763mntlb1c0brnk9w3fenzqbk313q5kvxyf52kukw1pa[Month],MONTH(Data!$A728),timeseries_access_key_fqeas14oitk235763mntlb1c0brnk9w3fenzqbk313q5kvxyf52kukw1pa[Year],YEAR(Data!$A728)),"")</f>
        <v/>
      </c>
      <c r="N728" s="2" t="str">
        <f>IFERROR(AVERAGEIFS(timeseries_access_key_fqeas14oitk235763mntlb1c0brnk9w3fenzqbk313q5kvxyf52kukw1pa[Column1],timeseries_access_key_fqeas14oitk235763mntlb1c0brnk9w3fenzqbk313q5kvxyf52kukw1pa[Month],MONTH(Data!$A728),timeseries_access_key_fqeas14oitk235763mntlb1c0brnk9w3fenzqbk313q5kvxyf52kukw1pa[Year],YEAR(Data!$A728)),"")</f>
        <v/>
      </c>
      <c r="O728" s="8">
        <f>IFERROR(VLOOKUP($A728,Text_1_2[[Text.1.1.3]:[Text.1.3]],2,FALSE),"")</f>
        <v>53500</v>
      </c>
      <c r="P728" s="2"/>
    </row>
    <row r="729" spans="1:16" x14ac:dyDescent="0.25">
      <c r="A729" s="1">
        <v>43313</v>
      </c>
      <c r="B729">
        <f>HLOOKUP(Dashboard!$I$27,results,ROW(A729),FALSE)</f>
        <v>0.1386735572782084</v>
      </c>
      <c r="C729">
        <f>IFERROR(VLOOKUP(A729,observations_series_id_PCU22112222112243_api_key_ecc133893ea92a842ee685c73424608[],2,FALSE),"")</f>
        <v>216.2</v>
      </c>
      <c r="D729" s="2">
        <f>IFERROR(VLOOKUP(A729,observations_series_id_PCU22112222112243_api_key_ecc133893ea92a842ee685c73424608[],3,FALSE),"")</f>
        <v>0.91951896392229415</v>
      </c>
      <c r="E729">
        <f>IFERROR(VLOOKUP($A729,observations_series_id_WPU0613020T_api_key_ecc133893ea92a842ee685c734246086_file[],2,FALSE),"")</f>
        <v>105.8</v>
      </c>
      <c r="F729" s="2">
        <f>IFERROR(VLOOKUP($A729,observations_series_id_WPU0613020T_api_key_ecc133893ea92a842ee685c734246086_file[],3,FALSE),"")</f>
        <v>5.4820415879016982E-2</v>
      </c>
      <c r="G729">
        <f>IFERROR(VLOOKUP($A729,observations_series_id_PCU22122212_api_key_ecc133893ea92a842ee685c734246086_file[],2,FALSE),"")</f>
        <v>116.1</v>
      </c>
      <c r="H729" s="2">
        <f>IFERROR(VLOOKUP($A729,observations_series_id_PCU22122212_api_key_ecc133893ea92a842ee685c734246086_file[],3,FALSE),"")</f>
        <v>0.1386735572782084</v>
      </c>
      <c r="I729">
        <f>IFERROR(VLOOKUP($A729,observations_series_id_PCU3241913241910_api_key_ecc133893ea92a842ee685c734246086[],2,FALSE),"")</f>
        <v>478.7</v>
      </c>
      <c r="J729" s="2">
        <f>IFERROR(VLOOKUP($A729,observations_series_id_PCU3241913241910_api_key_ecc133893ea92a842ee685c734246086[],3,FALSE),"")</f>
        <v>0.89262586170879465</v>
      </c>
      <c r="K729">
        <f>IFERROR(VLOOKUP($A729,observations_series_id_EXJPUS_api_key_ecc133893ea92a842ee685c734246086_file_type[],2,FALSE),"")</f>
        <v>110.9965</v>
      </c>
      <c r="L729" s="2">
        <f>IFERROR(VLOOKUP($A729,observations_series_id_EXJPUS_api_key_ecc133893ea92a842ee685c734246086_file_type[],3,FALSE),"")</f>
        <v>-2.2255071105845681</v>
      </c>
      <c r="M729" t="str">
        <f>IFERROR(AVERAGEIFS(timeseries_access_key_fqeas14oitk235763mntlb1c0brnk9w3fenzqbk313q5kvxyf52kukw1pa[Value.LME-ZNC],timeseries_access_key_fqeas14oitk235763mntlb1c0brnk9w3fenzqbk313q5kvxyf52kukw1pa[Month],MONTH(Data!$A729),timeseries_access_key_fqeas14oitk235763mntlb1c0brnk9w3fenzqbk313q5kvxyf52kukw1pa[Year],YEAR(Data!$A729)),"")</f>
        <v/>
      </c>
      <c r="N729" s="2" t="str">
        <f>IFERROR(AVERAGEIFS(timeseries_access_key_fqeas14oitk235763mntlb1c0brnk9w3fenzqbk313q5kvxyf52kukw1pa[Column1],timeseries_access_key_fqeas14oitk235763mntlb1c0brnk9w3fenzqbk313q5kvxyf52kukw1pa[Month],MONTH(Data!$A729),timeseries_access_key_fqeas14oitk235763mntlb1c0brnk9w3fenzqbk313q5kvxyf52kukw1pa[Year],YEAR(Data!$A729)),"")</f>
        <v/>
      </c>
      <c r="O729" s="8" t="str">
        <f>IFERROR(VLOOKUP($A729,Text_1_2[[Text.1.1.3]:[Text.1.3]],2,FALSE),"")</f>
        <v/>
      </c>
      <c r="P729" s="2"/>
    </row>
    <row r="730" spans="1:16" x14ac:dyDescent="0.25">
      <c r="A730" s="1">
        <v>43344</v>
      </c>
      <c r="B730">
        <f>HLOOKUP(Dashboard!$I$27,results,ROW(A730),FALSE)</f>
        <v>0.13494809688581311</v>
      </c>
      <c r="C730">
        <f>IFERROR(VLOOKUP(A730,observations_series_id_PCU22112222112243_api_key_ecc133893ea92a842ee685c73424608[],2,FALSE),"")</f>
        <v>213.5</v>
      </c>
      <c r="D730" s="2">
        <f>IFERROR(VLOOKUP(A730,observations_series_id_PCU22112222112243_api_key_ecc133893ea92a842ee685c73424608[],3,FALSE),"")</f>
        <v>0.91850117096018735</v>
      </c>
      <c r="E730">
        <f>IFERROR(VLOOKUP($A730,observations_series_id_WPU0613020T_api_key_ecc133893ea92a842ee685c734246086_file[],2,FALSE),"")</f>
        <v>106.6</v>
      </c>
      <c r="F730" s="2">
        <f>IFERROR(VLOOKUP($A730,observations_series_id_WPU0613020T_api_key_ecc133893ea92a842ee685c734246086_file[],3,FALSE),"")</f>
        <v>6.1913696060037493E-2</v>
      </c>
      <c r="G730">
        <f>IFERROR(VLOOKUP($A730,observations_series_id_PCU22122212_api_key_ecc133893ea92a842ee685c734246086_file[],2,FALSE),"")</f>
        <v>115.6</v>
      </c>
      <c r="H730" s="2">
        <f>IFERROR(VLOOKUP($A730,observations_series_id_PCU22122212_api_key_ecc133893ea92a842ee685c734246086_file[],3,FALSE),"")</f>
        <v>0.13494809688581311</v>
      </c>
      <c r="I730">
        <f>IFERROR(VLOOKUP($A730,observations_series_id_PCU3241913241910_api_key_ecc133893ea92a842ee685c734246086[],2,FALSE),"")</f>
        <v>478.5</v>
      </c>
      <c r="J730" s="2">
        <f>IFERROR(VLOOKUP($A730,observations_series_id_PCU3241913241910_api_key_ecc133893ea92a842ee685c734246086[],3,FALSE),"")</f>
        <v>0.89258098223615467</v>
      </c>
      <c r="K730">
        <f>IFERROR(VLOOKUP($A730,observations_series_id_EXJPUS_api_key_ecc133893ea92a842ee685c734246086_file_type[],2,FALSE),"")</f>
        <v>112.09739999999999</v>
      </c>
      <c r="L730" s="2">
        <f>IFERROR(VLOOKUP($A730,observations_series_id_EXJPUS_api_key_ecc133893ea92a842ee685c734246086_file_type[],3,FALSE),"")</f>
        <v>-2.1938296517135991</v>
      </c>
      <c r="M730" t="str">
        <f>IFERROR(AVERAGEIFS(timeseries_access_key_fqeas14oitk235763mntlb1c0brnk9w3fenzqbk313q5kvxyf52kukw1pa[Value.LME-ZNC],timeseries_access_key_fqeas14oitk235763mntlb1c0brnk9w3fenzqbk313q5kvxyf52kukw1pa[Month],MONTH(Data!$A730),timeseries_access_key_fqeas14oitk235763mntlb1c0brnk9w3fenzqbk313q5kvxyf52kukw1pa[Year],YEAR(Data!$A730)),"")</f>
        <v/>
      </c>
      <c r="N730" s="2" t="str">
        <f>IFERROR(AVERAGEIFS(timeseries_access_key_fqeas14oitk235763mntlb1c0brnk9w3fenzqbk313q5kvxyf52kukw1pa[Column1],timeseries_access_key_fqeas14oitk235763mntlb1c0brnk9w3fenzqbk313q5kvxyf52kukw1pa[Month],MONTH(Data!$A730),timeseries_access_key_fqeas14oitk235763mntlb1c0brnk9w3fenzqbk313q5kvxyf52kukw1pa[Year],YEAR(Data!$A730)),"")</f>
        <v/>
      </c>
      <c r="O730" s="8" t="str">
        <f>IFERROR(VLOOKUP($A730,Text_1_2[[Text.1.1.3]:[Text.1.3]],2,FALSE),"")</f>
        <v/>
      </c>
      <c r="P730" s="2"/>
    </row>
    <row r="731" spans="1:16" x14ac:dyDescent="0.25">
      <c r="A731" s="1">
        <v>43374</v>
      </c>
      <c r="B731">
        <f>HLOOKUP(Dashboard!$I$27,results,ROW(A731),FALSE)</f>
        <v>0.1386735572782084</v>
      </c>
      <c r="C731">
        <f>IFERROR(VLOOKUP(A731,observations_series_id_PCU22112222112243_api_key_ecc133893ea92a842ee685c73424608[],2,FALSE),"")</f>
        <v>206.1</v>
      </c>
      <c r="D731" s="2">
        <f>IFERROR(VLOOKUP(A731,observations_series_id_PCU22112222112243_api_key_ecc133893ea92a842ee685c73424608[],3,FALSE),"")</f>
        <v>0.9155749636098981</v>
      </c>
      <c r="E731">
        <f>IFERROR(VLOOKUP($A731,observations_series_id_WPU0613020T_api_key_ecc133893ea92a842ee685c734246086_file[],2,FALSE),"")</f>
        <v>107.9</v>
      </c>
      <c r="F731" s="2">
        <f>IFERROR(VLOOKUP($A731,observations_series_id_WPU0613020T_api_key_ecc133893ea92a842ee685c734246086_file[],3,FALSE),"")</f>
        <v>7.3215940685820269E-2</v>
      </c>
      <c r="G731">
        <f>IFERROR(VLOOKUP($A731,observations_series_id_PCU22122212_api_key_ecc133893ea92a842ee685c734246086_file[],2,FALSE),"")</f>
        <v>116.1</v>
      </c>
      <c r="H731" s="2">
        <f>IFERROR(VLOOKUP($A731,observations_series_id_PCU22122212_api_key_ecc133893ea92a842ee685c734246086_file[],3,FALSE),"")</f>
        <v>0.1386735572782084</v>
      </c>
      <c r="I731">
        <f>IFERROR(VLOOKUP($A731,observations_series_id_PCU3241913241910_api_key_ecc133893ea92a842ee685c734246086[],2,FALSE),"")</f>
        <v>479.6</v>
      </c>
      <c r="J731" s="2">
        <f>IFERROR(VLOOKUP($A731,observations_series_id_PCU3241913241910_api_key_ecc133893ea92a842ee685c734246086[],3,FALSE),"")</f>
        <v>0.89282735613010844</v>
      </c>
      <c r="K731">
        <f>IFERROR(VLOOKUP($A731,observations_series_id_EXJPUS_api_key_ecc133893ea92a842ee685c734246086_file_type[],2,FALSE),"")</f>
        <v>112.7218</v>
      </c>
      <c r="L731" s="2">
        <f>IFERROR(VLOOKUP($A731,observations_series_id_EXJPUS_api_key_ecc133893ea92a842ee685c734246086_file_type[],3,FALSE),"")</f>
        <v>-2.1761380673481083</v>
      </c>
      <c r="M731" t="str">
        <f>IFERROR(AVERAGEIFS(timeseries_access_key_fqeas14oitk235763mntlb1c0brnk9w3fenzqbk313q5kvxyf52kukw1pa[Value.LME-ZNC],timeseries_access_key_fqeas14oitk235763mntlb1c0brnk9w3fenzqbk313q5kvxyf52kukw1pa[Month],MONTH(Data!$A731),timeseries_access_key_fqeas14oitk235763mntlb1c0brnk9w3fenzqbk313q5kvxyf52kukw1pa[Year],YEAR(Data!$A731)),"")</f>
        <v/>
      </c>
      <c r="N731" s="2" t="str">
        <f>IFERROR(AVERAGEIFS(timeseries_access_key_fqeas14oitk235763mntlb1c0brnk9w3fenzqbk313q5kvxyf52kukw1pa[Column1],timeseries_access_key_fqeas14oitk235763mntlb1c0brnk9w3fenzqbk313q5kvxyf52kukw1pa[Month],MONTH(Data!$A731),timeseries_access_key_fqeas14oitk235763mntlb1c0brnk9w3fenzqbk313q5kvxyf52kukw1pa[Year],YEAR(Data!$A731)),"")</f>
        <v/>
      </c>
      <c r="O731" s="8">
        <f>IFERROR(VLOOKUP($A731,Text_1_2[[Text.1.1.3]:[Text.1.3]],2,FALSE),"")</f>
        <v>54200</v>
      </c>
      <c r="P731" s="2"/>
    </row>
    <row r="732" spans="1:16" x14ac:dyDescent="0.25">
      <c r="A732" s="1">
        <v>43405</v>
      </c>
      <c r="B732">
        <f>HLOOKUP(Dashboard!$I$27,results,ROW(A732),FALSE)</f>
        <v>0.16247906197654949</v>
      </c>
      <c r="C732">
        <f>IFERROR(VLOOKUP(A732,observations_series_id_PCU22112222112243_api_key_ecc133893ea92a842ee685c73424608[],2,FALSE),"")</f>
        <v>200.7</v>
      </c>
      <c r="D732" s="2">
        <f>IFERROR(VLOOKUP(A732,observations_series_id_PCU22112222112243_api_key_ecc133893ea92a842ee685c73424608[],3,FALSE),"")</f>
        <v>0.91330343796711511</v>
      </c>
      <c r="E732">
        <f>IFERROR(VLOOKUP($A732,observations_series_id_WPU0613020T_api_key_ecc133893ea92a842ee685c734246086_file[],2,FALSE),"")</f>
        <v>108.7</v>
      </c>
      <c r="F732" s="2">
        <f>IFERROR(VLOOKUP($A732,observations_series_id_WPU0613020T_api_key_ecc133893ea92a842ee685c734246086_file[],3,FALSE),"")</f>
        <v>8.0036798528058894E-2</v>
      </c>
      <c r="G732">
        <f>IFERROR(VLOOKUP($A732,observations_series_id_PCU22122212_api_key_ecc133893ea92a842ee685c734246086_file[],2,FALSE),"")</f>
        <v>119.4</v>
      </c>
      <c r="H732" s="2">
        <f>IFERROR(VLOOKUP($A732,observations_series_id_PCU22122212_api_key_ecc133893ea92a842ee685c734246086_file[],3,FALSE),"")</f>
        <v>0.16247906197654949</v>
      </c>
      <c r="I732">
        <f>IFERROR(VLOOKUP($A732,observations_series_id_PCU3241913241910_api_key_ecc133893ea92a842ee685c734246086[],2,FALSE),"")</f>
        <v>478.7</v>
      </c>
      <c r="J732" s="2">
        <f>IFERROR(VLOOKUP($A732,observations_series_id_PCU3241913241910_api_key_ecc133893ea92a842ee685c734246086[],3,FALSE),"")</f>
        <v>0.89262586170879465</v>
      </c>
      <c r="K732">
        <f>IFERROR(VLOOKUP($A732,observations_series_id_EXJPUS_api_key_ecc133893ea92a842ee685c734246086_file_type[],2,FALSE),"")</f>
        <v>113.33799999999999</v>
      </c>
      <c r="L732" s="2">
        <f>IFERROR(VLOOKUP($A732,observations_series_id_EXJPUS_api_key_ecc133893ea92a842ee685c734246086_file_type[],3,FALSE),"")</f>
        <v>-2.1588699288852813</v>
      </c>
      <c r="M732" t="str">
        <f>IFERROR(AVERAGEIFS(timeseries_access_key_fqeas14oitk235763mntlb1c0brnk9w3fenzqbk313q5kvxyf52kukw1pa[Value.LME-ZNC],timeseries_access_key_fqeas14oitk235763mntlb1c0brnk9w3fenzqbk313q5kvxyf52kukw1pa[Month],MONTH(Data!$A732),timeseries_access_key_fqeas14oitk235763mntlb1c0brnk9w3fenzqbk313q5kvxyf52kukw1pa[Year],YEAR(Data!$A732)),"")</f>
        <v/>
      </c>
      <c r="N732" s="2" t="str">
        <f>IFERROR(AVERAGEIFS(timeseries_access_key_fqeas14oitk235763mntlb1c0brnk9w3fenzqbk313q5kvxyf52kukw1pa[Column1],timeseries_access_key_fqeas14oitk235763mntlb1c0brnk9w3fenzqbk313q5kvxyf52kukw1pa[Month],MONTH(Data!$A732),timeseries_access_key_fqeas14oitk235763mntlb1c0brnk9w3fenzqbk313q5kvxyf52kukw1pa[Year],YEAR(Data!$A732)),"")</f>
        <v/>
      </c>
      <c r="O732" s="8" t="str">
        <f>IFERROR(VLOOKUP($A732,Text_1_2[[Text.1.1.3]:[Text.1.3]],2,FALSE),"")</f>
        <v/>
      </c>
      <c r="P732" s="2"/>
    </row>
    <row r="733" spans="1:16" x14ac:dyDescent="0.25">
      <c r="A733" s="1">
        <v>43435</v>
      </c>
      <c r="B733">
        <f>HLOOKUP(Dashboard!$I$27,results,ROW(A733),FALSE)</f>
        <v>0.23430321592649306</v>
      </c>
      <c r="C733">
        <f>IFERROR(VLOOKUP(A733,observations_series_id_PCU22112222112243_api_key_ecc133893ea92a842ee685c73424608[],2,FALSE),"")</f>
        <v>201.4</v>
      </c>
      <c r="D733" s="2">
        <f>IFERROR(VLOOKUP(A733,observations_series_id_PCU22112222112243_api_key_ecc133893ea92a842ee685c73424608[],3,FALSE),"")</f>
        <v>0.91360476663356505</v>
      </c>
      <c r="E733">
        <f>IFERROR(VLOOKUP($A733,observations_series_id_WPU0613020T_api_key_ecc133893ea92a842ee685c734246086_file[],2,FALSE),"")</f>
        <v>110.6</v>
      </c>
      <c r="F733" s="2">
        <f>IFERROR(VLOOKUP($A733,observations_series_id_WPU0613020T_api_key_ecc133893ea92a842ee685c734246086_file[],3,FALSE),"")</f>
        <v>9.5840867992766698E-2</v>
      </c>
      <c r="G733">
        <f>IFERROR(VLOOKUP($A733,observations_series_id_PCU22122212_api_key_ecc133893ea92a842ee685c734246086_file[],2,FALSE),"")</f>
        <v>130.6</v>
      </c>
      <c r="H733" s="2">
        <f>IFERROR(VLOOKUP($A733,observations_series_id_PCU22122212_api_key_ecc133893ea92a842ee685c734246086_file[],3,FALSE),"")</f>
        <v>0.23430321592649306</v>
      </c>
      <c r="I733">
        <f>IFERROR(VLOOKUP($A733,observations_series_id_PCU3241913241910_api_key_ecc133893ea92a842ee685c734246086[],2,FALSE),"")</f>
        <v>480.2</v>
      </c>
      <c r="J733" s="2">
        <f>IFERROR(VLOOKUP($A733,observations_series_id_PCU3241913241910_api_key_ecc133893ea92a842ee685c734246086[],3,FALSE),"")</f>
        <v>0.89296126613910864</v>
      </c>
      <c r="K733">
        <f>IFERROR(VLOOKUP($A733,observations_series_id_EXJPUS_api_key_ecc133893ea92a842ee685c734246086_file_type[],2,FALSE),"")</f>
        <v>112.1994</v>
      </c>
      <c r="L733" s="2">
        <f>IFERROR(VLOOKUP($A733,observations_series_id_EXJPUS_api_key_ecc133893ea92a842ee685c734246086_file_type[],3,FALSE),"")</f>
        <v>-2.1909261546853189</v>
      </c>
      <c r="M733" t="str">
        <f>IFERROR(AVERAGEIFS(timeseries_access_key_fqeas14oitk235763mntlb1c0brnk9w3fenzqbk313q5kvxyf52kukw1pa[Value.LME-ZNC],timeseries_access_key_fqeas14oitk235763mntlb1c0brnk9w3fenzqbk313q5kvxyf52kukw1pa[Month],MONTH(Data!$A733),timeseries_access_key_fqeas14oitk235763mntlb1c0brnk9w3fenzqbk313q5kvxyf52kukw1pa[Year],YEAR(Data!$A733)),"")</f>
        <v/>
      </c>
      <c r="N733" s="2" t="str">
        <f>IFERROR(AVERAGEIFS(timeseries_access_key_fqeas14oitk235763mntlb1c0brnk9w3fenzqbk313q5kvxyf52kukw1pa[Column1],timeseries_access_key_fqeas14oitk235763mntlb1c0brnk9w3fenzqbk313q5kvxyf52kukw1pa[Month],MONTH(Data!$A733),timeseries_access_key_fqeas14oitk235763mntlb1c0brnk9w3fenzqbk313q5kvxyf52kukw1pa[Year],YEAR(Data!$A733)),"")</f>
        <v/>
      </c>
      <c r="O733" s="8" t="str">
        <f>IFERROR(VLOOKUP($A733,Text_1_2[[Text.1.1.3]:[Text.1.3]],2,FALSE),"")</f>
        <v/>
      </c>
      <c r="P733" s="2"/>
    </row>
    <row r="734" spans="1:16" x14ac:dyDescent="0.25">
      <c r="A734" s="1">
        <v>43466</v>
      </c>
      <c r="B734">
        <f>HLOOKUP(Dashboard!$I$27,results,ROW(A734),FALSE)</f>
        <v>0.20760697305863707</v>
      </c>
      <c r="C734">
        <f>IFERROR(VLOOKUP(A734,observations_series_id_PCU22112222112243_api_key_ecc133893ea92a842ee685c73424608[],2,FALSE),"")</f>
        <v>204.7</v>
      </c>
      <c r="D734" s="2">
        <f>IFERROR(VLOOKUP(A734,observations_series_id_PCU22112222112243_api_key_ecc133893ea92a842ee685c73424608[],3,FALSE),"")</f>
        <v>0.91499755740107469</v>
      </c>
      <c r="E734">
        <f>IFERROR(VLOOKUP($A734,observations_series_id_WPU0613020T_api_key_ecc133893ea92a842ee685c734246086_file[],2,FALSE),"")</f>
        <v>111.2</v>
      </c>
      <c r="F734" s="2">
        <f>IFERROR(VLOOKUP($A734,observations_series_id_WPU0613020T_api_key_ecc133893ea92a842ee685c734246086_file[],3,FALSE),"")</f>
        <v>0.10071942446043169</v>
      </c>
      <c r="G734">
        <f>IFERROR(VLOOKUP($A734,observations_series_id_PCU22122212_api_key_ecc133893ea92a842ee685c734246086_file[],2,FALSE),"")</f>
        <v>126.2</v>
      </c>
      <c r="H734" s="2">
        <f>IFERROR(VLOOKUP($A734,observations_series_id_PCU22122212_api_key_ecc133893ea92a842ee685c734246086_file[],3,FALSE),"")</f>
        <v>0.20760697305863707</v>
      </c>
      <c r="I734">
        <f>IFERROR(VLOOKUP($A734,observations_series_id_PCU3241913241910_api_key_ecc133893ea92a842ee685c734246086[],2,FALSE),"")</f>
        <v>481.2</v>
      </c>
      <c r="J734" s="2">
        <f>IFERROR(VLOOKUP($A734,observations_series_id_PCU3241913241910_api_key_ecc133893ea92a842ee685c734246086[],3,FALSE),"")</f>
        <v>0.89318370739817121</v>
      </c>
      <c r="K734">
        <f>IFERROR(VLOOKUP($A734,observations_series_id_EXJPUS_api_key_ecc133893ea92a842ee685c734246086_file_type[],2,FALSE),"")</f>
        <v>108.9605</v>
      </c>
      <c r="L734" s="2">
        <f>IFERROR(VLOOKUP($A734,observations_series_id_EXJPUS_api_key_ecc133893ea92a842ee685c734246086_file_type[],3,FALSE),"")</f>
        <v>-2.2857778736331054</v>
      </c>
      <c r="M734" t="str">
        <f>IFERROR(AVERAGEIFS(timeseries_access_key_fqeas14oitk235763mntlb1c0brnk9w3fenzqbk313q5kvxyf52kukw1pa[Value.LME-ZNC],timeseries_access_key_fqeas14oitk235763mntlb1c0brnk9w3fenzqbk313q5kvxyf52kukw1pa[Month],MONTH(Data!$A734),timeseries_access_key_fqeas14oitk235763mntlb1c0brnk9w3fenzqbk313q5kvxyf52kukw1pa[Year],YEAR(Data!$A734)),"")</f>
        <v/>
      </c>
      <c r="N734" s="2" t="str">
        <f>IFERROR(AVERAGEIFS(timeseries_access_key_fqeas14oitk235763mntlb1c0brnk9w3fenzqbk313q5kvxyf52kukw1pa[Column1],timeseries_access_key_fqeas14oitk235763mntlb1c0brnk9w3fenzqbk313q5kvxyf52kukw1pa[Month],MONTH(Data!$A734),timeseries_access_key_fqeas14oitk235763mntlb1c0brnk9w3fenzqbk313q5kvxyf52kukw1pa[Year],YEAR(Data!$A734)),"")</f>
        <v/>
      </c>
      <c r="O734" s="8">
        <f>IFERROR(VLOOKUP($A734,Text_1_2[[Text.1.1.3]:[Text.1.3]],2,FALSE),"")</f>
        <v>41200</v>
      </c>
      <c r="P734" s="2"/>
    </row>
    <row r="735" spans="1:16" x14ac:dyDescent="0.25">
      <c r="A735" s="1">
        <v>43497</v>
      </c>
      <c r="B735">
        <f>HLOOKUP(Dashboard!$I$27,results,ROW(A735),FALSE)</f>
        <v>0.17695473251028804</v>
      </c>
      <c r="C735">
        <f>IFERROR(VLOOKUP(A735,observations_series_id_PCU22112222112243_api_key_ecc133893ea92a842ee685c73424608[],2,FALSE),"")</f>
        <v>203.9</v>
      </c>
      <c r="D735" s="2">
        <f>IFERROR(VLOOKUP(A735,observations_series_id_PCU22112222112243_api_key_ecc133893ea92a842ee685c73424608[],3,FALSE),"")</f>
        <v>0.91466405100539483</v>
      </c>
      <c r="E735">
        <f>IFERROR(VLOOKUP($A735,observations_series_id_WPU0613020T_api_key_ecc133893ea92a842ee685c734246086_file[],2,FALSE),"")</f>
        <v>112.3</v>
      </c>
      <c r="F735" s="2">
        <f>IFERROR(VLOOKUP($A735,observations_series_id_WPU0613020T_api_key_ecc133893ea92a842ee685c734246086_file[],3,FALSE),"")</f>
        <v>0.10952804986642917</v>
      </c>
      <c r="G735">
        <f>IFERROR(VLOOKUP($A735,observations_series_id_PCU22122212_api_key_ecc133893ea92a842ee685c734246086_file[],2,FALSE),"")</f>
        <v>121.5</v>
      </c>
      <c r="H735" s="2">
        <f>IFERROR(VLOOKUP($A735,observations_series_id_PCU22122212_api_key_ecc133893ea92a842ee685c734246086_file[],3,FALSE),"")</f>
        <v>0.17695473251028804</v>
      </c>
      <c r="I735">
        <f>IFERROR(VLOOKUP($A735,observations_series_id_PCU3241913241910_api_key_ecc133893ea92a842ee685c734246086[],2,FALSE),"")</f>
        <v>480.7</v>
      </c>
      <c r="J735" s="2">
        <f>IFERROR(VLOOKUP($A735,observations_series_id_PCU3241913241910_api_key_ecc133893ea92a842ee685c734246086[],3,FALSE),"")</f>
        <v>0.89307260245475351</v>
      </c>
      <c r="K735">
        <f>IFERROR(VLOOKUP($A735,observations_series_id_EXJPUS_api_key_ecc133893ea92a842ee685c734246086_file_type[],2,FALSE),"")</f>
        <v>110.44</v>
      </c>
      <c r="L735" s="2">
        <f>IFERROR(VLOOKUP($A735,observations_series_id_EXJPUS_api_key_ecc133893ea92a842ee685c734246086_file_type[],3,FALSE),"")</f>
        <v>-2.2417602318000722</v>
      </c>
      <c r="M735" t="str">
        <f>IFERROR(AVERAGEIFS(timeseries_access_key_fqeas14oitk235763mntlb1c0brnk9w3fenzqbk313q5kvxyf52kukw1pa[Value.LME-ZNC],timeseries_access_key_fqeas14oitk235763mntlb1c0brnk9w3fenzqbk313q5kvxyf52kukw1pa[Month],MONTH(Data!$A735),timeseries_access_key_fqeas14oitk235763mntlb1c0brnk9w3fenzqbk313q5kvxyf52kukw1pa[Year],YEAR(Data!$A735)),"")</f>
        <v/>
      </c>
      <c r="N735" s="2" t="str">
        <f>IFERROR(AVERAGEIFS(timeseries_access_key_fqeas14oitk235763mntlb1c0brnk9w3fenzqbk313q5kvxyf52kukw1pa[Column1],timeseries_access_key_fqeas14oitk235763mntlb1c0brnk9w3fenzqbk313q5kvxyf52kukw1pa[Month],MONTH(Data!$A735),timeseries_access_key_fqeas14oitk235763mntlb1c0brnk9w3fenzqbk313q5kvxyf52kukw1pa[Year],YEAR(Data!$A735)),"")</f>
        <v/>
      </c>
      <c r="O735" s="8" t="str">
        <f>IFERROR(VLOOKUP($A735,Text_1_2[[Text.1.1.3]:[Text.1.3]],2,FALSE),"")</f>
        <v/>
      </c>
      <c r="P735" s="2"/>
    </row>
    <row r="736" spans="1:16" x14ac:dyDescent="0.25">
      <c r="A736" s="1">
        <v>43525</v>
      </c>
      <c r="B736">
        <f>HLOOKUP(Dashboard!$I$27,results,ROW(A736),FALSE)</f>
        <v>0.16177703269069565</v>
      </c>
      <c r="C736">
        <f>IFERROR(VLOOKUP(A736,observations_series_id_PCU22112222112243_api_key_ecc133893ea92a842ee685c73424608[],2,FALSE),"")</f>
        <v>201.9</v>
      </c>
      <c r="D736" s="2">
        <f>IFERROR(VLOOKUP(A736,observations_series_id_PCU22112222112243_api_key_ecc133893ea92a842ee685c73424608[],3,FALSE),"")</f>
        <v>0.91381872213967308</v>
      </c>
      <c r="E736">
        <f>IFERROR(VLOOKUP($A736,observations_series_id_WPU0613020T_api_key_ecc133893ea92a842ee685c734246086_file[],2,FALSE),"")</f>
        <v>110.4</v>
      </c>
      <c r="F736" s="2">
        <f>IFERROR(VLOOKUP($A736,observations_series_id_WPU0613020T_api_key_ecc133893ea92a842ee685c734246086_file[],3,FALSE),"")</f>
        <v>9.4202898550724723E-2</v>
      </c>
      <c r="G736">
        <f>IFERROR(VLOOKUP($A736,observations_series_id_PCU22122212_api_key_ecc133893ea92a842ee685c734246086_file[],2,FALSE),"")</f>
        <v>119.3</v>
      </c>
      <c r="H736" s="2">
        <f>IFERROR(VLOOKUP($A736,observations_series_id_PCU22122212_api_key_ecc133893ea92a842ee685c734246086_file[],3,FALSE),"")</f>
        <v>0.16177703269069565</v>
      </c>
      <c r="I736">
        <f>IFERROR(VLOOKUP($A736,observations_series_id_PCU3241913241910_api_key_ecc133893ea92a842ee685c734246086[],2,FALSE),"")</f>
        <v>477.3</v>
      </c>
      <c r="J736" s="2">
        <f>IFERROR(VLOOKUP($A736,observations_series_id_PCU3241913241910_api_key_ecc133893ea92a842ee685c734246086[],3,FALSE),"")</f>
        <v>0.89231091556672948</v>
      </c>
      <c r="K736">
        <f>IFERROR(VLOOKUP($A736,observations_series_id_EXJPUS_api_key_ecc133893ea92a842ee685c734246086_file_type[],2,FALSE),"")</f>
        <v>111.1443</v>
      </c>
      <c r="L736" s="2">
        <f>IFERROR(VLOOKUP($A736,observations_series_id_EXJPUS_api_key_ecc133893ea92a842ee685c734246086_file_type[],3,FALSE),"")</f>
        <v>-2.2212178222364978</v>
      </c>
      <c r="M736" t="str">
        <f>IFERROR(AVERAGEIFS(timeseries_access_key_fqeas14oitk235763mntlb1c0brnk9w3fenzqbk313q5kvxyf52kukw1pa[Value.LME-ZNC],timeseries_access_key_fqeas14oitk235763mntlb1c0brnk9w3fenzqbk313q5kvxyf52kukw1pa[Month],MONTH(Data!$A736),timeseries_access_key_fqeas14oitk235763mntlb1c0brnk9w3fenzqbk313q5kvxyf52kukw1pa[Year],YEAR(Data!$A736)),"")</f>
        <v/>
      </c>
      <c r="N736" s="2" t="str">
        <f>IFERROR(AVERAGEIFS(timeseries_access_key_fqeas14oitk235763mntlb1c0brnk9w3fenzqbk313q5kvxyf52kukw1pa[Column1],timeseries_access_key_fqeas14oitk235763mntlb1c0brnk9w3fenzqbk313q5kvxyf52kukw1pa[Month],MONTH(Data!$A736),timeseries_access_key_fqeas14oitk235763mntlb1c0brnk9w3fenzqbk313q5kvxyf52kukw1pa[Year],YEAR(Data!$A736)),"")</f>
        <v/>
      </c>
      <c r="O736" s="8" t="str">
        <f>IFERROR(VLOOKUP($A736,Text_1_2[[Text.1.1.3]:[Text.1.3]],2,FALSE),"")</f>
        <v/>
      </c>
      <c r="P736" s="2"/>
    </row>
    <row r="737" spans="1:16" x14ac:dyDescent="0.25">
      <c r="A737" s="1">
        <v>43556</v>
      </c>
      <c r="B737">
        <f>HLOOKUP(Dashboard!$I$27,results,ROW(A737),FALSE)</f>
        <v>0.15469146238377007</v>
      </c>
      <c r="C737">
        <f>IFERROR(VLOOKUP(A737,observations_series_id_PCU22112222112243_api_key_ecc133893ea92a842ee685c73424608[],2,FALSE),"")</f>
        <v>199.5</v>
      </c>
      <c r="D737" s="2">
        <f>IFERROR(VLOOKUP(A737,observations_series_id_PCU22112222112243_api_key_ecc133893ea92a842ee685c73424608[],3,FALSE),"")</f>
        <v>0.91278195488721803</v>
      </c>
      <c r="E737">
        <f>IFERROR(VLOOKUP($A737,observations_series_id_WPU0613020T_api_key_ecc133893ea92a842ee685c734246086_file[],2,FALSE),"")</f>
        <v>111.4</v>
      </c>
      <c r="F737" s="2">
        <f>IFERROR(VLOOKUP($A737,observations_series_id_WPU0613020T_api_key_ecc133893ea92a842ee685c734246086_file[],3,FALSE),"")</f>
        <v>0.10233393177737882</v>
      </c>
      <c r="G737">
        <f>IFERROR(VLOOKUP($A737,observations_series_id_PCU22122212_api_key_ecc133893ea92a842ee685c734246086_file[],2,FALSE),"")</f>
        <v>118.3</v>
      </c>
      <c r="H737" s="2">
        <f>IFERROR(VLOOKUP($A737,observations_series_id_PCU22122212_api_key_ecc133893ea92a842ee685c734246086_file[],3,FALSE),"")</f>
        <v>0.15469146238377007</v>
      </c>
      <c r="I737">
        <f>IFERROR(VLOOKUP($A737,observations_series_id_PCU3241913241910_api_key_ecc133893ea92a842ee685c734246086[],2,FALSE),"")</f>
        <v>476.3</v>
      </c>
      <c r="J737" s="2">
        <f>IFERROR(VLOOKUP($A737,observations_series_id_PCU3241913241910_api_key_ecc133893ea92a842ee685c734246086[],3,FALSE),"")</f>
        <v>0.89208482049128701</v>
      </c>
      <c r="K737">
        <f>IFERROR(VLOOKUP($A737,observations_series_id_EXJPUS_api_key_ecc133893ea92a842ee685c734246086_file_type[],2,FALSE),"")</f>
        <v>111.6414</v>
      </c>
      <c r="L737" s="2">
        <f>IFERROR(VLOOKUP($A737,observations_series_id_EXJPUS_api_key_ecc133893ea92a842ee685c734246086_file_type[],3,FALSE),"")</f>
        <v>-2.2068748690002091</v>
      </c>
      <c r="M737" t="str">
        <f>IFERROR(AVERAGEIFS(timeseries_access_key_fqeas14oitk235763mntlb1c0brnk9w3fenzqbk313q5kvxyf52kukw1pa[Value.LME-ZNC],timeseries_access_key_fqeas14oitk235763mntlb1c0brnk9w3fenzqbk313q5kvxyf52kukw1pa[Month],MONTH(Data!$A737),timeseries_access_key_fqeas14oitk235763mntlb1c0brnk9w3fenzqbk313q5kvxyf52kukw1pa[Year],YEAR(Data!$A737)),"")</f>
        <v/>
      </c>
      <c r="N737" s="2" t="str">
        <f>IFERROR(AVERAGEIFS(timeseries_access_key_fqeas14oitk235763mntlb1c0brnk9w3fenzqbk313q5kvxyf52kukw1pa[Column1],timeseries_access_key_fqeas14oitk235763mntlb1c0brnk9w3fenzqbk313q5kvxyf52kukw1pa[Month],MONTH(Data!$A737),timeseries_access_key_fqeas14oitk235763mntlb1c0brnk9w3fenzqbk313q5kvxyf52kukw1pa[Year],YEAR(Data!$A737)),"")</f>
        <v/>
      </c>
      <c r="O737" s="8">
        <f>IFERROR(VLOOKUP($A737,Text_1_2[[Text.1.1.3]:[Text.1.3]],2,FALSE),"")</f>
        <v>45400</v>
      </c>
      <c r="P737" s="2"/>
    </row>
    <row r="738" spans="1:16" x14ac:dyDescent="0.25">
      <c r="A738" s="1">
        <v>43586</v>
      </c>
      <c r="B738">
        <f>HLOOKUP(Dashboard!$I$27,results,ROW(A738),FALSE)</f>
        <v>0.13344887348353562</v>
      </c>
      <c r="C738">
        <f>IFERROR(VLOOKUP(A738,observations_series_id_PCU22112222112243_api_key_ecc133893ea92a842ee685c73424608[],2,FALSE),"")</f>
        <v>201.5</v>
      </c>
      <c r="D738" s="2">
        <f>IFERROR(VLOOKUP(A738,observations_series_id_PCU22112222112243_api_key_ecc133893ea92a842ee685c73424608[],3,FALSE),"")</f>
        <v>0.91364764267990073</v>
      </c>
      <c r="E738">
        <f>IFERROR(VLOOKUP($A738,observations_series_id_WPU0613020T_api_key_ecc133893ea92a842ee685c734246086_file[],2,FALSE),"")</f>
        <v>109.5</v>
      </c>
      <c r="F738" s="2">
        <f>IFERROR(VLOOKUP($A738,observations_series_id_WPU0613020T_api_key_ecc133893ea92a842ee685c734246086_file[],3,FALSE),"")</f>
        <v>8.6757990867579959E-2</v>
      </c>
      <c r="G738">
        <f>IFERROR(VLOOKUP($A738,observations_series_id_PCU22122212_api_key_ecc133893ea92a842ee685c734246086_file[],2,FALSE),"")</f>
        <v>115.4</v>
      </c>
      <c r="H738" s="2">
        <f>IFERROR(VLOOKUP($A738,observations_series_id_PCU22122212_api_key_ecc133893ea92a842ee685c734246086_file[],3,FALSE),"")</f>
        <v>0.13344887348353562</v>
      </c>
      <c r="I738">
        <f>IFERROR(VLOOKUP($A738,observations_series_id_PCU3241913241910_api_key_ecc133893ea92a842ee685c734246086[],2,FALSE),"")</f>
        <v>478.1</v>
      </c>
      <c r="J738" s="2">
        <f>IFERROR(VLOOKUP($A738,observations_series_id_PCU3241913241910_api_key_ecc133893ea92a842ee685c734246086[],3,FALSE),"")</f>
        <v>0.89249111064630826</v>
      </c>
      <c r="K738">
        <f>IFERROR(VLOOKUP($A738,observations_series_id_EXJPUS_api_key_ecc133893ea92a842ee685c734246086_file_type[],2,FALSE),"")</f>
        <v>109.9714</v>
      </c>
      <c r="L738" s="2">
        <f>IFERROR(VLOOKUP($A738,observations_series_id_EXJPUS_api_key_ecc133893ea92a842ee685c734246086_file_type[],3,FALSE),"")</f>
        <v>-2.2555737218949652</v>
      </c>
      <c r="M738" t="str">
        <f>IFERROR(AVERAGEIFS(timeseries_access_key_fqeas14oitk235763mntlb1c0brnk9w3fenzqbk313q5kvxyf52kukw1pa[Value.LME-ZNC],timeseries_access_key_fqeas14oitk235763mntlb1c0brnk9w3fenzqbk313q5kvxyf52kukw1pa[Month],MONTH(Data!$A738),timeseries_access_key_fqeas14oitk235763mntlb1c0brnk9w3fenzqbk313q5kvxyf52kukw1pa[Year],YEAR(Data!$A738)),"")</f>
        <v/>
      </c>
      <c r="N738" s="2" t="str">
        <f>IFERROR(AVERAGEIFS(timeseries_access_key_fqeas14oitk235763mntlb1c0brnk9w3fenzqbk313q5kvxyf52kukw1pa[Column1],timeseries_access_key_fqeas14oitk235763mntlb1c0brnk9w3fenzqbk313q5kvxyf52kukw1pa[Month],MONTH(Data!$A738),timeseries_access_key_fqeas14oitk235763mntlb1c0brnk9w3fenzqbk313q5kvxyf52kukw1pa[Year],YEAR(Data!$A738)),"")</f>
        <v/>
      </c>
      <c r="O738" s="8" t="str">
        <f>IFERROR(VLOOKUP($A738,Text_1_2[[Text.1.1.3]:[Text.1.3]],2,FALSE),"")</f>
        <v/>
      </c>
      <c r="P738" s="2"/>
    </row>
    <row r="739" spans="1:16" x14ac:dyDescent="0.25">
      <c r="A739" s="1">
        <v>43617</v>
      </c>
      <c r="B739">
        <f>HLOOKUP(Dashboard!$I$27,results,ROW(A739),FALSE)</f>
        <v>0.13344887348353562</v>
      </c>
      <c r="C739">
        <f>IFERROR(VLOOKUP(A739,observations_series_id_PCU22112222112243_api_key_ecc133893ea92a842ee685c73424608[],2,FALSE),"")</f>
        <v>209.5</v>
      </c>
      <c r="D739" s="2">
        <f>IFERROR(VLOOKUP(A739,observations_series_id_PCU22112222112243_api_key_ecc133893ea92a842ee685c73424608[],3,FALSE),"")</f>
        <v>0.91694510739856805</v>
      </c>
      <c r="E739">
        <f>IFERROR(VLOOKUP($A739,observations_series_id_WPU0613020T_api_key_ecc133893ea92a842ee685c734246086_file[],2,FALSE),"")</f>
        <v>108.4</v>
      </c>
      <c r="F739" s="2">
        <f>IFERROR(VLOOKUP($A739,observations_series_id_WPU0613020T_api_key_ecc133893ea92a842ee685c734246086_file[],3,FALSE),"")</f>
        <v>7.7490774907749138E-2</v>
      </c>
      <c r="G739">
        <f>IFERROR(VLOOKUP($A739,observations_series_id_PCU22122212_api_key_ecc133893ea92a842ee685c734246086_file[],2,FALSE),"")</f>
        <v>115.4</v>
      </c>
      <c r="H739" s="2">
        <f>IFERROR(VLOOKUP($A739,observations_series_id_PCU22122212_api_key_ecc133893ea92a842ee685c734246086_file[],3,FALSE),"")</f>
        <v>0.13344887348353562</v>
      </c>
      <c r="I739">
        <f>IFERROR(VLOOKUP($A739,observations_series_id_PCU3241913241910_api_key_ecc133893ea92a842ee685c734246086[],2,FALSE),"")</f>
        <v>487.1</v>
      </c>
      <c r="J739" s="2">
        <f>IFERROR(VLOOKUP($A739,observations_series_id_PCU3241913241910_api_key_ecc133893ea92a842ee685c734246086[],3,FALSE),"")</f>
        <v>0.89447752001642378</v>
      </c>
      <c r="K739">
        <f>IFERROR(VLOOKUP($A739,observations_series_id_EXJPUS_api_key_ecc133893ea92a842ee685c734246086_file_type[],2,FALSE),"")</f>
        <v>108.0685</v>
      </c>
      <c r="L739" s="2">
        <f>IFERROR(VLOOKUP($A739,observations_series_id_EXJPUS_api_key_ecc133893ea92a842ee685c734246086_file_type[],3,FALSE),"")</f>
        <v>-2.312898763284398</v>
      </c>
      <c r="M739" t="str">
        <f>IFERROR(AVERAGEIFS(timeseries_access_key_fqeas14oitk235763mntlb1c0brnk9w3fenzqbk313q5kvxyf52kukw1pa[Value.LME-ZNC],timeseries_access_key_fqeas14oitk235763mntlb1c0brnk9w3fenzqbk313q5kvxyf52kukw1pa[Month],MONTH(Data!$A739),timeseries_access_key_fqeas14oitk235763mntlb1c0brnk9w3fenzqbk313q5kvxyf52kukw1pa[Year],YEAR(Data!$A739)),"")</f>
        <v/>
      </c>
      <c r="N739" s="2" t="str">
        <f>IFERROR(AVERAGEIFS(timeseries_access_key_fqeas14oitk235763mntlb1c0brnk9w3fenzqbk313q5kvxyf52kukw1pa[Column1],timeseries_access_key_fqeas14oitk235763mntlb1c0brnk9w3fenzqbk313q5kvxyf52kukw1pa[Month],MONTH(Data!$A739),timeseries_access_key_fqeas14oitk235763mntlb1c0brnk9w3fenzqbk313q5kvxyf52kukw1pa[Year],YEAR(Data!$A739)),"")</f>
        <v/>
      </c>
      <c r="O739" s="8" t="str">
        <f>IFERROR(VLOOKUP($A739,Text_1_2[[Text.1.1.3]:[Text.1.3]],2,FALSE),"")</f>
        <v/>
      </c>
      <c r="P739" s="2"/>
    </row>
    <row r="740" spans="1:16" x14ac:dyDescent="0.25">
      <c r="A740" s="1">
        <v>43647</v>
      </c>
      <c r="B740">
        <f>HLOOKUP(Dashboard!$I$27,results,ROW(A740),FALSE)</f>
        <v>0.11971830985915488</v>
      </c>
      <c r="C740">
        <f>IFERROR(VLOOKUP(A740,observations_series_id_PCU22112222112243_api_key_ecc133893ea92a842ee685c73424608[],2,FALSE),"")</f>
        <v>211.7</v>
      </c>
      <c r="D740" s="2">
        <f>IFERROR(VLOOKUP(A740,observations_series_id_PCU22112222112243_api_key_ecc133893ea92a842ee685c73424608[],3,FALSE),"")</f>
        <v>0.9178082191780822</v>
      </c>
      <c r="E740">
        <f>IFERROR(VLOOKUP($A740,observations_series_id_WPU0613020T_api_key_ecc133893ea92a842ee685c734246086_file[],2,FALSE),"")</f>
        <v>106.8</v>
      </c>
      <c r="F740" s="2">
        <f>IFERROR(VLOOKUP($A740,observations_series_id_WPU0613020T_api_key_ecc133893ea92a842ee685c734246086_file[],3,FALSE),"")</f>
        <v>6.367041198501866E-2</v>
      </c>
      <c r="G740">
        <f>IFERROR(VLOOKUP($A740,observations_series_id_PCU22122212_api_key_ecc133893ea92a842ee685c734246086_file[],2,FALSE),"")</f>
        <v>113.6</v>
      </c>
      <c r="H740" s="2">
        <f>IFERROR(VLOOKUP($A740,observations_series_id_PCU22122212_api_key_ecc133893ea92a842ee685c734246086_file[],3,FALSE),"")</f>
        <v>0.11971830985915488</v>
      </c>
      <c r="I740">
        <f>IFERROR(VLOOKUP($A740,observations_series_id_PCU3241913241910_api_key_ecc133893ea92a842ee685c734246086[],2,FALSE),"")</f>
        <v>487.2</v>
      </c>
      <c r="J740" s="2">
        <f>IFERROR(VLOOKUP($A740,observations_series_id_PCU3241913241910_api_key_ecc133893ea92a842ee685c734246086[],3,FALSE),"")</f>
        <v>0.89449917898193765</v>
      </c>
      <c r="K740">
        <f>IFERROR(VLOOKUP($A740,observations_series_id_EXJPUS_api_key_ecc133893ea92a842ee685c734246086_file_type[],2,FALSE),"")</f>
        <v>108.2864</v>
      </c>
      <c r="L740" s="2">
        <f>IFERROR(VLOOKUP($A740,observations_series_id_EXJPUS_api_key_ecc133893ea92a842ee685c734246086_file_type[],3,FALSE),"")</f>
        <v>-2.3062323615892666</v>
      </c>
      <c r="M740" t="str">
        <f>IFERROR(AVERAGEIFS(timeseries_access_key_fqeas14oitk235763mntlb1c0brnk9w3fenzqbk313q5kvxyf52kukw1pa[Value.LME-ZNC],timeseries_access_key_fqeas14oitk235763mntlb1c0brnk9w3fenzqbk313q5kvxyf52kukw1pa[Month],MONTH(Data!$A740),timeseries_access_key_fqeas14oitk235763mntlb1c0brnk9w3fenzqbk313q5kvxyf52kukw1pa[Year],YEAR(Data!$A740)),"")</f>
        <v/>
      </c>
      <c r="N740" s="2" t="str">
        <f>IFERROR(AVERAGEIFS(timeseries_access_key_fqeas14oitk235763mntlb1c0brnk9w3fenzqbk313q5kvxyf52kukw1pa[Column1],timeseries_access_key_fqeas14oitk235763mntlb1c0brnk9w3fenzqbk313q5kvxyf52kukw1pa[Month],MONTH(Data!$A740),timeseries_access_key_fqeas14oitk235763mntlb1c0brnk9w3fenzqbk313q5kvxyf52kukw1pa[Year],YEAR(Data!$A740)),"")</f>
        <v/>
      </c>
      <c r="O740" s="8">
        <f>IFERROR(VLOOKUP($A740,Text_1_2[[Text.1.1.3]:[Text.1.3]],2,FALSE),"")</f>
        <v>40200</v>
      </c>
      <c r="P740" s="2"/>
    </row>
    <row r="741" spans="1:16" x14ac:dyDescent="0.25">
      <c r="A741" s="1">
        <v>43678</v>
      </c>
      <c r="B741">
        <f>HLOOKUP(Dashboard!$I$27,results,ROW(A741),FALSE)</f>
        <v>0.11504424778761058</v>
      </c>
      <c r="C741">
        <f>IFERROR(VLOOKUP(A741,observations_series_id_PCU22112222112243_api_key_ecc133893ea92a842ee685c73424608[],2,FALSE),"")</f>
        <v>214.9</v>
      </c>
      <c r="D741" s="2">
        <f>IFERROR(VLOOKUP(A741,observations_series_id_PCU22112222112243_api_key_ecc133893ea92a842ee685c73424608[],3,FALSE),"")</f>
        <v>0.91903210795718937</v>
      </c>
      <c r="E741">
        <f>IFERROR(VLOOKUP($A741,observations_series_id_WPU0613020T_api_key_ecc133893ea92a842ee685c734246086_file[],2,FALSE),"")</f>
        <v>105</v>
      </c>
      <c r="F741" s="2">
        <f>IFERROR(VLOOKUP($A741,observations_series_id_WPU0613020T_api_key_ecc133893ea92a842ee685c734246086_file[],3,FALSE),"")</f>
        <v>4.7619047619047672E-2</v>
      </c>
      <c r="G741">
        <f>IFERROR(VLOOKUP($A741,observations_series_id_PCU22122212_api_key_ecc133893ea92a842ee685c734246086_file[],2,FALSE),"")</f>
        <v>113</v>
      </c>
      <c r="H741" s="2">
        <f>IFERROR(VLOOKUP($A741,observations_series_id_PCU22122212_api_key_ecc133893ea92a842ee685c734246086_file[],3,FALSE),"")</f>
        <v>0.11504424778761058</v>
      </c>
      <c r="I741">
        <f>IFERROR(VLOOKUP($A741,observations_series_id_PCU3241913241910_api_key_ecc133893ea92a842ee685c734246086[],2,FALSE),"")</f>
        <v>488.2</v>
      </c>
      <c r="J741" s="2">
        <f>IFERROR(VLOOKUP($A741,observations_series_id_PCU3241913241910_api_key_ecc133893ea92a842ee685c734246086[],3,FALSE),"")</f>
        <v>0.89471528062269567</v>
      </c>
      <c r="K741">
        <f>IFERROR(VLOOKUP($A741,observations_series_id_EXJPUS_api_key_ecc133893ea92a842ee685c734246086_file_type[],2,FALSE),"")</f>
        <v>106.18859999999999</v>
      </c>
      <c r="L741" s="2">
        <f>IFERROR(VLOOKUP($A741,observations_series_id_EXJPUS_api_key_ecc133893ea92a842ee685c734246086_file_type[],3,FALSE),"")</f>
        <v>-2.3715483582983485</v>
      </c>
      <c r="M741" t="str">
        <f>IFERROR(AVERAGEIFS(timeseries_access_key_fqeas14oitk235763mntlb1c0brnk9w3fenzqbk313q5kvxyf52kukw1pa[Value.LME-ZNC],timeseries_access_key_fqeas14oitk235763mntlb1c0brnk9w3fenzqbk313q5kvxyf52kukw1pa[Month],MONTH(Data!$A741),timeseries_access_key_fqeas14oitk235763mntlb1c0brnk9w3fenzqbk313q5kvxyf52kukw1pa[Year],YEAR(Data!$A741)),"")</f>
        <v/>
      </c>
      <c r="N741" s="2" t="str">
        <f>IFERROR(AVERAGEIFS(timeseries_access_key_fqeas14oitk235763mntlb1c0brnk9w3fenzqbk313q5kvxyf52kukw1pa[Column1],timeseries_access_key_fqeas14oitk235763mntlb1c0brnk9w3fenzqbk313q5kvxyf52kukw1pa[Month],MONTH(Data!$A741),timeseries_access_key_fqeas14oitk235763mntlb1c0brnk9w3fenzqbk313q5kvxyf52kukw1pa[Year],YEAR(Data!$A741)),"")</f>
        <v/>
      </c>
      <c r="O741" s="8" t="str">
        <f>IFERROR(VLOOKUP($A741,Text_1_2[[Text.1.1.3]:[Text.1.3]],2,FALSE),"")</f>
        <v/>
      </c>
      <c r="P741" s="2"/>
    </row>
    <row r="742" spans="1:16" x14ac:dyDescent="0.25">
      <c r="A742" s="1">
        <v>43709</v>
      </c>
      <c r="B742">
        <f>HLOOKUP(Dashboard!$I$27,results,ROW(A742),FALSE)</f>
        <v>0.11190053285968027</v>
      </c>
      <c r="C742">
        <f>IFERROR(VLOOKUP(A742,observations_series_id_PCU22112222112243_api_key_ecc133893ea92a842ee685c73424608[],2,FALSE),"")</f>
        <v>212.6</v>
      </c>
      <c r="D742" s="2">
        <f>IFERROR(VLOOKUP(A742,observations_series_id_PCU22112222112243_api_key_ecc133893ea92a842ee685c73424608[],3,FALSE),"")</f>
        <v>0.91815616180620885</v>
      </c>
      <c r="E742">
        <f>IFERROR(VLOOKUP($A742,observations_series_id_WPU0613020T_api_key_ecc133893ea92a842ee685c734246086_file[],2,FALSE),"")</f>
        <v>105.3</v>
      </c>
      <c r="F742" s="2">
        <f>IFERROR(VLOOKUP($A742,observations_series_id_WPU0613020T_api_key_ecc133893ea92a842ee685c734246086_file[],3,FALSE),"")</f>
        <v>5.0332383665717018E-2</v>
      </c>
      <c r="G742">
        <f>IFERROR(VLOOKUP($A742,observations_series_id_PCU22122212_api_key_ecc133893ea92a842ee685c734246086_file[],2,FALSE),"")</f>
        <v>112.6</v>
      </c>
      <c r="H742" s="2">
        <f>IFERROR(VLOOKUP($A742,observations_series_id_PCU22122212_api_key_ecc133893ea92a842ee685c734246086_file[],3,FALSE),"")</f>
        <v>0.11190053285968027</v>
      </c>
      <c r="I742">
        <f>IFERROR(VLOOKUP($A742,observations_series_id_PCU3241913241910_api_key_ecc133893ea92a842ee685c734246086[],2,FALSE),"")</f>
        <v>487.7</v>
      </c>
      <c r="J742" s="2">
        <f>IFERROR(VLOOKUP($A742,observations_series_id_PCU3241913241910_api_key_ecc133893ea92a842ee685c734246086[],3,FALSE),"")</f>
        <v>0.89460734057822433</v>
      </c>
      <c r="K742">
        <f>IFERROR(VLOOKUP($A742,observations_series_id_EXJPUS_api_key_ecc133893ea92a842ee685c734246086_file_type[],2,FALSE),"")</f>
        <v>107.54</v>
      </c>
      <c r="L742" s="2">
        <f>IFERROR(VLOOKUP($A742,observations_series_id_EXJPUS_api_key_ecc133893ea92a842ee685c734246086_file_type[],3,FALSE),"")</f>
        <v>-2.3291798400595125</v>
      </c>
      <c r="M742" t="str">
        <f>IFERROR(AVERAGEIFS(timeseries_access_key_fqeas14oitk235763mntlb1c0brnk9w3fenzqbk313q5kvxyf52kukw1pa[Value.LME-ZNC],timeseries_access_key_fqeas14oitk235763mntlb1c0brnk9w3fenzqbk313q5kvxyf52kukw1pa[Month],MONTH(Data!$A742),timeseries_access_key_fqeas14oitk235763mntlb1c0brnk9w3fenzqbk313q5kvxyf52kukw1pa[Year],YEAR(Data!$A742)),"")</f>
        <v/>
      </c>
      <c r="N742" s="2" t="str">
        <f>IFERROR(AVERAGEIFS(timeseries_access_key_fqeas14oitk235763mntlb1c0brnk9w3fenzqbk313q5kvxyf52kukw1pa[Column1],timeseries_access_key_fqeas14oitk235763mntlb1c0brnk9w3fenzqbk313q5kvxyf52kukw1pa[Month],MONTH(Data!$A742),timeseries_access_key_fqeas14oitk235763mntlb1c0brnk9w3fenzqbk313q5kvxyf52kukw1pa[Year],YEAR(Data!$A742)),"")</f>
        <v/>
      </c>
      <c r="O742" s="8" t="str">
        <f>IFERROR(VLOOKUP($A742,Text_1_2[[Text.1.1.3]:[Text.1.3]],2,FALSE),"")</f>
        <v/>
      </c>
      <c r="P742" s="2"/>
    </row>
    <row r="743" spans="1:16" x14ac:dyDescent="0.25">
      <c r="A743" s="1">
        <v>43739</v>
      </c>
      <c r="B743">
        <f>HLOOKUP(Dashboard!$I$27,results,ROW(A743),FALSE)</f>
        <v>0.1228070175438597</v>
      </c>
      <c r="C743">
        <f>IFERROR(VLOOKUP(A743,observations_series_id_PCU22112222112243_api_key_ecc133893ea92a842ee685c73424608[],2,FALSE),"")</f>
        <v>193.4</v>
      </c>
      <c r="D743" s="2">
        <f>IFERROR(VLOOKUP(A743,observations_series_id_PCU22112222112243_api_key_ecc133893ea92a842ee685c73424608[],3,FALSE),"")</f>
        <v>0.91003102378490175</v>
      </c>
      <c r="E743">
        <f>IFERROR(VLOOKUP($A743,observations_series_id_WPU0613020T_api_key_ecc133893ea92a842ee685c734246086_file[],2,FALSE),"")</f>
        <v>104.9</v>
      </c>
      <c r="F743" s="2">
        <f>IFERROR(VLOOKUP($A743,observations_series_id_WPU0613020T_api_key_ecc133893ea92a842ee685c734246086_file[],3,FALSE),"")</f>
        <v>4.6711153479504386E-2</v>
      </c>
      <c r="G743">
        <f>IFERROR(VLOOKUP($A743,observations_series_id_PCU22122212_api_key_ecc133893ea92a842ee685c734246086_file[],2,FALSE),"")</f>
        <v>114</v>
      </c>
      <c r="H743" s="2">
        <f>IFERROR(VLOOKUP($A743,observations_series_id_PCU22122212_api_key_ecc133893ea92a842ee685c734246086_file[],3,FALSE),"")</f>
        <v>0.1228070175438597</v>
      </c>
      <c r="I743">
        <f>IFERROR(VLOOKUP($A743,observations_series_id_PCU3241913241910_api_key_ecc133893ea92a842ee685c734246086[],2,FALSE),"")</f>
        <v>489.2</v>
      </c>
      <c r="J743" s="2">
        <f>IFERROR(VLOOKUP($A743,observations_series_id_PCU3241913241910_api_key_ecc133893ea92a842ee685c734246086[],3,FALSE),"")</f>
        <v>0.89493049877350772</v>
      </c>
      <c r="K743">
        <f>IFERROR(VLOOKUP($A743,observations_series_id_EXJPUS_api_key_ecc133893ea92a842ee685c734246086_file_type[],2,FALSE),"")</f>
        <v>108.13679999999999</v>
      </c>
      <c r="L743" s="2">
        <f>IFERROR(VLOOKUP($A743,observations_series_id_EXJPUS_api_key_ecc133893ea92a842ee685c734246086_file_type[],3,FALSE),"")</f>
        <v>-2.3108063120047939</v>
      </c>
      <c r="M743" t="str">
        <f>IFERROR(AVERAGEIFS(timeseries_access_key_fqeas14oitk235763mntlb1c0brnk9w3fenzqbk313q5kvxyf52kukw1pa[Value.LME-ZNC],timeseries_access_key_fqeas14oitk235763mntlb1c0brnk9w3fenzqbk313q5kvxyf52kukw1pa[Month],MONTH(Data!$A743),timeseries_access_key_fqeas14oitk235763mntlb1c0brnk9w3fenzqbk313q5kvxyf52kukw1pa[Year],YEAR(Data!$A743)),"")</f>
        <v/>
      </c>
      <c r="N743" s="2" t="str">
        <f>IFERROR(AVERAGEIFS(timeseries_access_key_fqeas14oitk235763mntlb1c0brnk9w3fenzqbk313q5kvxyf52kukw1pa[Column1],timeseries_access_key_fqeas14oitk235763mntlb1c0brnk9w3fenzqbk313q5kvxyf52kukw1pa[Month],MONTH(Data!$A743),timeseries_access_key_fqeas14oitk235763mntlb1c0brnk9w3fenzqbk313q5kvxyf52kukw1pa[Year],YEAR(Data!$A743)),"")</f>
        <v/>
      </c>
      <c r="O743" s="8">
        <f>IFERROR(VLOOKUP($A743,Text_1_2[[Text.1.1.3]:[Text.1.3]],2,FALSE),"")</f>
        <v>41300</v>
      </c>
      <c r="P743" s="2"/>
    </row>
    <row r="744" spans="1:16" x14ac:dyDescent="0.25">
      <c r="A744" s="1">
        <v>43770</v>
      </c>
      <c r="B744">
        <f>HLOOKUP(Dashboard!$I$27,results,ROW(A744),FALSE)</f>
        <v>0.14163090128755362</v>
      </c>
      <c r="C744">
        <f>IFERROR(VLOOKUP(A744,observations_series_id_PCU22112222112243_api_key_ecc133893ea92a842ee685c73424608[],2,FALSE),"")</f>
        <v>192.4</v>
      </c>
      <c r="D744" s="2">
        <f>IFERROR(VLOOKUP(A744,observations_series_id_PCU22112222112243_api_key_ecc133893ea92a842ee685c73424608[],3,FALSE),"")</f>
        <v>0.90956340956340953</v>
      </c>
      <c r="E744">
        <f>IFERROR(VLOOKUP($A744,observations_series_id_WPU0613020T_api_key_ecc133893ea92a842ee685c734246086_file[],2,FALSE),"")</f>
        <v>102.3</v>
      </c>
      <c r="F744" s="2">
        <f>IFERROR(VLOOKUP($A744,observations_series_id_WPU0613020T_api_key_ecc133893ea92a842ee685c734246086_file[],3,FALSE),"")</f>
        <v>2.2482893450635366E-2</v>
      </c>
      <c r="G744">
        <f>IFERROR(VLOOKUP($A744,observations_series_id_PCU22122212_api_key_ecc133893ea92a842ee685c734246086_file[],2,FALSE),"")</f>
        <v>116.5</v>
      </c>
      <c r="H744" s="2">
        <f>IFERROR(VLOOKUP($A744,observations_series_id_PCU22122212_api_key_ecc133893ea92a842ee685c734246086_file[],3,FALSE),"")</f>
        <v>0.14163090128755362</v>
      </c>
      <c r="I744">
        <f>IFERROR(VLOOKUP($A744,observations_series_id_PCU3241913241910_api_key_ecc133893ea92a842ee685c734246086[],2,FALSE),"")</f>
        <v>489.4</v>
      </c>
      <c r="J744" s="2">
        <f>IFERROR(VLOOKUP($A744,observations_series_id_PCU3241913241910_api_key_ecc133893ea92a842ee685c734246086[],3,FALSE),"")</f>
        <v>0.89497343686146302</v>
      </c>
      <c r="K744">
        <f>IFERROR(VLOOKUP($A744,observations_series_id_EXJPUS_api_key_ecc133893ea92a842ee685c734246086_file_type[],2,FALSE),"")</f>
        <v>108.8579</v>
      </c>
      <c r="L744" s="2">
        <f>IFERROR(VLOOKUP($A744,observations_series_id_EXJPUS_api_key_ecc133893ea92a842ee685c734246086_file_type[],3,FALSE),"")</f>
        <v>-2.2888747624196313</v>
      </c>
      <c r="M744" t="str">
        <f>IFERROR(AVERAGEIFS(timeseries_access_key_fqeas14oitk235763mntlb1c0brnk9w3fenzqbk313q5kvxyf52kukw1pa[Value.LME-ZNC],timeseries_access_key_fqeas14oitk235763mntlb1c0brnk9w3fenzqbk313q5kvxyf52kukw1pa[Month],MONTH(Data!$A744),timeseries_access_key_fqeas14oitk235763mntlb1c0brnk9w3fenzqbk313q5kvxyf52kukw1pa[Year],YEAR(Data!$A744)),"")</f>
        <v/>
      </c>
      <c r="N744" s="2" t="str">
        <f>IFERROR(AVERAGEIFS(timeseries_access_key_fqeas14oitk235763mntlb1c0brnk9w3fenzqbk313q5kvxyf52kukw1pa[Column1],timeseries_access_key_fqeas14oitk235763mntlb1c0brnk9w3fenzqbk313q5kvxyf52kukw1pa[Month],MONTH(Data!$A744),timeseries_access_key_fqeas14oitk235763mntlb1c0brnk9w3fenzqbk313q5kvxyf52kukw1pa[Year],YEAR(Data!$A744)),"")</f>
        <v/>
      </c>
      <c r="O744" s="8" t="str">
        <f>IFERROR(VLOOKUP($A744,Text_1_2[[Text.1.1.3]:[Text.1.3]],2,FALSE),"")</f>
        <v/>
      </c>
      <c r="P744" s="2"/>
    </row>
    <row r="745" spans="1:16" x14ac:dyDescent="0.25">
      <c r="A745" s="1">
        <v>43800</v>
      </c>
      <c r="B745">
        <f>HLOOKUP(Dashboard!$I$27,results,ROW(A745),FALSE)</f>
        <v>0.13793103448275867</v>
      </c>
      <c r="C745">
        <f>IFERROR(VLOOKUP(A745,observations_series_id_PCU22112222112243_api_key_ecc133893ea92a842ee685c73424608[],2,FALSE),"")</f>
        <v>194.3</v>
      </c>
      <c r="D745" s="2">
        <f>IFERROR(VLOOKUP(A745,observations_series_id_PCU22112222112243_api_key_ecc133893ea92a842ee685c73424608[],3,FALSE),"")</f>
        <v>0.91044776119402981</v>
      </c>
      <c r="E745">
        <f>IFERROR(VLOOKUP($A745,observations_series_id_WPU0613020T_api_key_ecc133893ea92a842ee685c734246086_file[],2,FALSE),"")</f>
        <v>95.3</v>
      </c>
      <c r="F745" s="2">
        <f>IFERROR(VLOOKUP($A745,observations_series_id_WPU0613020T_api_key_ecc133893ea92a842ee685c734246086_file[],3,FALSE),"")</f>
        <v>-4.9317943336831149E-2</v>
      </c>
      <c r="G745">
        <f>IFERROR(VLOOKUP($A745,observations_series_id_PCU22122212_api_key_ecc133893ea92a842ee685c734246086_file[],2,FALSE),"")</f>
        <v>116</v>
      </c>
      <c r="H745" s="2">
        <f>IFERROR(VLOOKUP($A745,observations_series_id_PCU22122212_api_key_ecc133893ea92a842ee685c734246086_file[],3,FALSE),"")</f>
        <v>0.13793103448275867</v>
      </c>
      <c r="I745">
        <f>IFERROR(VLOOKUP($A745,observations_series_id_PCU3241913241910_api_key_ecc133893ea92a842ee685c734246086[],2,FALSE),"")</f>
        <v>490.1</v>
      </c>
      <c r="J745" s="2">
        <f>IFERROR(VLOOKUP($A745,observations_series_id_PCU3241913241910_api_key_ecc133893ea92a842ee685c734246086[],3,FALSE),"")</f>
        <v>0.89512344419506218</v>
      </c>
      <c r="K745">
        <f>IFERROR(VLOOKUP($A745,observations_series_id_EXJPUS_api_key_ecc133893ea92a842ee685c734246086_file_type[],2,FALSE),"")</f>
        <v>109.101</v>
      </c>
      <c r="L745" s="2">
        <f>IFERROR(VLOOKUP($A745,observations_series_id_EXJPUS_api_key_ecc133893ea92a842ee685c734246086_file_type[],3,FALSE),"")</f>
        <v>-2.2815464569527317</v>
      </c>
      <c r="M745" t="str">
        <f>IFERROR(AVERAGEIFS(timeseries_access_key_fqeas14oitk235763mntlb1c0brnk9w3fenzqbk313q5kvxyf52kukw1pa[Value.LME-ZNC],timeseries_access_key_fqeas14oitk235763mntlb1c0brnk9w3fenzqbk313q5kvxyf52kukw1pa[Month],MONTH(Data!$A745),timeseries_access_key_fqeas14oitk235763mntlb1c0brnk9w3fenzqbk313q5kvxyf52kukw1pa[Year],YEAR(Data!$A745)),"")</f>
        <v/>
      </c>
      <c r="N745" s="2" t="str">
        <f>IFERROR(AVERAGEIFS(timeseries_access_key_fqeas14oitk235763mntlb1c0brnk9w3fenzqbk313q5kvxyf52kukw1pa[Column1],timeseries_access_key_fqeas14oitk235763mntlb1c0brnk9w3fenzqbk313q5kvxyf52kukw1pa[Month],MONTH(Data!$A745),timeseries_access_key_fqeas14oitk235763mntlb1c0brnk9w3fenzqbk313q5kvxyf52kukw1pa[Year],YEAR(Data!$A745)),"")</f>
        <v/>
      </c>
      <c r="O745" s="8" t="str">
        <f>IFERROR(VLOOKUP($A745,Text_1_2[[Text.1.1.3]:[Text.1.3]],2,FALSE),"")</f>
        <v/>
      </c>
      <c r="P745" s="2"/>
    </row>
    <row r="746" spans="1:16" x14ac:dyDescent="0.25">
      <c r="A746" s="1">
        <v>43831</v>
      </c>
      <c r="B746">
        <f>HLOOKUP(Dashboard!$I$27,results,ROW(A746),FALSE)</f>
        <v>0.13344887348353562</v>
      </c>
      <c r="C746">
        <f>IFERROR(VLOOKUP(A746,observations_series_id_PCU22112222112243_api_key_ecc133893ea92a842ee685c73424608[],2,FALSE),"")</f>
        <v>194.6</v>
      </c>
      <c r="D746" s="2">
        <f>IFERROR(VLOOKUP(A746,observations_series_id_PCU22112222112243_api_key_ecc133893ea92a842ee685c73424608[],3,FALSE),"")</f>
        <v>0.91058581706063724</v>
      </c>
      <c r="E746">
        <f>IFERROR(VLOOKUP($A746,observations_series_id_WPU0613020T_api_key_ecc133893ea92a842ee685c734246086_file[],2,FALSE),"")</f>
        <v>92</v>
      </c>
      <c r="F746" s="2">
        <f>IFERROR(VLOOKUP($A746,observations_series_id_WPU0613020T_api_key_ecc133893ea92a842ee685c734246086_file[],3,FALSE),"")</f>
        <v>-8.6956521739130377E-2</v>
      </c>
      <c r="G746">
        <f>IFERROR(VLOOKUP($A746,observations_series_id_PCU22122212_api_key_ecc133893ea92a842ee685c734246086_file[],2,FALSE),"")</f>
        <v>115.4</v>
      </c>
      <c r="H746" s="2">
        <f>IFERROR(VLOOKUP($A746,observations_series_id_PCU22122212_api_key_ecc133893ea92a842ee685c734246086_file[],3,FALSE),"")</f>
        <v>0.13344887348353562</v>
      </c>
      <c r="I746">
        <f>IFERROR(VLOOKUP($A746,observations_series_id_PCU3241913241910_api_key_ecc133893ea92a842ee685c734246086[],2,FALSE),"")</f>
        <v>490.3</v>
      </c>
      <c r="J746" s="2">
        <f>IFERROR(VLOOKUP($A746,observations_series_id_PCU3241913241910_api_key_ecc133893ea92a842ee685c734246086[],3,FALSE),"")</f>
        <v>0.89516622476035079</v>
      </c>
      <c r="K746">
        <f>IFERROR(VLOOKUP($A746,observations_series_id_EXJPUS_api_key_ecc133893ea92a842ee685c734246086_file_type[],2,FALSE),"")</f>
        <v>109.2667</v>
      </c>
      <c r="L746" s="2">
        <f>IFERROR(VLOOKUP($A746,observations_series_id_EXJPUS_api_key_ecc133893ea92a842ee685c734246086_file_type[],3,FALSE),"")</f>
        <v>-2.2765700803630016</v>
      </c>
      <c r="M746" t="str">
        <f>IFERROR(AVERAGEIFS(timeseries_access_key_fqeas14oitk235763mntlb1c0brnk9w3fenzqbk313q5kvxyf52kukw1pa[Value.LME-ZNC],timeseries_access_key_fqeas14oitk235763mntlb1c0brnk9w3fenzqbk313q5kvxyf52kukw1pa[Month],MONTH(Data!$A746),timeseries_access_key_fqeas14oitk235763mntlb1c0brnk9w3fenzqbk313q5kvxyf52kukw1pa[Year],YEAR(Data!$A746)),"")</f>
        <v/>
      </c>
      <c r="N746" s="2" t="str">
        <f>IFERROR(AVERAGEIFS(timeseries_access_key_fqeas14oitk235763mntlb1c0brnk9w3fenzqbk313q5kvxyf52kukw1pa[Column1],timeseries_access_key_fqeas14oitk235763mntlb1c0brnk9w3fenzqbk313q5kvxyf52kukw1pa[Month],MONTH(Data!$A746),timeseries_access_key_fqeas14oitk235763mntlb1c0brnk9w3fenzqbk313q5kvxyf52kukw1pa[Year],YEAR(Data!$A746)),"")</f>
        <v/>
      </c>
      <c r="O746" s="8">
        <f>IFERROR(VLOOKUP($A746,Text_1_2[[Text.1.1.3]:[Text.1.3]],2,FALSE),"")</f>
        <v>44800</v>
      </c>
      <c r="P746" s="2"/>
    </row>
    <row r="747" spans="1:16" x14ac:dyDescent="0.25">
      <c r="A747" s="1">
        <v>43862</v>
      </c>
      <c r="B747">
        <f>HLOOKUP(Dashboard!$I$27,results,ROW(A747),FALSE)</f>
        <v>0.11347517730496448</v>
      </c>
      <c r="C747">
        <f>IFERROR(VLOOKUP(A747,observations_series_id_PCU22112222112243_api_key_ecc133893ea92a842ee685c73424608[],2,FALSE),"")</f>
        <v>195.8</v>
      </c>
      <c r="D747" s="2">
        <f>IFERROR(VLOOKUP(A747,observations_series_id_PCU22112222112243_api_key_ecc133893ea92a842ee685c73424608[],3,FALSE),"")</f>
        <v>0.91113381001021454</v>
      </c>
      <c r="E747">
        <f>IFERROR(VLOOKUP($A747,observations_series_id_WPU0613020T_api_key_ecc133893ea92a842ee685c734246086_file[],2,FALSE),"")</f>
        <v>91.7</v>
      </c>
      <c r="F747" s="2">
        <f>IFERROR(VLOOKUP($A747,observations_series_id_WPU0613020T_api_key_ecc133893ea92a842ee685c734246086_file[],3,FALSE),"")</f>
        <v>-9.0512540894220228E-2</v>
      </c>
      <c r="G747">
        <f>IFERROR(VLOOKUP($A747,observations_series_id_PCU22122212_api_key_ecc133893ea92a842ee685c734246086_file[],2,FALSE),"")</f>
        <v>112.8</v>
      </c>
      <c r="H747" s="2">
        <f>IFERROR(VLOOKUP($A747,observations_series_id_PCU22122212_api_key_ecc133893ea92a842ee685c734246086_file[],3,FALSE),"")</f>
        <v>0.11347517730496448</v>
      </c>
      <c r="I747">
        <f>IFERROR(VLOOKUP($A747,observations_series_id_PCU3241913241910_api_key_ecc133893ea92a842ee685c734246086[],2,FALSE),"")</f>
        <v>490.8</v>
      </c>
      <c r="J747" s="2">
        <f>IFERROR(VLOOKUP($A747,observations_series_id_PCU3241913241910_api_key_ecc133893ea92a842ee685c734246086[],3,FALSE),"")</f>
        <v>0.89527302363488181</v>
      </c>
      <c r="K747">
        <f>IFERROR(VLOOKUP($A747,observations_series_id_EXJPUS_api_key_ecc133893ea92a842ee685c734246086_file_type[],2,FALSE),"")</f>
        <v>110.0295</v>
      </c>
      <c r="L747" s="2">
        <f>IFERROR(VLOOKUP($A747,observations_series_id_EXJPUS_api_key_ecc133893ea92a842ee685c734246086_file_type[],3,FALSE),"")</f>
        <v>-2.2538546480716533</v>
      </c>
      <c r="M747" t="str">
        <f>IFERROR(AVERAGEIFS(timeseries_access_key_fqeas14oitk235763mntlb1c0brnk9w3fenzqbk313q5kvxyf52kukw1pa[Value.LME-ZNC],timeseries_access_key_fqeas14oitk235763mntlb1c0brnk9w3fenzqbk313q5kvxyf52kukw1pa[Month],MONTH(Data!$A747),timeseries_access_key_fqeas14oitk235763mntlb1c0brnk9w3fenzqbk313q5kvxyf52kukw1pa[Year],YEAR(Data!$A747)),"")</f>
        <v/>
      </c>
      <c r="N747" s="2" t="str">
        <f>IFERROR(AVERAGEIFS(timeseries_access_key_fqeas14oitk235763mntlb1c0brnk9w3fenzqbk313q5kvxyf52kukw1pa[Column1],timeseries_access_key_fqeas14oitk235763mntlb1c0brnk9w3fenzqbk313q5kvxyf52kukw1pa[Month],MONTH(Data!$A747),timeseries_access_key_fqeas14oitk235763mntlb1c0brnk9w3fenzqbk313q5kvxyf52kukw1pa[Year],YEAR(Data!$A747)),"")</f>
        <v/>
      </c>
      <c r="O747" s="8" t="str">
        <f>IFERROR(VLOOKUP($A747,Text_1_2[[Text.1.1.3]:[Text.1.3]],2,FALSE),"")</f>
        <v/>
      </c>
      <c r="P747" s="2"/>
    </row>
    <row r="748" spans="1:16" x14ac:dyDescent="0.25">
      <c r="A748" s="1">
        <v>43891</v>
      </c>
      <c r="B748">
        <f>HLOOKUP(Dashboard!$I$27,results,ROW(A748),FALSE)</f>
        <v>0.10554561717352418</v>
      </c>
      <c r="C748">
        <f>IFERROR(VLOOKUP(A748,observations_series_id_PCU22112222112243_api_key_ecc133893ea92a842ee685c73424608[],2,FALSE),"")</f>
        <v>194.9</v>
      </c>
      <c r="D748" s="2">
        <f>IFERROR(VLOOKUP(A748,observations_series_id_PCU22112222112243_api_key_ecc133893ea92a842ee685c73424608[],3,FALSE),"")</f>
        <v>0.91072344792201132</v>
      </c>
      <c r="E748">
        <f>IFERROR(VLOOKUP($A748,observations_series_id_WPU0613020T_api_key_ecc133893ea92a842ee685c734246086_file[],2,FALSE),"")</f>
        <v>82.6</v>
      </c>
      <c r="F748" s="2">
        <f>IFERROR(VLOOKUP($A748,observations_series_id_WPU0613020T_api_key_ecc133893ea92a842ee685c734246086_file[],3,FALSE),"")</f>
        <v>-0.21065375302663436</v>
      </c>
      <c r="G748">
        <f>IFERROR(VLOOKUP($A748,observations_series_id_PCU22122212_api_key_ecc133893ea92a842ee685c734246086_file[],2,FALSE),"")</f>
        <v>111.8</v>
      </c>
      <c r="H748" s="2">
        <f>IFERROR(VLOOKUP($A748,observations_series_id_PCU22122212_api_key_ecc133893ea92a842ee685c734246086_file[],3,FALSE),"")</f>
        <v>0.10554561717352418</v>
      </c>
      <c r="I748">
        <f>IFERROR(VLOOKUP($A748,observations_series_id_PCU3241913241910_api_key_ecc133893ea92a842ee685c734246086[],2,FALSE),"")</f>
        <v>489.9</v>
      </c>
      <c r="J748" s="2">
        <f>IFERROR(VLOOKUP($A748,observations_series_id_PCU3241913241910_api_key_ecc133893ea92a842ee685c734246086[],3,FALSE),"")</f>
        <v>0.89508062869973459</v>
      </c>
      <c r="K748">
        <f>IFERROR(VLOOKUP($A748,observations_series_id_EXJPUS_api_key_ecc133893ea92a842ee685c734246086_file_type[],2,FALSE),"")</f>
        <v>107.6673</v>
      </c>
      <c r="L748" s="2">
        <f>IFERROR(VLOOKUP($A748,observations_series_id_EXJPUS_api_key_ecc133893ea92a842ee685c734246086_file_type[],3,FALSE),"")</f>
        <v>-2.3252435976382801</v>
      </c>
      <c r="M748" t="str">
        <f>IFERROR(AVERAGEIFS(timeseries_access_key_fqeas14oitk235763mntlb1c0brnk9w3fenzqbk313q5kvxyf52kukw1pa[Value.LME-ZNC],timeseries_access_key_fqeas14oitk235763mntlb1c0brnk9w3fenzqbk313q5kvxyf52kukw1pa[Month],MONTH(Data!$A748),timeseries_access_key_fqeas14oitk235763mntlb1c0brnk9w3fenzqbk313q5kvxyf52kukw1pa[Year],YEAR(Data!$A748)),"")</f>
        <v/>
      </c>
      <c r="N748" s="2" t="str">
        <f>IFERROR(AVERAGEIFS(timeseries_access_key_fqeas14oitk235763mntlb1c0brnk9w3fenzqbk313q5kvxyf52kukw1pa[Column1],timeseries_access_key_fqeas14oitk235763mntlb1c0brnk9w3fenzqbk313q5kvxyf52kukw1pa[Month],MONTH(Data!$A748),timeseries_access_key_fqeas14oitk235763mntlb1c0brnk9w3fenzqbk313q5kvxyf52kukw1pa[Year],YEAR(Data!$A748)),"")</f>
        <v/>
      </c>
      <c r="O748" s="8" t="str">
        <f>IFERROR(VLOOKUP($A748,Text_1_2[[Text.1.1.3]:[Text.1.3]],2,FALSE),"")</f>
        <v/>
      </c>
      <c r="P748" s="2"/>
    </row>
    <row r="749" spans="1:16" x14ac:dyDescent="0.25">
      <c r="A749" s="1">
        <v>43922</v>
      </c>
      <c r="B749">
        <f>HLOOKUP(Dashboard!$I$27,results,ROW(A749),FALSE)</f>
        <v>8.4249084249084283E-2</v>
      </c>
      <c r="C749">
        <f>IFERROR(VLOOKUP(A749,observations_series_id_PCU22112222112243_api_key_ecc133893ea92a842ee685c73424608[],2,FALSE),"")</f>
        <v>194.7</v>
      </c>
      <c r="D749" s="2">
        <f>IFERROR(VLOOKUP(A749,observations_series_id_PCU22112222112243_api_key_ecc133893ea92a842ee685c73424608[],3,FALSE),"")</f>
        <v>0.91063174114021572</v>
      </c>
      <c r="E749">
        <f>IFERROR(VLOOKUP($A749,observations_series_id_WPU0613020T_api_key_ecc133893ea92a842ee685c734246086_file[],2,FALSE),"")</f>
        <v>77.5</v>
      </c>
      <c r="F749" s="2">
        <f>IFERROR(VLOOKUP($A749,observations_series_id_WPU0613020T_api_key_ecc133893ea92a842ee685c734246086_file[],3,FALSE),"")</f>
        <v>-0.29032258064516125</v>
      </c>
      <c r="G749">
        <f>IFERROR(VLOOKUP($A749,observations_series_id_PCU22122212_api_key_ecc133893ea92a842ee685c734246086_file[],2,FALSE),"")</f>
        <v>109.2</v>
      </c>
      <c r="H749" s="2">
        <f>IFERROR(VLOOKUP($A749,observations_series_id_PCU22122212_api_key_ecc133893ea92a842ee685c734246086_file[],3,FALSE),"")</f>
        <v>8.4249084249084283E-2</v>
      </c>
      <c r="I749">
        <f>IFERROR(VLOOKUP($A749,observations_series_id_PCU3241913241910_api_key_ecc133893ea92a842ee685c734246086[],2,FALSE),"")</f>
        <v>489.6</v>
      </c>
      <c r="J749" s="2">
        <f>IFERROR(VLOOKUP($A749,observations_series_id_PCU3241913241910_api_key_ecc133893ea92a842ee685c734246086[],3,FALSE),"")</f>
        <v>0.89501633986928109</v>
      </c>
      <c r="K749">
        <f>IFERROR(VLOOKUP($A749,observations_series_id_EXJPUS_api_key_ecc133893ea92a842ee685c734246086_file_type[],2,FALSE),"")</f>
        <v>107.73860000000001</v>
      </c>
      <c r="L749" s="2">
        <f>IFERROR(VLOOKUP($A749,observations_series_id_EXJPUS_api_key_ecc133893ea92a842ee685c734246086_file_type[],3,FALSE),"")</f>
        <v>-2.3230429948040903</v>
      </c>
      <c r="M749" t="str">
        <f>IFERROR(AVERAGEIFS(timeseries_access_key_fqeas14oitk235763mntlb1c0brnk9w3fenzqbk313q5kvxyf52kukw1pa[Value.LME-ZNC],timeseries_access_key_fqeas14oitk235763mntlb1c0brnk9w3fenzqbk313q5kvxyf52kukw1pa[Month],MONTH(Data!$A749),timeseries_access_key_fqeas14oitk235763mntlb1c0brnk9w3fenzqbk313q5kvxyf52kukw1pa[Year],YEAR(Data!$A749)),"")</f>
        <v/>
      </c>
      <c r="N749" s="2" t="str">
        <f>IFERROR(AVERAGEIFS(timeseries_access_key_fqeas14oitk235763mntlb1c0brnk9w3fenzqbk313q5kvxyf52kukw1pa[Column1],timeseries_access_key_fqeas14oitk235763mntlb1c0brnk9w3fenzqbk313q5kvxyf52kukw1pa[Month],MONTH(Data!$A749),timeseries_access_key_fqeas14oitk235763mntlb1c0brnk9w3fenzqbk313q5kvxyf52kukw1pa[Year],YEAR(Data!$A749)),"")</f>
        <v/>
      </c>
      <c r="O749" s="8">
        <f>IFERROR(VLOOKUP($A749,Text_1_2[[Text.1.1.3]:[Text.1.3]],2,FALSE),"")</f>
        <v>25000</v>
      </c>
      <c r="P749" s="2"/>
    </row>
    <row r="750" spans="1:16" x14ac:dyDescent="0.25">
      <c r="A750" s="1">
        <v>43952</v>
      </c>
      <c r="B750">
        <f>HLOOKUP(Dashboard!$I$27,results,ROW(A750),FALSE)</f>
        <v>9.2558983666061745E-2</v>
      </c>
      <c r="C750">
        <f>IFERROR(VLOOKUP(A750,observations_series_id_PCU22112222112243_api_key_ecc133893ea92a842ee685c73424608[],2,FALSE),"")</f>
        <v>194.6</v>
      </c>
      <c r="D750" s="2">
        <f>IFERROR(VLOOKUP(A750,observations_series_id_PCU22112222112243_api_key_ecc133893ea92a842ee685c73424608[],3,FALSE),"")</f>
        <v>0.91058581706063724</v>
      </c>
      <c r="E750">
        <f>IFERROR(VLOOKUP($A750,observations_series_id_WPU0613020T_api_key_ecc133893ea92a842ee685c734246086_file[],2,FALSE),"")</f>
        <v>76</v>
      </c>
      <c r="F750" s="2">
        <f>IFERROR(VLOOKUP($A750,observations_series_id_WPU0613020T_api_key_ecc133893ea92a842ee685c734246086_file[],3,FALSE),"")</f>
        <v>-0.31578947368421062</v>
      </c>
      <c r="G750">
        <f>IFERROR(VLOOKUP($A750,observations_series_id_PCU22122212_api_key_ecc133893ea92a842ee685c734246086_file[],2,FALSE),"")</f>
        <v>110.2</v>
      </c>
      <c r="H750" s="2">
        <f>IFERROR(VLOOKUP($A750,observations_series_id_PCU22122212_api_key_ecc133893ea92a842ee685c734246086_file[],3,FALSE),"")</f>
        <v>9.2558983666061745E-2</v>
      </c>
      <c r="I750">
        <f>IFERROR(VLOOKUP($A750,observations_series_id_PCU3241913241910_api_key_ecc133893ea92a842ee685c734246086[],2,FALSE),"")</f>
        <v>486.9</v>
      </c>
      <c r="J750" s="2">
        <f>IFERROR(VLOOKUP($A750,observations_series_id_PCU3241913241910_api_key_ecc133893ea92a842ee685c734246086[],3,FALSE),"")</f>
        <v>0.89443417539535841</v>
      </c>
      <c r="K750">
        <f>IFERROR(VLOOKUP($A750,observations_series_id_EXJPUS_api_key_ecc133893ea92a842ee685c734246086_file_type[],2,FALSE),"")</f>
        <v>107.2</v>
      </c>
      <c r="L750" s="2">
        <f>IFERROR(VLOOKUP($A750,observations_series_id_EXJPUS_api_key_ecc133893ea92a842ee685c734246086_file_type[],3,FALSE),"")</f>
        <v>-2.3397388059701489</v>
      </c>
      <c r="M750" t="str">
        <f>IFERROR(AVERAGEIFS(timeseries_access_key_fqeas14oitk235763mntlb1c0brnk9w3fenzqbk313q5kvxyf52kukw1pa[Value.LME-ZNC],timeseries_access_key_fqeas14oitk235763mntlb1c0brnk9w3fenzqbk313q5kvxyf52kukw1pa[Month],MONTH(Data!$A750),timeseries_access_key_fqeas14oitk235763mntlb1c0brnk9w3fenzqbk313q5kvxyf52kukw1pa[Year],YEAR(Data!$A750)),"")</f>
        <v/>
      </c>
      <c r="N750" s="2" t="str">
        <f>IFERROR(AVERAGEIFS(timeseries_access_key_fqeas14oitk235763mntlb1c0brnk9w3fenzqbk313q5kvxyf52kukw1pa[Column1],timeseries_access_key_fqeas14oitk235763mntlb1c0brnk9w3fenzqbk313q5kvxyf52kukw1pa[Month],MONTH(Data!$A750),timeseries_access_key_fqeas14oitk235763mntlb1c0brnk9w3fenzqbk313q5kvxyf52kukw1pa[Year],YEAR(Data!$A750)),"")</f>
        <v/>
      </c>
      <c r="O750" s="8" t="str">
        <f>IFERROR(VLOOKUP($A750,Text_1_2[[Text.1.1.3]:[Text.1.3]],2,FALSE),"")</f>
        <v/>
      </c>
      <c r="P750" s="2"/>
    </row>
    <row r="751" spans="1:16" x14ac:dyDescent="0.25">
      <c r="A751" s="1">
        <v>43983</v>
      </c>
      <c r="B751">
        <f>HLOOKUP(Dashboard!$I$27,results,ROW(A751),FALSE)</f>
        <v>9.0909090909090939E-2</v>
      </c>
      <c r="C751">
        <f>IFERROR(VLOOKUP(A751,observations_series_id_PCU22112222112243_api_key_ecc133893ea92a842ee685c73424608[],2,FALSE),"")</f>
        <v>209.2</v>
      </c>
      <c r="D751" s="2">
        <f>IFERROR(VLOOKUP(A751,observations_series_id_PCU22112222112243_api_key_ecc133893ea92a842ee685c73424608[],3,FALSE),"")</f>
        <v>0.91682600382409174</v>
      </c>
      <c r="E751">
        <f>IFERROR(VLOOKUP($A751,observations_series_id_WPU0613020T_api_key_ecc133893ea92a842ee685c734246086_file[],2,FALSE),"")</f>
        <v>78.900000000000006</v>
      </c>
      <c r="F751" s="2">
        <f>IFERROR(VLOOKUP($A751,observations_series_id_WPU0613020T_api_key_ecc133893ea92a842ee685c734246086_file[],3,FALSE),"")</f>
        <v>-0.26742712294043081</v>
      </c>
      <c r="G751">
        <f>IFERROR(VLOOKUP($A751,observations_series_id_PCU22122212_api_key_ecc133893ea92a842ee685c734246086_file[],2,FALSE),"")</f>
        <v>110</v>
      </c>
      <c r="H751" s="2">
        <f>IFERROR(VLOOKUP($A751,observations_series_id_PCU22122212_api_key_ecc133893ea92a842ee685c734246086_file[],3,FALSE),"")</f>
        <v>9.0909090909090939E-2</v>
      </c>
      <c r="I751">
        <f>IFERROR(VLOOKUP($A751,observations_series_id_PCU3241913241910_api_key_ecc133893ea92a842ee685c734246086[],2,FALSE),"")</f>
        <v>486.5</v>
      </c>
      <c r="J751" s="2">
        <f>IFERROR(VLOOKUP($A751,observations_series_id_PCU3241913241910_api_key_ecc133893ea92a842ee685c734246086[],3,FALSE),"")</f>
        <v>0.89434737923946561</v>
      </c>
      <c r="K751">
        <f>IFERROR(VLOOKUP($A751,observations_series_id_EXJPUS_api_key_ecc133893ea92a842ee685c734246086_file_type[],2,FALSE),"")</f>
        <v>107.5782</v>
      </c>
      <c r="L751" s="2">
        <f>IFERROR(VLOOKUP($A751,observations_series_id_EXJPUS_api_key_ecc133893ea92a842ee685c734246086_file_type[],3,FALSE),"")</f>
        <v>-2.3279976798273254</v>
      </c>
      <c r="M751" t="str">
        <f>IFERROR(AVERAGEIFS(timeseries_access_key_fqeas14oitk235763mntlb1c0brnk9w3fenzqbk313q5kvxyf52kukw1pa[Value.LME-ZNC],timeseries_access_key_fqeas14oitk235763mntlb1c0brnk9w3fenzqbk313q5kvxyf52kukw1pa[Month],MONTH(Data!$A751),timeseries_access_key_fqeas14oitk235763mntlb1c0brnk9w3fenzqbk313q5kvxyf52kukw1pa[Year],YEAR(Data!$A751)),"")</f>
        <v/>
      </c>
      <c r="N751" s="2" t="str">
        <f>IFERROR(AVERAGEIFS(timeseries_access_key_fqeas14oitk235763mntlb1c0brnk9w3fenzqbk313q5kvxyf52kukw1pa[Column1],timeseries_access_key_fqeas14oitk235763mntlb1c0brnk9w3fenzqbk313q5kvxyf52kukw1pa[Month],MONTH(Data!$A751),timeseries_access_key_fqeas14oitk235763mntlb1c0brnk9w3fenzqbk313q5kvxyf52kukw1pa[Year],YEAR(Data!$A751)),"")</f>
        <v/>
      </c>
      <c r="O751" s="8" t="str">
        <f>IFERROR(VLOOKUP($A751,Text_1_2[[Text.1.1.3]:[Text.1.3]],2,FALSE),"")</f>
        <v/>
      </c>
      <c r="P751" s="2"/>
    </row>
    <row r="752" spans="1:16" x14ac:dyDescent="0.25">
      <c r="A752" s="1">
        <v>44013</v>
      </c>
      <c r="B752">
        <f>HLOOKUP(Dashboard!$I$27,results,ROW(A752),FALSE)</f>
        <v>7.7490774907749138E-2</v>
      </c>
      <c r="C752">
        <f>IFERROR(VLOOKUP(A752,observations_series_id_PCU22112222112243_api_key_ecc133893ea92a842ee685c73424608[],2,FALSE),"")</f>
        <v>211.9</v>
      </c>
      <c r="D752" s="2">
        <f>IFERROR(VLOOKUP(A752,observations_series_id_PCU22112222112243_api_key_ecc133893ea92a842ee685c73424608[],3,FALSE),"")</f>
        <v>0.91788579518640867</v>
      </c>
      <c r="E752">
        <f>IFERROR(VLOOKUP($A752,observations_series_id_WPU0613020T_api_key_ecc133893ea92a842ee685c734246086_file[],2,FALSE),"")</f>
        <v>78.599999999999994</v>
      </c>
      <c r="F752" s="2">
        <f>IFERROR(VLOOKUP($A752,observations_series_id_WPU0613020T_api_key_ecc133893ea92a842ee685c734246086_file[],3,FALSE),"")</f>
        <v>-0.27226463104325704</v>
      </c>
      <c r="G752">
        <f>IFERROR(VLOOKUP($A752,observations_series_id_PCU22122212_api_key_ecc133893ea92a842ee685c734246086_file[],2,FALSE),"")</f>
        <v>108.4</v>
      </c>
      <c r="H752" s="2">
        <f>IFERROR(VLOOKUP($A752,observations_series_id_PCU22122212_api_key_ecc133893ea92a842ee685c734246086_file[],3,FALSE),"")</f>
        <v>7.7490774907749138E-2</v>
      </c>
      <c r="I752">
        <f>IFERROR(VLOOKUP($A752,observations_series_id_PCU3241913241910_api_key_ecc133893ea92a842ee685c734246086[],2,FALSE),"")</f>
        <v>483.4</v>
      </c>
      <c r="J752" s="2">
        <f>IFERROR(VLOOKUP($A752,observations_series_id_PCU3241913241910_api_key_ecc133893ea92a842ee685c734246086[],3,FALSE),"")</f>
        <v>0.8936698386429458</v>
      </c>
      <c r="K752">
        <f>IFERROR(VLOOKUP($A752,observations_series_id_EXJPUS_api_key_ecc133893ea92a842ee685c734246086_file_type[],2,FALSE),"")</f>
        <v>106.6818</v>
      </c>
      <c r="L752" s="2">
        <f>IFERROR(VLOOKUP($A752,observations_series_id_EXJPUS_api_key_ecc133893ea92a842ee685c734246086_file_type[],3,FALSE),"")</f>
        <v>-2.3559613729802082</v>
      </c>
      <c r="M752" t="str">
        <f>IFERROR(AVERAGEIFS(timeseries_access_key_fqeas14oitk235763mntlb1c0brnk9w3fenzqbk313q5kvxyf52kukw1pa[Value.LME-ZNC],timeseries_access_key_fqeas14oitk235763mntlb1c0brnk9w3fenzqbk313q5kvxyf52kukw1pa[Month],MONTH(Data!$A752),timeseries_access_key_fqeas14oitk235763mntlb1c0brnk9w3fenzqbk313q5kvxyf52kukw1pa[Year],YEAR(Data!$A752)),"")</f>
        <v/>
      </c>
      <c r="N752" s="2" t="str">
        <f>IFERROR(AVERAGEIFS(timeseries_access_key_fqeas14oitk235763mntlb1c0brnk9w3fenzqbk313q5kvxyf52kukw1pa[Column1],timeseries_access_key_fqeas14oitk235763mntlb1c0brnk9w3fenzqbk313q5kvxyf52kukw1pa[Month],MONTH(Data!$A752),timeseries_access_key_fqeas14oitk235763mntlb1c0brnk9w3fenzqbk313q5kvxyf52kukw1pa[Year],YEAR(Data!$A752)),"")</f>
        <v/>
      </c>
      <c r="O752" s="8">
        <f>IFERROR(VLOOKUP($A752,Text_1_2[[Text.1.1.3]:[Text.1.3]],2,FALSE),"")</f>
        <v>30200</v>
      </c>
      <c r="P752" s="2"/>
    </row>
    <row r="753" spans="1:16" x14ac:dyDescent="0.25">
      <c r="A753" s="1">
        <v>44044</v>
      </c>
      <c r="B753">
        <f>HLOOKUP(Dashboard!$I$27,results,ROW(A753),FALSE)</f>
        <v>0.10071942446043169</v>
      </c>
      <c r="C753">
        <f>IFERROR(VLOOKUP(A753,observations_series_id_PCU22112222112243_api_key_ecc133893ea92a842ee685c73424608[],2,FALSE),"")</f>
        <v>211.9</v>
      </c>
      <c r="D753" s="2">
        <f>IFERROR(VLOOKUP(A753,observations_series_id_PCU22112222112243_api_key_ecc133893ea92a842ee685c73424608[],3,FALSE),"")</f>
        <v>0.91788579518640867</v>
      </c>
      <c r="E753">
        <f>IFERROR(VLOOKUP($A753,observations_series_id_WPU0613020T_api_key_ecc133893ea92a842ee685c734246086_file[],2,FALSE),"")</f>
        <v>76.5</v>
      </c>
      <c r="F753" s="2">
        <f>IFERROR(VLOOKUP($A753,observations_series_id_WPU0613020T_api_key_ecc133893ea92a842ee685c734246086_file[],3,FALSE),"")</f>
        <v>-0.30718954248366015</v>
      </c>
      <c r="G753">
        <f>IFERROR(VLOOKUP($A753,observations_series_id_PCU22122212_api_key_ecc133893ea92a842ee685c734246086_file[],2,FALSE),"")</f>
        <v>111.2</v>
      </c>
      <c r="H753" s="2">
        <f>IFERROR(VLOOKUP($A753,observations_series_id_PCU22122212_api_key_ecc133893ea92a842ee685c734246086_file[],3,FALSE),"")</f>
        <v>0.10071942446043169</v>
      </c>
      <c r="I753">
        <f>IFERROR(VLOOKUP($A753,observations_series_id_PCU3241913241910_api_key_ecc133893ea92a842ee685c734246086[],2,FALSE),"")</f>
        <v>484.2</v>
      </c>
      <c r="J753" s="2">
        <f>IFERROR(VLOOKUP($A753,observations_series_id_PCU3241913241910_api_key_ecc133893ea92a842ee685c734246086[],3,FALSE),"")</f>
        <v>0.89384551838083437</v>
      </c>
      <c r="K753">
        <f>IFERROR(VLOOKUP($A753,observations_series_id_EXJPUS_api_key_ecc133893ea92a842ee685c734246086_file_type[],2,FALSE),"")</f>
        <v>106.0129</v>
      </c>
      <c r="L753" s="2">
        <f>IFERROR(VLOOKUP($A753,observations_series_id_EXJPUS_api_key_ecc133893ea92a842ee685c734246086_file_type[],3,FALSE),"")</f>
        <v>-2.3771361787103267</v>
      </c>
      <c r="M753" t="str">
        <f>IFERROR(AVERAGEIFS(timeseries_access_key_fqeas14oitk235763mntlb1c0brnk9w3fenzqbk313q5kvxyf52kukw1pa[Value.LME-ZNC],timeseries_access_key_fqeas14oitk235763mntlb1c0brnk9w3fenzqbk313q5kvxyf52kukw1pa[Month],MONTH(Data!$A753),timeseries_access_key_fqeas14oitk235763mntlb1c0brnk9w3fenzqbk313q5kvxyf52kukw1pa[Year],YEAR(Data!$A753)),"")</f>
        <v/>
      </c>
      <c r="N753" s="2" t="str">
        <f>IFERROR(AVERAGEIFS(timeseries_access_key_fqeas14oitk235763mntlb1c0brnk9w3fenzqbk313q5kvxyf52kukw1pa[Column1],timeseries_access_key_fqeas14oitk235763mntlb1c0brnk9w3fenzqbk313q5kvxyf52kukw1pa[Month],MONTH(Data!$A753),timeseries_access_key_fqeas14oitk235763mntlb1c0brnk9w3fenzqbk313q5kvxyf52kukw1pa[Year],YEAR(Data!$A753)),"")</f>
        <v/>
      </c>
      <c r="O753" s="8" t="str">
        <f>IFERROR(VLOOKUP($A753,Text_1_2[[Text.1.1.3]:[Text.1.3]],2,FALSE),"")</f>
        <v/>
      </c>
      <c r="P753" s="2"/>
    </row>
    <row r="754" spans="1:16" x14ac:dyDescent="0.25">
      <c r="A754" s="1">
        <v>44075</v>
      </c>
      <c r="B754">
        <f>HLOOKUP(Dashboard!$I$27,results,ROW(A754),FALSE)</f>
        <v>0.14310197086546705</v>
      </c>
      <c r="C754">
        <f>IFERROR(VLOOKUP(A754,observations_series_id_PCU22112222112243_api_key_ecc133893ea92a842ee685c73424608[],2,FALSE),"")</f>
        <v>214.1</v>
      </c>
      <c r="D754" s="2">
        <f>IFERROR(VLOOKUP(A754,observations_series_id_PCU22112222112243_api_key_ecc133893ea92a842ee685c73424608[],3,FALSE),"")</f>
        <v>0.91872956562354036</v>
      </c>
      <c r="E754">
        <f>IFERROR(VLOOKUP($A754,observations_series_id_WPU0613020T_api_key_ecc133893ea92a842ee685c734246086_file[],2,FALSE),"")</f>
        <v>76.099999999999994</v>
      </c>
      <c r="F754" s="2">
        <f>IFERROR(VLOOKUP($A754,observations_series_id_WPU0613020T_api_key_ecc133893ea92a842ee685c734246086_file[],3,FALSE),"")</f>
        <v>-0.31406044678055189</v>
      </c>
      <c r="G754">
        <f>IFERROR(VLOOKUP($A754,observations_series_id_PCU22122212_api_key_ecc133893ea92a842ee685c734246086_file[],2,FALSE),"")</f>
        <v>116.7</v>
      </c>
      <c r="H754" s="2">
        <f>IFERROR(VLOOKUP($A754,observations_series_id_PCU22122212_api_key_ecc133893ea92a842ee685c734246086_file[],3,FALSE),"")</f>
        <v>0.14310197086546705</v>
      </c>
      <c r="I754">
        <f>IFERROR(VLOOKUP($A754,observations_series_id_PCU3241913241910_api_key_ecc133893ea92a842ee685c734246086[],2,FALSE),"")</f>
        <v>484.4</v>
      </c>
      <c r="J754" s="2">
        <f>IFERROR(VLOOKUP($A754,observations_series_id_PCU3241913241910_api_key_ecc133893ea92a842ee685c734246086[],3,FALSE),"")</f>
        <v>0.89388934764657302</v>
      </c>
      <c r="K754">
        <f>IFERROR(VLOOKUP($A754,observations_series_id_EXJPUS_api_key_ecc133893ea92a842ee685c734246086_file_type[],2,FALSE),"")</f>
        <v>105.589</v>
      </c>
      <c r="L754" s="2">
        <f>IFERROR(VLOOKUP($A754,observations_series_id_EXJPUS_api_key_ecc133893ea92a842ee685c734246086_file_type[],3,FALSE),"")</f>
        <v>-2.3906941063936582</v>
      </c>
      <c r="M754" t="str">
        <f>IFERROR(AVERAGEIFS(timeseries_access_key_fqeas14oitk235763mntlb1c0brnk9w3fenzqbk313q5kvxyf52kukw1pa[Value.LME-ZNC],timeseries_access_key_fqeas14oitk235763mntlb1c0brnk9w3fenzqbk313q5kvxyf52kukw1pa[Month],MONTH(Data!$A754),timeseries_access_key_fqeas14oitk235763mntlb1c0brnk9w3fenzqbk313q5kvxyf52kukw1pa[Year],YEAR(Data!$A754)),"")</f>
        <v/>
      </c>
      <c r="N754" s="2" t="str">
        <f>IFERROR(AVERAGEIFS(timeseries_access_key_fqeas14oitk235763mntlb1c0brnk9w3fenzqbk313q5kvxyf52kukw1pa[Column1],timeseries_access_key_fqeas14oitk235763mntlb1c0brnk9w3fenzqbk313q5kvxyf52kukw1pa[Month],MONTH(Data!$A754),timeseries_access_key_fqeas14oitk235763mntlb1c0brnk9w3fenzqbk313q5kvxyf52kukw1pa[Year],YEAR(Data!$A754)),"")</f>
        <v/>
      </c>
      <c r="O754" s="8" t="str">
        <f>IFERROR(VLOOKUP($A754,Text_1_2[[Text.1.1.3]:[Text.1.3]],2,FALSE),"")</f>
        <v/>
      </c>
      <c r="P754" s="2"/>
    </row>
    <row r="755" spans="1:16" x14ac:dyDescent="0.25">
      <c r="A755" s="1">
        <v>44105</v>
      </c>
      <c r="B755">
        <f>HLOOKUP(Dashboard!$I$27,results,ROW(A755),FALSE)</f>
        <v>0.21568627450980393</v>
      </c>
      <c r="C755">
        <f>IFERROR(VLOOKUP(A755,observations_series_id_PCU22112222112243_api_key_ecc133893ea92a842ee685c73424608[],2,FALSE),"")</f>
        <v>197.6</v>
      </c>
      <c r="D755" s="2">
        <f>IFERROR(VLOOKUP(A755,observations_series_id_PCU22112222112243_api_key_ecc133893ea92a842ee685c73424608[],3,FALSE),"")</f>
        <v>0.91194331983805665</v>
      </c>
      <c r="E755">
        <f>IFERROR(VLOOKUP($A755,observations_series_id_WPU0613020T_api_key_ecc133893ea92a842ee685c734246086_file[],2,FALSE),"")</f>
        <v>76.400000000000006</v>
      </c>
      <c r="F755" s="2">
        <f>IFERROR(VLOOKUP($A755,observations_series_id_WPU0613020T_api_key_ecc133893ea92a842ee685c734246086_file[],3,FALSE),"")</f>
        <v>-0.30890052356020936</v>
      </c>
      <c r="G755">
        <f>IFERROR(VLOOKUP($A755,observations_series_id_PCU22122212_api_key_ecc133893ea92a842ee685c734246086_file[],2,FALSE),"")</f>
        <v>127.5</v>
      </c>
      <c r="H755" s="2">
        <f>IFERROR(VLOOKUP($A755,observations_series_id_PCU22122212_api_key_ecc133893ea92a842ee685c734246086_file[],3,FALSE),"")</f>
        <v>0.21568627450980393</v>
      </c>
      <c r="I755">
        <f>IFERROR(VLOOKUP($A755,observations_series_id_PCU3241913241910_api_key_ecc133893ea92a842ee685c734246086[],2,FALSE),"")</f>
        <v>484.5</v>
      </c>
      <c r="J755" s="2">
        <f>IFERROR(VLOOKUP($A755,observations_series_id_PCU3241913241910_api_key_ecc133893ea92a842ee685c734246086[],3,FALSE),"")</f>
        <v>0.89391124871001026</v>
      </c>
      <c r="K755">
        <f>IFERROR(VLOOKUP($A755,observations_series_id_EXJPUS_api_key_ecc133893ea92a842ee685c734246086_file_type[],2,FALSE),"")</f>
        <v>105.20950000000001</v>
      </c>
      <c r="L755" s="2">
        <f>IFERROR(VLOOKUP($A755,observations_series_id_EXJPUS_api_key_ecc133893ea92a842ee685c734246086_file_type[],3,FALSE),"")</f>
        <v>-2.4029246408356655</v>
      </c>
      <c r="M755" t="str">
        <f>IFERROR(AVERAGEIFS(timeseries_access_key_fqeas14oitk235763mntlb1c0brnk9w3fenzqbk313q5kvxyf52kukw1pa[Value.LME-ZNC],timeseries_access_key_fqeas14oitk235763mntlb1c0brnk9w3fenzqbk313q5kvxyf52kukw1pa[Month],MONTH(Data!$A755),timeseries_access_key_fqeas14oitk235763mntlb1c0brnk9w3fenzqbk313q5kvxyf52kukw1pa[Year],YEAR(Data!$A755)),"")</f>
        <v/>
      </c>
      <c r="N755" s="2" t="str">
        <f>IFERROR(AVERAGEIFS(timeseries_access_key_fqeas14oitk235763mntlb1c0brnk9w3fenzqbk313q5kvxyf52kukw1pa[Column1],timeseries_access_key_fqeas14oitk235763mntlb1c0brnk9w3fenzqbk313q5kvxyf52kukw1pa[Month],MONTH(Data!$A755),timeseries_access_key_fqeas14oitk235763mntlb1c0brnk9w3fenzqbk313q5kvxyf52kukw1pa[Year],YEAR(Data!$A755)),"")</f>
        <v/>
      </c>
      <c r="O755" s="8">
        <f>IFERROR(VLOOKUP($A755,Text_1_2[[Text.1.1.3]:[Text.1.3]],2,FALSE),"")</f>
        <v>31300</v>
      </c>
      <c r="P755" s="2"/>
    </row>
    <row r="756" spans="1:16" x14ac:dyDescent="0.25">
      <c r="A756" s="1">
        <v>44136</v>
      </c>
      <c r="B756">
        <f>HLOOKUP(Dashboard!$I$27,results,ROW(A756),FALSE)</f>
        <v>0.26470588235294112</v>
      </c>
      <c r="C756">
        <f>IFERROR(VLOOKUP(A756,observations_series_id_PCU22112222112243_api_key_ecc133893ea92a842ee685c73424608[],2,FALSE),"")</f>
        <v>194.9</v>
      </c>
      <c r="D756" s="2">
        <f>IFERROR(VLOOKUP(A756,observations_series_id_PCU22112222112243_api_key_ecc133893ea92a842ee685c73424608[],3,FALSE),"")</f>
        <v>0.91072344792201132</v>
      </c>
      <c r="E756">
        <f>IFERROR(VLOOKUP($A756,observations_series_id_WPU0613020T_api_key_ecc133893ea92a842ee685c734246086_file[],2,FALSE),"")</f>
        <v>76.599999999999994</v>
      </c>
      <c r="F756" s="2">
        <f>IFERROR(VLOOKUP($A756,observations_series_id_WPU0613020T_api_key_ecc133893ea92a842ee685c734246086_file[],3,FALSE),"")</f>
        <v>-0.30548302872062671</v>
      </c>
      <c r="G756">
        <f>IFERROR(VLOOKUP($A756,observations_series_id_PCU22122212_api_key_ecc133893ea92a842ee685c734246086_file[],2,FALSE),"")</f>
        <v>136</v>
      </c>
      <c r="H756" s="2">
        <f>IFERROR(VLOOKUP($A756,observations_series_id_PCU22122212_api_key_ecc133893ea92a842ee685c734246086_file[],3,FALSE),"")</f>
        <v>0.26470588235294112</v>
      </c>
      <c r="I756">
        <f>IFERROR(VLOOKUP($A756,observations_series_id_PCU3241913241910_api_key_ecc133893ea92a842ee685c734246086[],2,FALSE),"")</f>
        <v>486.7</v>
      </c>
      <c r="J756" s="2">
        <f>IFERROR(VLOOKUP($A756,observations_series_id_PCU3241913241910_api_key_ecc133893ea92a842ee685c734246086[],3,FALSE),"")</f>
        <v>0.89439079515101705</v>
      </c>
      <c r="K756">
        <f>IFERROR(VLOOKUP($A756,observations_series_id_EXJPUS_api_key_ecc133893ea92a842ee685c734246086_file_type[],2,FALSE),"")</f>
        <v>104.4061</v>
      </c>
      <c r="L756" s="2">
        <f>IFERROR(VLOOKUP($A756,observations_series_id_EXJPUS_api_key_ecc133893ea92a842ee685c734246086_file_type[],3,FALSE),"")</f>
        <v>-2.4291099849529862</v>
      </c>
      <c r="M756" t="str">
        <f>IFERROR(AVERAGEIFS(timeseries_access_key_fqeas14oitk235763mntlb1c0brnk9w3fenzqbk313q5kvxyf52kukw1pa[Value.LME-ZNC],timeseries_access_key_fqeas14oitk235763mntlb1c0brnk9w3fenzqbk313q5kvxyf52kukw1pa[Month],MONTH(Data!$A756),timeseries_access_key_fqeas14oitk235763mntlb1c0brnk9w3fenzqbk313q5kvxyf52kukw1pa[Year],YEAR(Data!$A756)),"")</f>
        <v/>
      </c>
      <c r="N756" s="2" t="str">
        <f>IFERROR(AVERAGEIFS(timeseries_access_key_fqeas14oitk235763mntlb1c0brnk9w3fenzqbk313q5kvxyf52kukw1pa[Column1],timeseries_access_key_fqeas14oitk235763mntlb1c0brnk9w3fenzqbk313q5kvxyf52kukw1pa[Month],MONTH(Data!$A756),timeseries_access_key_fqeas14oitk235763mntlb1c0brnk9w3fenzqbk313q5kvxyf52kukw1pa[Year],YEAR(Data!$A756)),"")</f>
        <v/>
      </c>
      <c r="O756" s="8" t="str">
        <f>IFERROR(VLOOKUP($A756,Text_1_2[[Text.1.1.3]:[Text.1.3]],2,FALSE),"")</f>
        <v/>
      </c>
      <c r="P756" s="2"/>
    </row>
    <row r="757" spans="1:16" x14ac:dyDescent="0.25">
      <c r="A757" s="1">
        <v>44166</v>
      </c>
      <c r="B757">
        <f>HLOOKUP(Dashboard!$I$27,results,ROW(A757),FALSE)</f>
        <v>0.23195084485407058</v>
      </c>
      <c r="C757">
        <f>IFERROR(VLOOKUP(A757,observations_series_id_PCU22112222112243_api_key_ecc133893ea92a842ee685c73424608[],2,FALSE),"")</f>
        <v>194.6</v>
      </c>
      <c r="D757" s="2">
        <f>IFERROR(VLOOKUP(A757,observations_series_id_PCU22112222112243_api_key_ecc133893ea92a842ee685c73424608[],3,FALSE),"")</f>
        <v>0.91058581706063724</v>
      </c>
      <c r="E757">
        <f>IFERROR(VLOOKUP($A757,observations_series_id_WPU0613020T_api_key_ecc133893ea92a842ee685c734246086_file[],2,FALSE),"")</f>
        <v>77.400000000000006</v>
      </c>
      <c r="F757" s="2">
        <f>IFERROR(VLOOKUP($A757,observations_series_id_WPU0613020T_api_key_ecc133893ea92a842ee685c734246086_file[],3,FALSE),"")</f>
        <v>-0.29198966408268734</v>
      </c>
      <c r="G757">
        <f>IFERROR(VLOOKUP($A757,observations_series_id_PCU22122212_api_key_ecc133893ea92a842ee685c734246086_file[],2,FALSE),"")</f>
        <v>130.19999999999999</v>
      </c>
      <c r="H757" s="2">
        <f>IFERROR(VLOOKUP($A757,observations_series_id_PCU22122212_api_key_ecc133893ea92a842ee685c734246086_file[],3,FALSE),"")</f>
        <v>0.23195084485407058</v>
      </c>
      <c r="I757">
        <f>IFERROR(VLOOKUP($A757,observations_series_id_PCU3241913241910_api_key_ecc133893ea92a842ee685c734246086[],2,FALSE),"")</f>
        <v>486.3</v>
      </c>
      <c r="J757" s="2">
        <f>IFERROR(VLOOKUP($A757,observations_series_id_PCU3241913241910_api_key_ecc133893ea92a842ee685c734246086[],3,FALSE),"")</f>
        <v>0.89430392761669752</v>
      </c>
      <c r="K757">
        <f>IFERROR(VLOOKUP($A757,observations_series_id_EXJPUS_api_key_ecc133893ea92a842ee685c734246086_file_type[],2,FALSE),"")</f>
        <v>103.79519999999999</v>
      </c>
      <c r="L757" s="2">
        <f>IFERROR(VLOOKUP($A757,observations_series_id_EXJPUS_api_key_ecc133893ea92a842ee685c734246086_file_type[],3,FALSE),"")</f>
        <v>-2.4492924528301887</v>
      </c>
      <c r="M757" t="str">
        <f>IFERROR(AVERAGEIFS(timeseries_access_key_fqeas14oitk235763mntlb1c0brnk9w3fenzqbk313q5kvxyf52kukw1pa[Value.LME-ZNC],timeseries_access_key_fqeas14oitk235763mntlb1c0brnk9w3fenzqbk313q5kvxyf52kukw1pa[Month],MONTH(Data!$A757),timeseries_access_key_fqeas14oitk235763mntlb1c0brnk9w3fenzqbk313q5kvxyf52kukw1pa[Year],YEAR(Data!$A757)),"")</f>
        <v/>
      </c>
      <c r="N757" s="2" t="str">
        <f>IFERROR(AVERAGEIFS(timeseries_access_key_fqeas14oitk235763mntlb1c0brnk9w3fenzqbk313q5kvxyf52kukw1pa[Column1],timeseries_access_key_fqeas14oitk235763mntlb1c0brnk9w3fenzqbk313q5kvxyf52kukw1pa[Month],MONTH(Data!$A757),timeseries_access_key_fqeas14oitk235763mntlb1c0brnk9w3fenzqbk313q5kvxyf52kukw1pa[Year],YEAR(Data!$A757)),"")</f>
        <v/>
      </c>
      <c r="O757" s="8" t="str">
        <f>IFERROR(VLOOKUP($A757,Text_1_2[[Text.1.1.3]:[Text.1.3]],2,FALSE),"")</f>
        <v/>
      </c>
      <c r="P757" s="2"/>
    </row>
    <row r="758" spans="1:16" x14ac:dyDescent="0.25">
      <c r="A758" s="1">
        <v>44197</v>
      </c>
      <c r="B758">
        <f>HLOOKUP(Dashboard!$I$27,results,ROW(A758),FALSE)</f>
        <v>0.17695473251028804</v>
      </c>
      <c r="C758">
        <f>IFERROR(VLOOKUP(A758,observations_series_id_PCU22112222112243_api_key_ecc133893ea92a842ee685c73424608[],2,FALSE),"")</f>
        <v>196.1</v>
      </c>
      <c r="D758" s="2">
        <f>IFERROR(VLOOKUP(A758,observations_series_id_PCU22112222112243_api_key_ecc133893ea92a842ee685c73424608[],3,FALSE),"")</f>
        <v>0.91126976032636409</v>
      </c>
      <c r="E758">
        <f>IFERROR(VLOOKUP($A758,observations_series_id_WPU0613020T_api_key_ecc133893ea92a842ee685c734246086_file[],2,FALSE),"")</f>
        <v>77.5</v>
      </c>
      <c r="F758" s="2">
        <f>IFERROR(VLOOKUP($A758,observations_series_id_WPU0613020T_api_key_ecc133893ea92a842ee685c734246086_file[],3,FALSE),"")</f>
        <v>-0.29032258064516125</v>
      </c>
      <c r="G758">
        <f>IFERROR(VLOOKUP($A758,observations_series_id_PCU22122212_api_key_ecc133893ea92a842ee685c734246086_file[],2,FALSE),"")</f>
        <v>121.5</v>
      </c>
      <c r="H758" s="2">
        <f>IFERROR(VLOOKUP($A758,observations_series_id_PCU22122212_api_key_ecc133893ea92a842ee685c734246086_file[],3,FALSE),"")</f>
        <v>0.17695473251028804</v>
      </c>
      <c r="I758">
        <f>IFERROR(VLOOKUP($A758,observations_series_id_PCU3241913241910_api_key_ecc133893ea92a842ee685c734246086[],2,FALSE),"")</f>
        <v>489.5</v>
      </c>
      <c r="J758" s="2">
        <f>IFERROR(VLOOKUP($A758,observations_series_id_PCU3241913241910_api_key_ecc133893ea92a842ee685c734246086[],3,FALSE),"")</f>
        <v>0.89499489274770172</v>
      </c>
      <c r="K758">
        <f>IFERROR(VLOOKUP($A758,observations_series_id_EXJPUS_api_key_ecc133893ea92a842ee685c734246086_file_type[],2,FALSE),"")</f>
        <v>103.78830000000001</v>
      </c>
      <c r="L758" s="2">
        <f>IFERROR(VLOOKUP($A758,observations_series_id_EXJPUS_api_key_ecc133893ea92a842ee685c734246086_file_type[],3,FALSE),"")</f>
        <v>-2.4495217669043616</v>
      </c>
      <c r="M758" t="str">
        <f>IFERROR(AVERAGEIFS(timeseries_access_key_fqeas14oitk235763mntlb1c0brnk9w3fenzqbk313q5kvxyf52kukw1pa[Value.LME-ZNC],timeseries_access_key_fqeas14oitk235763mntlb1c0brnk9w3fenzqbk313q5kvxyf52kukw1pa[Month],MONTH(Data!$A758),timeseries_access_key_fqeas14oitk235763mntlb1c0brnk9w3fenzqbk313q5kvxyf52kukw1pa[Year],YEAR(Data!$A758)),"")</f>
        <v/>
      </c>
      <c r="N758" s="2" t="str">
        <f>IFERROR(AVERAGEIFS(timeseries_access_key_fqeas14oitk235763mntlb1c0brnk9w3fenzqbk313q5kvxyf52kukw1pa[Column1],timeseries_access_key_fqeas14oitk235763mntlb1c0brnk9w3fenzqbk313q5kvxyf52kukw1pa[Month],MONTH(Data!$A758),timeseries_access_key_fqeas14oitk235763mntlb1c0brnk9w3fenzqbk313q5kvxyf52kukw1pa[Year],YEAR(Data!$A758)),"")</f>
        <v/>
      </c>
      <c r="O758" s="8">
        <f>IFERROR(VLOOKUP($A758,Text_1_2[[Text.1.1.3]:[Text.1.3]],2,FALSE),"")</f>
        <v>38800</v>
      </c>
      <c r="P758" s="2"/>
    </row>
    <row r="759" spans="1:16" x14ac:dyDescent="0.25">
      <c r="A759" s="1">
        <v>44228</v>
      </c>
      <c r="B759">
        <f>HLOOKUP(Dashboard!$I$27,results,ROW(A759),FALSE)</f>
        <v>0.19093851132686079</v>
      </c>
      <c r="C759">
        <f>IFERROR(VLOOKUP(A759,observations_series_id_PCU22112222112243_api_key_ecc133893ea92a842ee685c73424608[],2,FALSE),"")</f>
        <v>196.6</v>
      </c>
      <c r="D759" s="2">
        <f>IFERROR(VLOOKUP(A759,observations_series_id_PCU22112222112243_api_key_ecc133893ea92a842ee685c73424608[],3,FALSE),"")</f>
        <v>0.91149542217700918</v>
      </c>
      <c r="E759">
        <f>IFERROR(VLOOKUP($A759,observations_series_id_WPU0613020T_api_key_ecc133893ea92a842ee685c734246086_file[],2,FALSE),"")</f>
        <v>79.8</v>
      </c>
      <c r="F759" s="2">
        <f>IFERROR(VLOOKUP($A759,observations_series_id_WPU0613020T_api_key_ecc133893ea92a842ee685c734246086_file[],3,FALSE),"")</f>
        <v>-0.25313283208020065</v>
      </c>
      <c r="G759">
        <f>IFERROR(VLOOKUP($A759,observations_series_id_PCU22122212_api_key_ecc133893ea92a842ee685c734246086_file[],2,FALSE),"")</f>
        <v>123.6</v>
      </c>
      <c r="H759" s="2">
        <f>IFERROR(VLOOKUP($A759,observations_series_id_PCU22122212_api_key_ecc133893ea92a842ee685c734246086_file[],3,FALSE),"")</f>
        <v>0.19093851132686079</v>
      </c>
      <c r="I759">
        <f>IFERROR(VLOOKUP($A759,observations_series_id_PCU3241913241910_api_key_ecc133893ea92a842ee685c734246086[],2,FALSE),"")</f>
        <v>491.2</v>
      </c>
      <c r="J759" s="2">
        <f>IFERROR(VLOOKUP($A759,observations_series_id_PCU3241913241910_api_key_ecc133893ea92a842ee685c734246086[],3,FALSE),"")</f>
        <v>0.89535830618892509</v>
      </c>
      <c r="K759">
        <f>IFERROR(VLOOKUP($A759,observations_series_id_EXJPUS_api_key_ecc133893ea92a842ee685c734246086_file_type[],2,FALSE),"")</f>
        <v>105.37739999999999</v>
      </c>
      <c r="L759" s="2">
        <f>IFERROR(VLOOKUP($A759,observations_series_id_EXJPUS_api_key_ecc133893ea92a842ee685c734246086_file_type[],3,FALSE),"")</f>
        <v>-2.3975026903301848</v>
      </c>
      <c r="M759" t="str">
        <f>IFERROR(AVERAGEIFS(timeseries_access_key_fqeas14oitk235763mntlb1c0brnk9w3fenzqbk313q5kvxyf52kukw1pa[Value.LME-ZNC],timeseries_access_key_fqeas14oitk235763mntlb1c0brnk9w3fenzqbk313q5kvxyf52kukw1pa[Month],MONTH(Data!$A759),timeseries_access_key_fqeas14oitk235763mntlb1c0brnk9w3fenzqbk313q5kvxyf52kukw1pa[Year],YEAR(Data!$A759)),"")</f>
        <v/>
      </c>
      <c r="N759" s="2" t="str">
        <f>IFERROR(AVERAGEIFS(timeseries_access_key_fqeas14oitk235763mntlb1c0brnk9w3fenzqbk313q5kvxyf52kukw1pa[Column1],timeseries_access_key_fqeas14oitk235763mntlb1c0brnk9w3fenzqbk313q5kvxyf52kukw1pa[Month],MONTH(Data!$A759),timeseries_access_key_fqeas14oitk235763mntlb1c0brnk9w3fenzqbk313q5kvxyf52kukw1pa[Year],YEAR(Data!$A759)),"")</f>
        <v/>
      </c>
      <c r="O759" s="8" t="str">
        <f>IFERROR(VLOOKUP($A759,Text_1_2[[Text.1.1.3]:[Text.1.3]],2,FALSE),"")</f>
        <v/>
      </c>
      <c r="P759" s="2"/>
    </row>
    <row r="760" spans="1:16" x14ac:dyDescent="0.25">
      <c r="A760" s="1">
        <v>44256</v>
      </c>
      <c r="B760">
        <f>HLOOKUP(Dashboard!$I$27,results,ROW(A760),FALSE)</f>
        <v>0.20634920634920639</v>
      </c>
      <c r="C760">
        <f>IFERROR(VLOOKUP(A760,observations_series_id_PCU22112222112243_api_key_ecc133893ea92a842ee685c73424608[],2,FALSE),"")</f>
        <v>211.6</v>
      </c>
      <c r="D760" s="2">
        <f>IFERROR(VLOOKUP(A760,observations_series_id_PCU22112222112243_api_key_ecc133893ea92a842ee685c73424608[],3,FALSE),"")</f>
        <v>0.91776937618147447</v>
      </c>
      <c r="E760">
        <f>IFERROR(VLOOKUP($A760,observations_series_id_WPU0613020T_api_key_ecc133893ea92a842ee685c734246086_file[],2,FALSE),"")</f>
        <v>81</v>
      </c>
      <c r="F760" s="2">
        <f>IFERROR(VLOOKUP($A760,observations_series_id_WPU0613020T_api_key_ecc133893ea92a842ee685c734246086_file[],3,FALSE),"")</f>
        <v>-0.23456790123456783</v>
      </c>
      <c r="G760">
        <f>IFERROR(VLOOKUP($A760,observations_series_id_PCU22122212_api_key_ecc133893ea92a842ee685c734246086_file[],2,FALSE),"")</f>
        <v>126</v>
      </c>
      <c r="H760" s="2">
        <f>IFERROR(VLOOKUP($A760,observations_series_id_PCU22122212_api_key_ecc133893ea92a842ee685c734246086_file[],3,FALSE),"")</f>
        <v>0.20634920634920639</v>
      </c>
      <c r="I760">
        <f>IFERROR(VLOOKUP($A760,observations_series_id_PCU3241913241910_api_key_ecc133893ea92a842ee685c734246086[],2,FALSE),"")</f>
        <v>502.2</v>
      </c>
      <c r="J760" s="2">
        <f>IFERROR(VLOOKUP($A760,observations_series_id_PCU3241913241910_api_key_ecc133893ea92a842ee685c734246086[],3,FALSE),"")</f>
        <v>0.89765033851055354</v>
      </c>
      <c r="K760">
        <f>IFERROR(VLOOKUP($A760,observations_series_id_EXJPUS_api_key_ecc133893ea92a842ee685c734246086_file_type[],2,FALSE),"")</f>
        <v>108.6991</v>
      </c>
      <c r="L760" s="2">
        <f>IFERROR(VLOOKUP($A760,observations_series_id_EXJPUS_api_key_ecc133893ea92a842ee685c734246086_file_type[],3,FALSE),"")</f>
        <v>-2.2936795244854831</v>
      </c>
      <c r="M760" t="str">
        <f>IFERROR(AVERAGEIFS(timeseries_access_key_fqeas14oitk235763mntlb1c0brnk9w3fenzqbk313q5kvxyf52kukw1pa[Value.LME-ZNC],timeseries_access_key_fqeas14oitk235763mntlb1c0brnk9w3fenzqbk313q5kvxyf52kukw1pa[Month],MONTH(Data!$A760),timeseries_access_key_fqeas14oitk235763mntlb1c0brnk9w3fenzqbk313q5kvxyf52kukw1pa[Year],YEAR(Data!$A760)),"")</f>
        <v/>
      </c>
      <c r="N760" s="2" t="str">
        <f>IFERROR(AVERAGEIFS(timeseries_access_key_fqeas14oitk235763mntlb1c0brnk9w3fenzqbk313q5kvxyf52kukw1pa[Column1],timeseries_access_key_fqeas14oitk235763mntlb1c0brnk9w3fenzqbk313q5kvxyf52kukw1pa[Month],MONTH(Data!$A760),timeseries_access_key_fqeas14oitk235763mntlb1c0brnk9w3fenzqbk313q5kvxyf52kukw1pa[Year],YEAR(Data!$A760)),"")</f>
        <v/>
      </c>
      <c r="O760" s="8" t="str">
        <f>IFERROR(VLOOKUP($A760,Text_1_2[[Text.1.1.3]:[Text.1.3]],2,FALSE),"")</f>
        <v/>
      </c>
      <c r="P760" s="2"/>
    </row>
    <row r="761" spans="1:16" x14ac:dyDescent="0.25">
      <c r="A761" s="1">
        <v>44287</v>
      </c>
      <c r="B761">
        <f>HLOOKUP(Dashboard!$I$27,results,ROW(A761),FALSE)</f>
        <v>0.21691464369616287</v>
      </c>
      <c r="C761">
        <f>IFERROR(VLOOKUP(A761,observations_series_id_PCU22112222112243_api_key_ecc133893ea92a842ee685c73424608[],2,FALSE),"")</f>
        <v>198.1</v>
      </c>
      <c r="D761" s="2">
        <f>IFERROR(VLOOKUP(A761,observations_series_id_PCU22112222112243_api_key_ecc133893ea92a842ee685c73424608[],3,FALSE),"")</f>
        <v>0.91216557294295808</v>
      </c>
      <c r="E761">
        <f>IFERROR(VLOOKUP($A761,observations_series_id_WPU0613020T_api_key_ecc133893ea92a842ee685c734246086_file[],2,FALSE),"")</f>
        <v>82.9</v>
      </c>
      <c r="F761" s="2">
        <f>IFERROR(VLOOKUP($A761,observations_series_id_WPU0613020T_api_key_ecc133893ea92a842ee685c734246086_file[],3,FALSE),"")</f>
        <v>-0.20627261761158011</v>
      </c>
      <c r="G761">
        <f>IFERROR(VLOOKUP($A761,observations_series_id_PCU22122212_api_key_ecc133893ea92a842ee685c734246086_file[],2,FALSE),"")</f>
        <v>127.7</v>
      </c>
      <c r="H761" s="2">
        <f>IFERROR(VLOOKUP($A761,observations_series_id_PCU22122212_api_key_ecc133893ea92a842ee685c734246086_file[],3,FALSE),"")</f>
        <v>0.21691464369616287</v>
      </c>
      <c r="I761">
        <f>IFERROR(VLOOKUP($A761,observations_series_id_PCU3241913241910_api_key_ecc133893ea92a842ee685c734246086[],2,FALSE),"")</f>
        <v>514.5</v>
      </c>
      <c r="J761" s="2">
        <f>IFERROR(VLOOKUP($A761,observations_series_id_PCU3241913241910_api_key_ecc133893ea92a842ee685c734246086[],3,FALSE),"")</f>
        <v>0.90009718172983477</v>
      </c>
      <c r="K761">
        <f>IFERROR(VLOOKUP($A761,observations_series_id_EXJPUS_api_key_ecc133893ea92a842ee685c734246086_file_type[],2,FALSE),"")</f>
        <v>109.0445</v>
      </c>
      <c r="L761" s="2">
        <f>IFERROR(VLOOKUP($A761,observations_series_id_EXJPUS_api_key_ecc133893ea92a842ee685c734246086_file_type[],3,FALSE),"")</f>
        <v>-2.2832467478873304</v>
      </c>
      <c r="M761" t="str">
        <f>IFERROR(AVERAGEIFS(timeseries_access_key_fqeas14oitk235763mntlb1c0brnk9w3fenzqbk313q5kvxyf52kukw1pa[Value.LME-ZNC],timeseries_access_key_fqeas14oitk235763mntlb1c0brnk9w3fenzqbk313q5kvxyf52kukw1pa[Month],MONTH(Data!$A761),timeseries_access_key_fqeas14oitk235763mntlb1c0brnk9w3fenzqbk313q5kvxyf52kukw1pa[Year],YEAR(Data!$A761)),"")</f>
        <v/>
      </c>
      <c r="N761" s="2" t="str">
        <f>IFERROR(AVERAGEIFS(timeseries_access_key_fqeas14oitk235763mntlb1c0brnk9w3fenzqbk313q5kvxyf52kukw1pa[Column1],timeseries_access_key_fqeas14oitk235763mntlb1c0brnk9w3fenzqbk313q5kvxyf52kukw1pa[Month],MONTH(Data!$A761),timeseries_access_key_fqeas14oitk235763mntlb1c0brnk9w3fenzqbk313q5kvxyf52kukw1pa[Year],YEAR(Data!$A761)),"")</f>
        <v/>
      </c>
      <c r="O761" s="8">
        <f>IFERROR(VLOOKUP($A761,Text_1_2[[Text.1.1.3]:[Text.1.3]],2,FALSE),"")</f>
        <v>47700</v>
      </c>
      <c r="P761" s="2"/>
    </row>
    <row r="762" spans="1:16" x14ac:dyDescent="0.25">
      <c r="A762" s="1">
        <v>44317</v>
      </c>
      <c r="B762">
        <f>HLOOKUP(Dashboard!$I$27,results,ROW(A762),FALSE)</f>
        <v>0.28005759539236863</v>
      </c>
      <c r="C762">
        <f>IFERROR(VLOOKUP(A762,observations_series_id_PCU22112222112243_api_key_ecc133893ea92a842ee685c73424608[],2,FALSE),"")</f>
        <v>199.9</v>
      </c>
      <c r="D762" s="2">
        <f>IFERROR(VLOOKUP(A762,observations_series_id_PCU22112222112243_api_key_ecc133893ea92a842ee685c73424608[],3,FALSE),"")</f>
        <v>0.91295647823911952</v>
      </c>
      <c r="E762">
        <f>IFERROR(VLOOKUP($A762,observations_series_id_WPU0613020T_api_key_ecc133893ea92a842ee685c734246086_file[],2,FALSE),"")</f>
        <v>98.7</v>
      </c>
      <c r="F762" s="2">
        <f>IFERROR(VLOOKUP($A762,observations_series_id_WPU0613020T_api_key_ecc133893ea92a842ee685c734246086_file[],3,FALSE),"")</f>
        <v>-1.3171225937183451E-2</v>
      </c>
      <c r="G762">
        <f>IFERROR(VLOOKUP($A762,observations_series_id_PCU22122212_api_key_ecc133893ea92a842ee685c734246086_file[],2,FALSE),"")</f>
        <v>138.9</v>
      </c>
      <c r="H762" s="2">
        <f>IFERROR(VLOOKUP($A762,observations_series_id_PCU22122212_api_key_ecc133893ea92a842ee685c734246086_file[],3,FALSE),"")</f>
        <v>0.28005759539236863</v>
      </c>
      <c r="I762">
        <f>IFERROR(VLOOKUP($A762,observations_series_id_PCU3241913241910_api_key_ecc133893ea92a842ee685c734246086[],2,FALSE),"")</f>
        <v>515.6</v>
      </c>
      <c r="J762" s="2">
        <f>IFERROR(VLOOKUP($A762,observations_series_id_PCU3241913241910_api_key_ecc133893ea92a842ee685c734246086[],3,FALSE),"")</f>
        <v>0.9003103180760279</v>
      </c>
      <c r="K762">
        <f>IFERROR(VLOOKUP($A762,observations_series_id_EXJPUS_api_key_ecc133893ea92a842ee685c734246086_file_type[],2,FALSE),"")</f>
        <v>109.11199999999999</v>
      </c>
      <c r="L762" s="2">
        <f>IFERROR(VLOOKUP($A762,observations_series_id_EXJPUS_api_key_ecc133893ea92a842ee685c734246086_file_type[],3,FALSE),"")</f>
        <v>-2.2812156316445487</v>
      </c>
      <c r="M762" t="str">
        <f>IFERROR(AVERAGEIFS(timeseries_access_key_fqeas14oitk235763mntlb1c0brnk9w3fenzqbk313q5kvxyf52kukw1pa[Value.LME-ZNC],timeseries_access_key_fqeas14oitk235763mntlb1c0brnk9w3fenzqbk313q5kvxyf52kukw1pa[Month],MONTH(Data!$A762),timeseries_access_key_fqeas14oitk235763mntlb1c0brnk9w3fenzqbk313q5kvxyf52kukw1pa[Year],YEAR(Data!$A762)),"")</f>
        <v/>
      </c>
      <c r="N762" s="2" t="str">
        <f>IFERROR(AVERAGEIFS(timeseries_access_key_fqeas14oitk235763mntlb1c0brnk9w3fenzqbk313q5kvxyf52kukw1pa[Column1],timeseries_access_key_fqeas14oitk235763mntlb1c0brnk9w3fenzqbk313q5kvxyf52kukw1pa[Month],MONTH(Data!$A762),timeseries_access_key_fqeas14oitk235763mntlb1c0brnk9w3fenzqbk313q5kvxyf52kukw1pa[Year],YEAR(Data!$A762)),"")</f>
        <v/>
      </c>
      <c r="O762" s="8" t="str">
        <f>IFERROR(VLOOKUP($A762,Text_1_2[[Text.1.1.3]:[Text.1.3]],2,FALSE),"")</f>
        <v/>
      </c>
      <c r="P762" s="2"/>
    </row>
    <row r="763" spans="1:16" x14ac:dyDescent="0.25">
      <c r="A763" s="1">
        <v>44348</v>
      </c>
      <c r="B763">
        <f>HLOOKUP(Dashboard!$I$27,results,ROW(A763),FALSE)</f>
        <v>0.2548435171385991</v>
      </c>
      <c r="C763">
        <f>IFERROR(VLOOKUP(A763,observations_series_id_PCU22112222112243_api_key_ecc133893ea92a842ee685c73424608[],2,FALSE),"")</f>
        <v>217.1</v>
      </c>
      <c r="D763" s="2">
        <f>IFERROR(VLOOKUP(A763,observations_series_id_PCU22112222112243_api_key_ecc133893ea92a842ee685c73424608[],3,FALSE),"")</f>
        <v>0.91985260248733303</v>
      </c>
      <c r="E763">
        <f>IFERROR(VLOOKUP($A763,observations_series_id_WPU0613020T_api_key_ecc133893ea92a842ee685c734246086_file[],2,FALSE),"")</f>
        <v>101.6</v>
      </c>
      <c r="F763" s="2">
        <f>IFERROR(VLOOKUP($A763,observations_series_id_WPU0613020T_api_key_ecc133893ea92a842ee685c734246086_file[],3,FALSE),"")</f>
        <v>1.5748031496062964E-2</v>
      </c>
      <c r="G763">
        <f>IFERROR(VLOOKUP($A763,observations_series_id_PCU22122212_api_key_ecc133893ea92a842ee685c734246086_file[],2,FALSE),"")</f>
        <v>134.19999999999999</v>
      </c>
      <c r="H763" s="2">
        <f>IFERROR(VLOOKUP($A763,observations_series_id_PCU22122212_api_key_ecc133893ea92a842ee685c734246086_file[],3,FALSE),"")</f>
        <v>0.2548435171385991</v>
      </c>
      <c r="I763">
        <f>IFERROR(VLOOKUP($A763,observations_series_id_PCU3241913241910_api_key_ecc133893ea92a842ee685c734246086[],2,FALSE),"")</f>
        <v>518.6</v>
      </c>
      <c r="J763" s="2">
        <f>IFERROR(VLOOKUP($A763,observations_series_id_PCU3241913241910_api_key_ecc133893ea92a842ee685c734246086[],3,FALSE),"")</f>
        <v>0.90088700347088313</v>
      </c>
      <c r="K763">
        <f>IFERROR(VLOOKUP($A763,observations_series_id_EXJPUS_api_key_ecc133893ea92a842ee685c734246086_file_type[],2,FALSE),"")</f>
        <v>110.1073</v>
      </c>
      <c r="L763" s="2">
        <f>IFERROR(VLOOKUP($A763,observations_series_id_EXJPUS_api_key_ecc133893ea92a842ee685c734246086_file_type[],3,FALSE),"")</f>
        <v>-2.2515555281075823</v>
      </c>
      <c r="M763" t="str">
        <f>IFERROR(AVERAGEIFS(timeseries_access_key_fqeas14oitk235763mntlb1c0brnk9w3fenzqbk313q5kvxyf52kukw1pa[Value.LME-ZNC],timeseries_access_key_fqeas14oitk235763mntlb1c0brnk9w3fenzqbk313q5kvxyf52kukw1pa[Month],MONTH(Data!$A763),timeseries_access_key_fqeas14oitk235763mntlb1c0brnk9w3fenzqbk313q5kvxyf52kukw1pa[Year],YEAR(Data!$A763)),"")</f>
        <v/>
      </c>
      <c r="N763" s="2" t="str">
        <f>IFERROR(AVERAGEIFS(timeseries_access_key_fqeas14oitk235763mntlb1c0brnk9w3fenzqbk313q5kvxyf52kukw1pa[Column1],timeseries_access_key_fqeas14oitk235763mntlb1c0brnk9w3fenzqbk313q5kvxyf52kukw1pa[Month],MONTH(Data!$A763),timeseries_access_key_fqeas14oitk235763mntlb1c0brnk9w3fenzqbk313q5kvxyf52kukw1pa[Year],YEAR(Data!$A763)),"")</f>
        <v/>
      </c>
      <c r="O763" s="8" t="str">
        <f>IFERROR(VLOOKUP($A763,Text_1_2[[Text.1.1.3]:[Text.1.3]],2,FALSE),"")</f>
        <v/>
      </c>
      <c r="P763" s="2"/>
    </row>
    <row r="764" spans="1:16" x14ac:dyDescent="0.25">
      <c r="A764" s="1">
        <v>44378</v>
      </c>
      <c r="B764">
        <f>HLOOKUP(Dashboard!$I$27,results,ROW(A764),FALSE)</f>
        <v>0.294353416035113</v>
      </c>
      <c r="C764">
        <f>IFERROR(VLOOKUP(A764,observations_series_id_PCU22112222112243_api_key_ecc133893ea92a842ee685c73424608[],2,FALSE),"")</f>
        <v>221.232</v>
      </c>
      <c r="D764" s="2">
        <f>IFERROR(VLOOKUP(A764,observations_series_id_PCU22112222112243_api_key_ecc133893ea92a842ee685c73424608[],3,FALSE),"")</f>
        <v>0.92134953352137128</v>
      </c>
      <c r="E764">
        <f>IFERROR(VLOOKUP($A764,observations_series_id_WPU0613020T_api_key_ecc133893ea92a842ee685c734246086_file[],2,FALSE),"")</f>
        <v>106.782</v>
      </c>
      <c r="F764" s="2">
        <f>IFERROR(VLOOKUP($A764,observations_series_id_WPU0613020T_api_key_ecc133893ea92a842ee685c734246086_file[],3,FALSE),"")</f>
        <v>6.3512577026090478E-2</v>
      </c>
      <c r="G764">
        <f>IFERROR(VLOOKUP($A764,observations_series_id_PCU22122212_api_key_ecc133893ea92a842ee685c734246086_file[],2,FALSE),"")</f>
        <v>141.714</v>
      </c>
      <c r="H764" s="2">
        <f>IFERROR(VLOOKUP($A764,observations_series_id_PCU22122212_api_key_ecc133893ea92a842ee685c734246086_file[],3,FALSE),"")</f>
        <v>0.294353416035113</v>
      </c>
      <c r="I764">
        <f>IFERROR(VLOOKUP($A764,observations_series_id_PCU3241913241910_api_key_ecc133893ea92a842ee685c734246086[],2,FALSE),"")</f>
        <v>527.17999999999995</v>
      </c>
      <c r="J764" s="2">
        <f>IFERROR(VLOOKUP($A764,observations_series_id_PCU3241913241910_api_key_ecc133893ea92a842ee685c734246086[],3,FALSE),"")</f>
        <v>0.90250009484426574</v>
      </c>
      <c r="K764">
        <f>IFERROR(VLOOKUP($A764,observations_series_id_EXJPUS_api_key_ecc133893ea92a842ee685c734246086_file_type[],2,FALSE),"")</f>
        <v>110.21429999999999</v>
      </c>
      <c r="L764" s="2">
        <f>IFERROR(VLOOKUP($A764,observations_series_id_EXJPUS_api_key_ecc133893ea92a842ee685c734246086_file_type[],3,FALSE),"")</f>
        <v>-2.2483988012444844</v>
      </c>
      <c r="M764" t="str">
        <f>IFERROR(AVERAGEIFS(timeseries_access_key_fqeas14oitk235763mntlb1c0brnk9w3fenzqbk313q5kvxyf52kukw1pa[Value.LME-ZNC],timeseries_access_key_fqeas14oitk235763mntlb1c0brnk9w3fenzqbk313q5kvxyf52kukw1pa[Month],MONTH(Data!$A764),timeseries_access_key_fqeas14oitk235763mntlb1c0brnk9w3fenzqbk313q5kvxyf52kukw1pa[Year],YEAR(Data!$A764)),"")</f>
        <v/>
      </c>
      <c r="N764" s="2" t="str">
        <f>IFERROR(AVERAGEIFS(timeseries_access_key_fqeas14oitk235763mntlb1c0brnk9w3fenzqbk313q5kvxyf52kukw1pa[Column1],timeseries_access_key_fqeas14oitk235763mntlb1c0brnk9w3fenzqbk313q5kvxyf52kukw1pa[Month],MONTH(Data!$A764),timeseries_access_key_fqeas14oitk235763mntlb1c0brnk9w3fenzqbk313q5kvxyf52kukw1pa[Year],YEAR(Data!$A764)),"")</f>
        <v/>
      </c>
      <c r="O764" s="8">
        <f>IFERROR(VLOOKUP($A764,Text_1_2[[Text.1.1.3]:[Text.1.3]],2,FALSE),"")</f>
        <v>53500</v>
      </c>
      <c r="P764" s="2"/>
    </row>
    <row r="765" spans="1:16" x14ac:dyDescent="0.25">
      <c r="A765" s="1">
        <v>44409</v>
      </c>
      <c r="B765">
        <f>HLOOKUP(Dashboard!$I$27,results,ROW(A765),FALSE)</f>
        <v>0.31356868774926039</v>
      </c>
      <c r="C765">
        <f>IFERROR(VLOOKUP(A765,observations_series_id_PCU22112222112243_api_key_ecc133893ea92a842ee685c73424608[],2,FALSE),"")</f>
        <v>222.61500000000001</v>
      </c>
      <c r="D765" s="2">
        <f>IFERROR(VLOOKUP(A765,observations_series_id_PCU22112222112243_api_key_ecc133893ea92a842ee685c73424608[],3,FALSE),"")</f>
        <v>0.92183815106798739</v>
      </c>
      <c r="E765">
        <f>IFERROR(VLOOKUP($A765,observations_series_id_WPU0613020T_api_key_ecc133893ea92a842ee685c734246086_file[],2,FALSE),"")</f>
        <v>105.745</v>
      </c>
      <c r="F765" s="2">
        <f>IFERROR(VLOOKUP($A765,observations_series_id_WPU0613020T_api_key_ecc133893ea92a842ee685c734246086_file[],3,FALSE),"")</f>
        <v>5.4328809872807304E-2</v>
      </c>
      <c r="G765">
        <f>IFERROR(VLOOKUP($A765,observations_series_id_PCU22122212_api_key_ecc133893ea92a842ee685c734246086_file[],2,FALSE),"")</f>
        <v>145.68100000000001</v>
      </c>
      <c r="H765" s="2">
        <f>IFERROR(VLOOKUP($A765,observations_series_id_PCU22122212_api_key_ecc133893ea92a842ee685c734246086_file[],3,FALSE),"")</f>
        <v>0.31356868774926039</v>
      </c>
      <c r="I765">
        <f>IFERROR(VLOOKUP($A765,observations_series_id_PCU3241913241910_api_key_ecc133893ea92a842ee685c734246086[],2,FALSE),"")</f>
        <v>535.18799999999999</v>
      </c>
      <c r="J765" s="2">
        <f>IFERROR(VLOOKUP($A765,observations_series_id_PCU3241913241910_api_key_ecc133893ea92a842ee685c734246086[],3,FALSE),"")</f>
        <v>0.90395898263787677</v>
      </c>
      <c r="K765">
        <f>IFERROR(VLOOKUP($A765,observations_series_id_EXJPUS_api_key_ecc133893ea92a842ee685c734246086_file_type[],2,FALSE),"")</f>
        <v>109.8527</v>
      </c>
      <c r="L765" s="2">
        <f>IFERROR(VLOOKUP($A765,observations_series_id_EXJPUS_api_key_ecc133893ea92a842ee685c734246086_file_type[],3,FALSE),"")</f>
        <v>-2.2590914925167973</v>
      </c>
      <c r="M765" t="str">
        <f>IFERROR(AVERAGEIFS(timeseries_access_key_fqeas14oitk235763mntlb1c0brnk9w3fenzqbk313q5kvxyf52kukw1pa[Value.LME-ZNC],timeseries_access_key_fqeas14oitk235763mntlb1c0brnk9w3fenzqbk313q5kvxyf52kukw1pa[Month],MONTH(Data!$A765),timeseries_access_key_fqeas14oitk235763mntlb1c0brnk9w3fenzqbk313q5kvxyf52kukw1pa[Year],YEAR(Data!$A765)),"")</f>
        <v/>
      </c>
      <c r="N765" s="2" t="str">
        <f>IFERROR(AVERAGEIFS(timeseries_access_key_fqeas14oitk235763mntlb1c0brnk9w3fenzqbk313q5kvxyf52kukw1pa[Column1],timeseries_access_key_fqeas14oitk235763mntlb1c0brnk9w3fenzqbk313q5kvxyf52kukw1pa[Month],MONTH(Data!$A765),timeseries_access_key_fqeas14oitk235763mntlb1c0brnk9w3fenzqbk313q5kvxyf52kukw1pa[Year],YEAR(Data!$A765)),"")</f>
        <v/>
      </c>
      <c r="O765" s="8" t="str">
        <f>IFERROR(VLOOKUP($A765,Text_1_2[[Text.1.1.3]:[Text.1.3]],2,FALSE),"")</f>
        <v/>
      </c>
      <c r="P765" s="2"/>
    </row>
    <row r="766" spans="1:16" x14ac:dyDescent="0.25">
      <c r="A766" s="1">
        <v>44440</v>
      </c>
      <c r="B766">
        <f>HLOOKUP(Dashboard!$I$27,results,ROW(A766),FALSE)</f>
        <v>0.32961942494754282</v>
      </c>
      <c r="C766">
        <f>IFERROR(VLOOKUP(A766,observations_series_id_PCU22112222112243_api_key_ecc133893ea92a842ee685c73424608[],2,FALSE),"")</f>
        <v>219.977</v>
      </c>
      <c r="D766" s="2">
        <f>IFERROR(VLOOKUP(A766,observations_series_id_PCU22112222112243_api_key_ecc133893ea92a842ee685c73424608[],3,FALSE),"")</f>
        <v>0.92090082144951513</v>
      </c>
      <c r="E766">
        <f>IFERROR(VLOOKUP($A766,observations_series_id_WPU0613020T_api_key_ecc133893ea92a842ee685c734246086_file[],2,FALSE),"")</f>
        <v>105.26600000000001</v>
      </c>
      <c r="F766" s="2">
        <f>IFERROR(VLOOKUP($A766,observations_series_id_WPU0613020T_api_key_ecc133893ea92a842ee685c734246086_file[],3,FALSE),"")</f>
        <v>5.0025649307468778E-2</v>
      </c>
      <c r="G766">
        <f>IFERROR(VLOOKUP($A766,observations_series_id_PCU22122212_api_key_ecc133893ea92a842ee685c734246086_file[],2,FALSE),"")</f>
        <v>149.16900000000001</v>
      </c>
      <c r="H766" s="2">
        <f>IFERROR(VLOOKUP($A766,observations_series_id_PCU22122212_api_key_ecc133893ea92a842ee685c734246086_file[],3,FALSE),"")</f>
        <v>0.32961942494754282</v>
      </c>
      <c r="I766">
        <f>IFERROR(VLOOKUP($A766,observations_series_id_PCU3241913241910_api_key_ecc133893ea92a842ee685c734246086[],2,FALSE),"")</f>
        <v>536.46500000000003</v>
      </c>
      <c r="J766" s="2">
        <f>IFERROR(VLOOKUP($A766,observations_series_id_PCU3241913241910_api_key_ecc133893ea92a842ee685c734246086[],3,FALSE),"")</f>
        <v>0.90418759844537855</v>
      </c>
      <c r="K766">
        <f>IFERROR(VLOOKUP($A766,observations_series_id_EXJPUS_api_key_ecc133893ea92a842ee685c734246086_file_type[],2,FALSE),"")</f>
        <v>110.161</v>
      </c>
      <c r="L766" s="2">
        <f>IFERROR(VLOOKUP($A766,observations_series_id_EXJPUS_api_key_ecc133893ea92a842ee685c734246086_file_type[],3,FALSE),"")</f>
        <v>-2.2499704977260553</v>
      </c>
      <c r="M766" t="str">
        <f>IFERROR(AVERAGEIFS(timeseries_access_key_fqeas14oitk235763mntlb1c0brnk9w3fenzqbk313q5kvxyf52kukw1pa[Value.LME-ZNC],timeseries_access_key_fqeas14oitk235763mntlb1c0brnk9w3fenzqbk313q5kvxyf52kukw1pa[Month],MONTH(Data!$A766),timeseries_access_key_fqeas14oitk235763mntlb1c0brnk9w3fenzqbk313q5kvxyf52kukw1pa[Year],YEAR(Data!$A766)),"")</f>
        <v/>
      </c>
      <c r="N766" s="2" t="str">
        <f>IFERROR(AVERAGEIFS(timeseries_access_key_fqeas14oitk235763mntlb1c0brnk9w3fenzqbk313q5kvxyf52kukw1pa[Column1],timeseries_access_key_fqeas14oitk235763mntlb1c0brnk9w3fenzqbk313q5kvxyf52kukw1pa[Month],MONTH(Data!$A766),timeseries_access_key_fqeas14oitk235763mntlb1c0brnk9w3fenzqbk313q5kvxyf52kukw1pa[Year],YEAR(Data!$A766)),"")</f>
        <v/>
      </c>
      <c r="O766" s="8" t="str">
        <f>IFERROR(VLOOKUP($A766,Text_1_2[[Text.1.1.3]:[Text.1.3]],2,FALSE),"")</f>
        <v/>
      </c>
      <c r="P766" s="2"/>
    </row>
    <row r="767" spans="1:16" x14ac:dyDescent="0.25">
      <c r="A767" s="1">
        <v>44470</v>
      </c>
      <c r="B767">
        <f>HLOOKUP(Dashboard!$I$27,results,ROW(A767),FALSE)</f>
        <v>0.38905554096077133</v>
      </c>
      <c r="C767">
        <f>IFERROR(VLOOKUP(A767,observations_series_id_PCU22112222112243_api_key_ecc133893ea92a842ee685c73424608[],2,FALSE),"")</f>
        <v>213.345</v>
      </c>
      <c r="D767" s="2">
        <f>IFERROR(VLOOKUP(A767,observations_series_id_PCU22112222112243_api_key_ecc133893ea92a842ee685c73424608[],3,FALSE),"")</f>
        <v>0.91844196020530133</v>
      </c>
      <c r="E767">
        <f>IFERROR(VLOOKUP($A767,observations_series_id_WPU0613020T_api_key_ecc133893ea92a842ee685c734246086_file[],2,FALSE),"")</f>
        <v>107.027</v>
      </c>
      <c r="F767" s="2">
        <f>IFERROR(VLOOKUP($A767,observations_series_id_WPU0613020T_api_key_ecc133893ea92a842ee685c734246086_file[],3,FALSE),"")</f>
        <v>6.5656329711194394E-2</v>
      </c>
      <c r="G767">
        <f>IFERROR(VLOOKUP($A767,observations_series_id_PCU22122212_api_key_ecc133893ea92a842ee685c734246086_file[],2,FALSE),"")</f>
        <v>163.68100000000001</v>
      </c>
      <c r="H767" s="2">
        <f>IFERROR(VLOOKUP($A767,observations_series_id_PCU22122212_api_key_ecc133893ea92a842ee685c734246086_file[],3,FALSE),"")</f>
        <v>0.38905554096077133</v>
      </c>
      <c r="I767">
        <f>IFERROR(VLOOKUP($A767,observations_series_id_PCU3241913241910_api_key_ecc133893ea92a842ee685c734246086[],2,FALSE),"")</f>
        <v>555.524</v>
      </c>
      <c r="J767" s="2">
        <f>IFERROR(VLOOKUP($A767,observations_series_id_PCU3241913241910_api_key_ecc133893ea92a842ee685c734246086[],3,FALSE),"")</f>
        <v>0.90747474456549138</v>
      </c>
      <c r="K767">
        <f>IFERROR(VLOOKUP($A767,observations_series_id_EXJPUS_api_key_ecc133893ea92a842ee685c734246086_file_type[],2,FALSE),"")</f>
        <v>113.1215</v>
      </c>
      <c r="L767" s="2">
        <f>IFERROR(VLOOKUP($A767,observations_series_id_EXJPUS_api_key_ecc133893ea92a842ee685c734246086_file_type[],3,FALSE),"")</f>
        <v>-2.1649155995986615</v>
      </c>
      <c r="M767" t="str">
        <f>IFERROR(AVERAGEIFS(timeseries_access_key_fqeas14oitk235763mntlb1c0brnk9w3fenzqbk313q5kvxyf52kukw1pa[Value.LME-ZNC],timeseries_access_key_fqeas14oitk235763mntlb1c0brnk9w3fenzqbk313q5kvxyf52kukw1pa[Month],MONTH(Data!$A767),timeseries_access_key_fqeas14oitk235763mntlb1c0brnk9w3fenzqbk313q5kvxyf52kukw1pa[Year],YEAR(Data!$A767)),"")</f>
        <v/>
      </c>
      <c r="N767" s="2" t="str">
        <f>IFERROR(AVERAGEIFS(timeseries_access_key_fqeas14oitk235763mntlb1c0brnk9w3fenzqbk313q5kvxyf52kukw1pa[Column1],timeseries_access_key_fqeas14oitk235763mntlb1c0brnk9w3fenzqbk313q5kvxyf52kukw1pa[Month],MONTH(Data!$A767),timeseries_access_key_fqeas14oitk235763mntlb1c0brnk9w3fenzqbk313q5kvxyf52kukw1pa[Year],YEAR(Data!$A767)),"")</f>
        <v/>
      </c>
      <c r="O767" s="8">
        <f>IFERROR(VLOOKUP($A767,Text_1_2[[Text.1.1.3]:[Text.1.3]],2,FALSE),"")</f>
        <v>60700</v>
      </c>
      <c r="P767" s="2"/>
    </row>
    <row r="768" spans="1:16" x14ac:dyDescent="0.25">
      <c r="A768" s="1">
        <v>44501</v>
      </c>
      <c r="B768">
        <f>HLOOKUP(Dashboard!$I$27,results,ROW(A768),FALSE)</f>
        <v>0.44755959450874228</v>
      </c>
      <c r="C768">
        <f>IFERROR(VLOOKUP(A768,observations_series_id_PCU22112222112243_api_key_ecc133893ea92a842ee685c73424608[],2,FALSE),"")</f>
        <v>211.864</v>
      </c>
      <c r="D768" s="2">
        <f>IFERROR(VLOOKUP(A768,observations_series_id_PCU22112222112243_api_key_ecc133893ea92a842ee685c73424608[],3,FALSE),"")</f>
        <v>0.91787184231393726</v>
      </c>
      <c r="E768">
        <f>IFERROR(VLOOKUP($A768,observations_series_id_WPU0613020T_api_key_ecc133893ea92a842ee685c734246086_file[],2,FALSE),"")</f>
        <v>107.54900000000001</v>
      </c>
      <c r="F768" s="2">
        <f>IFERROR(VLOOKUP($A768,observations_series_id_WPU0613020T_api_key_ecc133893ea92a842ee685c734246086_file[],3,FALSE),"")</f>
        <v>7.0191261657477133E-2</v>
      </c>
      <c r="G768">
        <f>IFERROR(VLOOKUP($A768,observations_series_id_PCU22122212_api_key_ecc133893ea92a842ee685c734246086_file[],2,FALSE),"")</f>
        <v>181.01499999999999</v>
      </c>
      <c r="H768" s="2">
        <f>IFERROR(VLOOKUP($A768,observations_series_id_PCU22122212_api_key_ecc133893ea92a842ee685c734246086_file[],3,FALSE),"")</f>
        <v>0.44755959450874228</v>
      </c>
      <c r="I768">
        <f>IFERROR(VLOOKUP($A768,observations_series_id_PCU3241913241910_api_key_ecc133893ea92a842ee685c734246086[],2,FALSE),"")</f>
        <v>555.41300000000001</v>
      </c>
      <c r="J768" s="2">
        <f>IFERROR(VLOOKUP($A768,observations_series_id_PCU3241913241910_api_key_ecc133893ea92a842ee685c734246086[],3,FALSE),"")</f>
        <v>0.90745625327459023</v>
      </c>
      <c r="K768">
        <f>IFERROR(VLOOKUP($A768,observations_series_id_EXJPUS_api_key_ecc133893ea92a842ee685c734246086_file_type[],2,FALSE),"")</f>
        <v>113.965</v>
      </c>
      <c r="L768" s="2">
        <f>IFERROR(VLOOKUP($A768,observations_series_id_EXJPUS_api_key_ecc133893ea92a842ee685c734246086_file_type[],3,FALSE),"")</f>
        <v>-2.1414908085815818</v>
      </c>
      <c r="M768" t="str">
        <f>IFERROR(AVERAGEIFS(timeseries_access_key_fqeas14oitk235763mntlb1c0brnk9w3fenzqbk313q5kvxyf52kukw1pa[Value.LME-ZNC],timeseries_access_key_fqeas14oitk235763mntlb1c0brnk9w3fenzqbk313q5kvxyf52kukw1pa[Month],MONTH(Data!$A768),timeseries_access_key_fqeas14oitk235763mntlb1c0brnk9w3fenzqbk313q5kvxyf52kukw1pa[Year],YEAR(Data!$A768)),"")</f>
        <v/>
      </c>
      <c r="N768" s="2" t="str">
        <f>IFERROR(AVERAGEIFS(timeseries_access_key_fqeas14oitk235763mntlb1c0brnk9w3fenzqbk313q5kvxyf52kukw1pa[Column1],timeseries_access_key_fqeas14oitk235763mntlb1c0brnk9w3fenzqbk313q5kvxyf52kukw1pa[Month],MONTH(Data!$A768),timeseries_access_key_fqeas14oitk235763mntlb1c0brnk9w3fenzqbk313q5kvxyf52kukw1pa[Year],YEAR(Data!$A768)),"")</f>
        <v/>
      </c>
      <c r="O768" s="8" t="str">
        <f>IFERROR(VLOOKUP($A768,Text_1_2[[Text.1.1.3]:[Text.1.3]],2,FALSE),"")</f>
        <v/>
      </c>
      <c r="P768" s="2"/>
    </row>
    <row r="769" spans="1:16" x14ac:dyDescent="0.25">
      <c r="A769" s="1">
        <v>44531</v>
      </c>
      <c r="B769">
        <f>HLOOKUP(Dashboard!$I$27,results,ROW(A769),FALSE)</f>
        <v>0.43966290120136275</v>
      </c>
      <c r="C769">
        <f>IFERROR(VLOOKUP(A769,observations_series_id_PCU22112222112243_api_key_ecc133893ea92a842ee685c73424608[],2,FALSE),"")</f>
        <v>210.08199999999999</v>
      </c>
      <c r="D769" s="2">
        <f>IFERROR(VLOOKUP(A769,observations_series_id_PCU22112222112243_api_key_ecc133893ea92a842ee685c73424608[],3,FALSE),"")</f>
        <v>0.91717519825591909</v>
      </c>
      <c r="E769">
        <f>IFERROR(VLOOKUP($A769,observations_series_id_WPU0613020T_api_key_ecc133893ea92a842ee685c734246086_file[],2,FALSE),"")</f>
        <v>118.152</v>
      </c>
      <c r="F769" s="2">
        <f>IFERROR(VLOOKUP($A769,observations_series_id_WPU0613020T_api_key_ecc133893ea92a842ee685c734246086_file[],3,FALSE),"")</f>
        <v>0.15363260884284646</v>
      </c>
      <c r="G769">
        <f>IFERROR(VLOOKUP($A769,observations_series_id_PCU22122212_api_key_ecc133893ea92a842ee685c734246086_file[],2,FALSE),"")</f>
        <v>178.464</v>
      </c>
      <c r="H769" s="2">
        <f>IFERROR(VLOOKUP($A769,observations_series_id_PCU22122212_api_key_ecc133893ea92a842ee685c734246086_file[],3,FALSE),"")</f>
        <v>0.43966290120136275</v>
      </c>
      <c r="I769">
        <f>IFERROR(VLOOKUP($A769,observations_series_id_PCU3241913241910_api_key_ecc133893ea92a842ee685c734246086[],2,FALSE),"")</f>
        <v>556.33199999999999</v>
      </c>
      <c r="J769" s="2">
        <f>IFERROR(VLOOKUP($A769,observations_series_id_PCU3241913241910_api_key_ecc133893ea92a842ee685c734246086[],3,FALSE),"")</f>
        <v>0.90760912548622041</v>
      </c>
      <c r="K769">
        <f>IFERROR(VLOOKUP($A769,observations_series_id_EXJPUS_api_key_ecc133893ea92a842ee685c734246086_file_type[],2,FALSE),"")</f>
        <v>113.8329</v>
      </c>
      <c r="L769" s="2">
        <f>IFERROR(VLOOKUP($A769,observations_series_id_EXJPUS_api_key_ecc133893ea92a842ee685c734246086_file_type[],3,FALSE),"")</f>
        <v>-2.1451364236525645</v>
      </c>
      <c r="M769" t="str">
        <f>IFERROR(AVERAGEIFS(timeseries_access_key_fqeas14oitk235763mntlb1c0brnk9w3fenzqbk313q5kvxyf52kukw1pa[Value.LME-ZNC],timeseries_access_key_fqeas14oitk235763mntlb1c0brnk9w3fenzqbk313q5kvxyf52kukw1pa[Month],MONTH(Data!$A769),timeseries_access_key_fqeas14oitk235763mntlb1c0brnk9w3fenzqbk313q5kvxyf52kukw1pa[Year],YEAR(Data!$A769)),"")</f>
        <v/>
      </c>
      <c r="N769" s="2" t="str">
        <f>IFERROR(AVERAGEIFS(timeseries_access_key_fqeas14oitk235763mntlb1c0brnk9w3fenzqbk313q5kvxyf52kukw1pa[Column1],timeseries_access_key_fqeas14oitk235763mntlb1c0brnk9w3fenzqbk313q5kvxyf52kukw1pa[Month],MONTH(Data!$A769),timeseries_access_key_fqeas14oitk235763mntlb1c0brnk9w3fenzqbk313q5kvxyf52kukw1pa[Year],YEAR(Data!$A769)),"")</f>
        <v/>
      </c>
      <c r="O769" s="8" t="str">
        <f>IFERROR(VLOOKUP($A769,Text_1_2[[Text.1.1.3]:[Text.1.3]],2,FALSE),"")</f>
        <v/>
      </c>
      <c r="P769" s="2"/>
    </row>
    <row r="770" spans="1:16" x14ac:dyDescent="0.25">
      <c r="A770" s="1">
        <v>44562</v>
      </c>
      <c r="B770">
        <f>HLOOKUP(Dashboard!$I$27,results,ROW(A770),FALSE)</f>
        <v>0.42803214459347383</v>
      </c>
      <c r="C770">
        <f>IFERROR(VLOOKUP(A770,observations_series_id_PCU22112222112243_api_key_ecc133893ea92a842ee685c73424608[],2,FALSE),"")</f>
        <v>220.00800000000001</v>
      </c>
      <c r="D770" s="2">
        <f>IFERROR(VLOOKUP(A770,observations_series_id_PCU22112222112243_api_key_ecc133893ea92a842ee685c73424608[],3,FALSE),"")</f>
        <v>0.9209119668375696</v>
      </c>
      <c r="E770">
        <f>IFERROR(VLOOKUP($A770,observations_series_id_WPU0613020T_api_key_ecc133893ea92a842ee685c734246086_file[],2,FALSE),"")</f>
        <v>121.119</v>
      </c>
      <c r="F770" s="2">
        <f>IFERROR(VLOOKUP($A770,observations_series_id_WPU0613020T_api_key_ecc133893ea92a842ee685c734246086_file[],3,FALSE),"")</f>
        <v>0.1743657064539833</v>
      </c>
      <c r="G770">
        <f>IFERROR(VLOOKUP($A770,observations_series_id_PCU22122212_api_key_ecc133893ea92a842ee685c734246086_file[],2,FALSE),"")</f>
        <v>174.83500000000001</v>
      </c>
      <c r="H770" s="2">
        <f>IFERROR(VLOOKUP($A770,observations_series_id_PCU22122212_api_key_ecc133893ea92a842ee685c734246086_file[],3,FALSE),"")</f>
        <v>0.42803214459347383</v>
      </c>
      <c r="I770">
        <f>IFERROR(VLOOKUP($A770,observations_series_id_PCU3241913241910_api_key_ecc133893ea92a842ee685c734246086[],2,FALSE),"")</f>
        <v>561.06200000000001</v>
      </c>
      <c r="J770" s="2">
        <f>IFERROR(VLOOKUP($A770,observations_series_id_PCU3241913241910_api_key_ecc133893ea92a842ee685c734246086[],3,FALSE),"")</f>
        <v>0.90838802128819984</v>
      </c>
      <c r="K770">
        <f>IFERROR(VLOOKUP($A770,observations_series_id_EXJPUS_api_key_ecc133893ea92a842ee685c734246086_file_type[],2,FALSE),"")</f>
        <v>114.82550000000001</v>
      </c>
      <c r="L770" s="2">
        <f>IFERROR(VLOOKUP($A770,observations_series_id_EXJPUS_api_key_ecc133893ea92a842ee685c734246086_file_type[],3,FALSE),"")</f>
        <v>-2.1179485393052935</v>
      </c>
      <c r="M770" t="str">
        <f>IFERROR(AVERAGEIFS(timeseries_access_key_fqeas14oitk235763mntlb1c0brnk9w3fenzqbk313q5kvxyf52kukw1pa[Value.LME-ZNC],timeseries_access_key_fqeas14oitk235763mntlb1c0brnk9w3fenzqbk313q5kvxyf52kukw1pa[Month],MONTH(Data!$A770),timeseries_access_key_fqeas14oitk235763mntlb1c0brnk9w3fenzqbk313q5kvxyf52kukw1pa[Year],YEAR(Data!$A770)),"")</f>
        <v/>
      </c>
      <c r="N770" s="2" t="str">
        <f>IFERROR(AVERAGEIFS(timeseries_access_key_fqeas14oitk235763mntlb1c0brnk9w3fenzqbk313q5kvxyf52kukw1pa[Column1],timeseries_access_key_fqeas14oitk235763mntlb1c0brnk9w3fenzqbk313q5kvxyf52kukw1pa[Month],MONTH(Data!$A770),timeseries_access_key_fqeas14oitk235763mntlb1c0brnk9w3fenzqbk313q5kvxyf52kukw1pa[Year],YEAR(Data!$A770)),"")</f>
        <v/>
      </c>
      <c r="O770" s="8">
        <f>IFERROR(VLOOKUP($A770,Text_1_2[[Text.1.1.3]:[Text.1.3]],2,FALSE),"")</f>
        <v>64600</v>
      </c>
      <c r="P770" s="2"/>
    </row>
    <row r="771" spans="1:16" x14ac:dyDescent="0.25">
      <c r="A771" s="1">
        <v>44593</v>
      </c>
      <c r="B771">
        <f>HLOOKUP(Dashboard!$I$27,results,ROW(A771),FALSE)</f>
        <v>0.41683141179283523</v>
      </c>
      <c r="C771">
        <f>IFERROR(VLOOKUP(A771,observations_series_id_PCU22112222112243_api_key_ecc133893ea92a842ee685c73424608[],2,FALSE),"")</f>
        <v>224.99799999999999</v>
      </c>
      <c r="D771" s="2">
        <f>IFERROR(VLOOKUP(A771,observations_series_id_PCU22112222112243_api_key_ecc133893ea92a842ee685c73424608[],3,FALSE),"")</f>
        <v>0.92266597925314886</v>
      </c>
      <c r="E771">
        <f>IFERROR(VLOOKUP($A771,observations_series_id_WPU0613020T_api_key_ecc133893ea92a842ee685c734246086_file[],2,FALSE),"")</f>
        <v>129.065</v>
      </c>
      <c r="F771" s="2">
        <f>IFERROR(VLOOKUP($A771,observations_series_id_WPU0613020T_api_key_ecc133893ea92a842ee685c734246086_file[],3,FALSE),"")</f>
        <v>0.22519660636113581</v>
      </c>
      <c r="G771">
        <f>IFERROR(VLOOKUP($A771,observations_series_id_PCU22122212_api_key_ecc133893ea92a842ee685c734246086_file[],2,FALSE),"")</f>
        <v>171.477</v>
      </c>
      <c r="H771" s="2">
        <f>IFERROR(VLOOKUP($A771,observations_series_id_PCU22122212_api_key_ecc133893ea92a842ee685c734246086_file[],3,FALSE),"")</f>
        <v>0.41683141179283523</v>
      </c>
      <c r="I771">
        <f>IFERROR(VLOOKUP($A771,observations_series_id_PCU3241913241910_api_key_ecc133893ea92a842ee685c734246086[],2,FALSE),"")</f>
        <v>563.44299999999998</v>
      </c>
      <c r="J771" s="2">
        <f>IFERROR(VLOOKUP($A771,observations_series_id_PCU3241913241910_api_key_ecc133893ea92a842ee685c734246086[],3,FALSE),"")</f>
        <v>0.90877515560580213</v>
      </c>
      <c r="K771">
        <f>IFERROR(VLOOKUP($A771,observations_series_id_EXJPUS_api_key_ecc133893ea92a842ee685c734246086_file_type[],2,FALSE),"")</f>
        <v>115.27630000000001</v>
      </c>
      <c r="L771" s="2">
        <f>IFERROR(VLOOKUP($A771,observations_series_id_EXJPUS_api_key_ecc133893ea92a842ee685c734246086_file_type[],3,FALSE),"")</f>
        <v>-2.1057554761906823</v>
      </c>
      <c r="M771" t="str">
        <f>IFERROR(AVERAGEIFS(timeseries_access_key_fqeas14oitk235763mntlb1c0brnk9w3fenzqbk313q5kvxyf52kukw1pa[Value.LME-ZNC],timeseries_access_key_fqeas14oitk235763mntlb1c0brnk9w3fenzqbk313q5kvxyf52kukw1pa[Month],MONTH(Data!$A771),timeseries_access_key_fqeas14oitk235763mntlb1c0brnk9w3fenzqbk313q5kvxyf52kukw1pa[Year],YEAR(Data!$A771)),"")</f>
        <v/>
      </c>
      <c r="N771" s="2" t="str">
        <f>IFERROR(AVERAGEIFS(timeseries_access_key_fqeas14oitk235763mntlb1c0brnk9w3fenzqbk313q5kvxyf52kukw1pa[Column1],timeseries_access_key_fqeas14oitk235763mntlb1c0brnk9w3fenzqbk313q5kvxyf52kukw1pa[Month],MONTH(Data!$A771),timeseries_access_key_fqeas14oitk235763mntlb1c0brnk9w3fenzqbk313q5kvxyf52kukw1pa[Year],YEAR(Data!$A771)),"")</f>
        <v/>
      </c>
      <c r="O771" s="8" t="str">
        <f>IFERROR(VLOOKUP($A771,Text_1_2[[Text.1.1.3]:[Text.1.3]],2,FALSE),"")</f>
        <v/>
      </c>
      <c r="P771" s="2"/>
    </row>
    <row r="772" spans="1:16" x14ac:dyDescent="0.25">
      <c r="A772" s="1">
        <v>44621</v>
      </c>
      <c r="B772">
        <f>HLOOKUP(Dashboard!$I$27,results,ROW(A772),FALSE)</f>
        <v>0.37207622994568457</v>
      </c>
      <c r="C772">
        <f>IFERROR(VLOOKUP(A772,observations_series_id_PCU22112222112243_api_key_ecc133893ea92a842ee685c73424608[],2,FALSE),"")</f>
        <v>221.40199999999999</v>
      </c>
      <c r="D772" s="2">
        <f>IFERROR(VLOOKUP(A772,observations_series_id_PCU22112222112243_api_key_ecc133893ea92a842ee685c73424608[],3,FALSE),"")</f>
        <v>0.92140992402959321</v>
      </c>
      <c r="E772">
        <f>IFERROR(VLOOKUP($A772,observations_series_id_WPU0613020T_api_key_ecc133893ea92a842ee685c734246086_file[],2,FALSE),"")</f>
        <v>131.875</v>
      </c>
      <c r="F772" s="2">
        <f>IFERROR(VLOOKUP($A772,observations_series_id_WPU0613020T_api_key_ecc133893ea92a842ee685c734246086_file[],3,FALSE),"")</f>
        <v>0.24170616113744081</v>
      </c>
      <c r="G772">
        <f>IFERROR(VLOOKUP($A772,observations_series_id_PCU22122212_api_key_ecc133893ea92a842ee685c734246086_file[],2,FALSE),"")</f>
        <v>159.255</v>
      </c>
      <c r="H772" s="2">
        <f>IFERROR(VLOOKUP($A772,observations_series_id_PCU22122212_api_key_ecc133893ea92a842ee685c734246086_file[],3,FALSE),"")</f>
        <v>0.37207622994568457</v>
      </c>
      <c r="I772">
        <f>IFERROR(VLOOKUP($A772,observations_series_id_PCU3241913241910_api_key_ecc133893ea92a842ee685c734246086[],2,FALSE),"")</f>
        <v>569.94399999999996</v>
      </c>
      <c r="J772" s="2">
        <f>IFERROR(VLOOKUP($A772,observations_series_id_PCU3241913241910_api_key_ecc133893ea92a842ee685c734246086[],3,FALSE),"")</f>
        <v>0.90981570119169608</v>
      </c>
      <c r="K772">
        <f>IFERROR(VLOOKUP($A772,observations_series_id_EXJPUS_api_key_ecc133893ea92a842ee685c734246086_file_type[],2,FALSE),"")</f>
        <v>118.5774</v>
      </c>
      <c r="L772" s="2">
        <f>IFERROR(VLOOKUP($A772,observations_series_id_EXJPUS_api_key_ecc133893ea92a842ee685c734246086_file_type[],3,FALSE),"")</f>
        <v>-2.0192937271351874</v>
      </c>
      <c r="M772" t="str">
        <f>IFERROR(AVERAGEIFS(timeseries_access_key_fqeas14oitk235763mntlb1c0brnk9w3fenzqbk313q5kvxyf52kukw1pa[Value.LME-ZNC],timeseries_access_key_fqeas14oitk235763mntlb1c0brnk9w3fenzqbk313q5kvxyf52kukw1pa[Month],MONTH(Data!$A772),timeseries_access_key_fqeas14oitk235763mntlb1c0brnk9w3fenzqbk313q5kvxyf52kukw1pa[Year],YEAR(Data!$A772)),"")</f>
        <v/>
      </c>
      <c r="N772" s="2" t="str">
        <f>IFERROR(AVERAGEIFS(timeseries_access_key_fqeas14oitk235763mntlb1c0brnk9w3fenzqbk313q5kvxyf52kukw1pa[Column1],timeseries_access_key_fqeas14oitk235763mntlb1c0brnk9w3fenzqbk313q5kvxyf52kukw1pa[Month],MONTH(Data!$A772),timeseries_access_key_fqeas14oitk235763mntlb1c0brnk9w3fenzqbk313q5kvxyf52kukw1pa[Year],YEAR(Data!$A772)),"")</f>
        <v/>
      </c>
      <c r="O772" s="8" t="str">
        <f>IFERROR(VLOOKUP($A772,Text_1_2[[Text.1.1.3]:[Text.1.3]],2,FALSE),"")</f>
        <v/>
      </c>
      <c r="P772" s="2"/>
    </row>
    <row r="773" spans="1:16" x14ac:dyDescent="0.25">
      <c r="A773" s="1">
        <v>44652</v>
      </c>
      <c r="B773">
        <f>HLOOKUP(Dashboard!$I$27,results,ROW(A773),FALSE)</f>
        <v>0.39496977874044814</v>
      </c>
      <c r="C773">
        <f>IFERROR(VLOOKUP(A773,observations_series_id_PCU22112222112243_api_key_ecc133893ea92a842ee685c73424608[],2,FALSE),"")</f>
        <v>219.76400000000001</v>
      </c>
      <c r="D773" s="2">
        <f>IFERROR(VLOOKUP(A773,observations_series_id_PCU22112222112243_api_key_ecc133893ea92a842ee685c73424608[],3,FALSE),"")</f>
        <v>0.92082415682277352</v>
      </c>
      <c r="E773">
        <f>IFERROR(VLOOKUP($A773,observations_series_id_WPU0613020T_api_key_ecc133893ea92a842ee685c734246086_file[],2,FALSE),"")</f>
        <v>137.83099999999999</v>
      </c>
      <c r="F773" s="2">
        <f>IFERROR(VLOOKUP($A773,observations_series_id_WPU0613020T_api_key_ecc133893ea92a842ee685c734246086_file[],3,FALSE),"")</f>
        <v>0.27447381213224886</v>
      </c>
      <c r="G773">
        <f>IFERROR(VLOOKUP($A773,observations_series_id_PCU22122212_api_key_ecc133893ea92a842ee685c734246086_file[],2,FALSE),"")</f>
        <v>165.28100000000001</v>
      </c>
      <c r="H773" s="2">
        <f>IFERROR(VLOOKUP($A773,observations_series_id_PCU22122212_api_key_ecc133893ea92a842ee685c734246086_file[],3,FALSE),"")</f>
        <v>0.39496977874044814</v>
      </c>
      <c r="I773">
        <f>IFERROR(VLOOKUP($A773,observations_series_id_PCU3241913241910_api_key_ecc133893ea92a842ee685c734246086[],2,FALSE),"")</f>
        <v>597.36500000000001</v>
      </c>
      <c r="J773" s="2">
        <f>IFERROR(VLOOKUP($A773,observations_series_id_PCU3241913241910_api_key_ecc133893ea92a842ee685c734246086[],3,FALSE),"")</f>
        <v>0.91395545437044357</v>
      </c>
      <c r="K773">
        <f>IFERROR(VLOOKUP($A773,observations_series_id_EXJPUS_api_key_ecc133893ea92a842ee685c734246086_file_type[],2,FALSE),"")</f>
        <v>126.37430000000001</v>
      </c>
      <c r="L773" s="2">
        <f>IFERROR(VLOOKUP($A773,observations_series_id_EXJPUS_api_key_ecc133893ea92a842ee685c734246086_file_type[],3,FALSE),"")</f>
        <v>-1.833012724897388</v>
      </c>
      <c r="M773">
        <f>IFERROR(AVERAGEIFS(timeseries_access_key_fqeas14oitk235763mntlb1c0brnk9w3fenzqbk313q5kvxyf52kukw1pa[Value.LME-ZNC],timeseries_access_key_fqeas14oitk235763mntlb1c0brnk9w3fenzqbk313q5kvxyf52kukw1pa[Month],MONTH(Data!$A773),timeseries_access_key_fqeas14oitk235763mntlb1c0brnk9w3fenzqbk313q5kvxyf52kukw1pa[Year],YEAR(Data!$A773)),"")</f>
        <v>7.3481652808650217</v>
      </c>
      <c r="N773" s="2">
        <f>IFERROR(AVERAGEIFS(timeseries_access_key_fqeas14oitk235763mntlb1c0brnk9w3fenzqbk313q5kvxyf52kukw1pa[Column1],timeseries_access_key_fqeas14oitk235763mntlb1c0brnk9w3fenzqbk313q5kvxyf52kukw1pa[Month],MONTH(Data!$A773),timeseries_access_key_fqeas14oitk235763mntlb1c0brnk9w3fenzqbk313q5kvxyf52kukw1pa[Year],YEAR(Data!$A773)),"")</f>
        <v>-1.6295811869867977E-2</v>
      </c>
      <c r="O773" s="8">
        <f>IFERROR(VLOOKUP($A773,Text_1_2[[Text.1.1.3]:[Text.1.3]],2,FALSE),"")</f>
        <v>86100</v>
      </c>
      <c r="P773" s="2"/>
    </row>
    <row r="774" spans="1:16" x14ac:dyDescent="0.25">
      <c r="A774" s="1">
        <v>44682</v>
      </c>
      <c r="B774">
        <f>HLOOKUP(Dashboard!$I$27,results,ROW(A774),FALSE)</f>
        <v>0.45823536422836464</v>
      </c>
      <c r="C774">
        <f>IFERROR(VLOOKUP(A774,observations_series_id_PCU22112222112243_api_key_ecc133893ea92a842ee685c73424608[],2,FALSE),"")</f>
        <v>223.78800000000001</v>
      </c>
      <c r="D774" s="2">
        <f>IFERROR(VLOOKUP(A774,observations_series_id_PCU22112222112243_api_key_ecc133893ea92a842ee685c73424608[],3,FALSE),"")</f>
        <v>0.92224784170733021</v>
      </c>
      <c r="E774">
        <f>IFERROR(VLOOKUP($A774,observations_series_id_WPU0613020T_api_key_ecc133893ea92a842ee685c734246086_file[],2,FALSE),"")</f>
        <v>163.72900000000001</v>
      </c>
      <c r="F774" s="2">
        <f>IFERROR(VLOOKUP($A774,observations_series_id_WPU0613020T_api_key_ecc133893ea92a842ee685c734246086_file[],3,FALSE),"")</f>
        <v>0.38923464993983969</v>
      </c>
      <c r="G774">
        <f>IFERROR(VLOOKUP($A774,observations_series_id_PCU22122212_api_key_ecc133893ea92a842ee685c734246086_file[],2,FALSE),"")</f>
        <v>184.58199999999999</v>
      </c>
      <c r="H774" s="2">
        <f>IFERROR(VLOOKUP($A774,observations_series_id_PCU22122212_api_key_ecc133893ea92a842ee685c734246086_file[],3,FALSE),"")</f>
        <v>0.45823536422836464</v>
      </c>
      <c r="I774">
        <f>IFERROR(VLOOKUP($A774,observations_series_id_PCU3241913241910_api_key_ecc133893ea92a842ee685c734246086[],2,FALSE),"")</f>
        <v>596.49</v>
      </c>
      <c r="J774" s="2">
        <f>IFERROR(VLOOKUP($A774,observations_series_id_PCU3241913241910_api_key_ecc133893ea92a842ee685c734246086[],3,FALSE),"")</f>
        <v>0.91382923435430607</v>
      </c>
      <c r="K774">
        <f>IFERROR(VLOOKUP($A774,observations_series_id_EXJPUS_api_key_ecc133893ea92a842ee685c734246086_file_type[],2,FALSE),"")</f>
        <v>128.8486</v>
      </c>
      <c r="L774" s="2">
        <f>IFERROR(VLOOKUP($A774,observations_series_id_EXJPUS_api_key_ecc133893ea92a842ee685c734246086_file_type[],3,FALSE),"")</f>
        <v>-1.7786099344501993</v>
      </c>
      <c r="M774">
        <f>IFERROR(AVERAGEIFS(timeseries_access_key_fqeas14oitk235763mntlb1c0brnk9w3fenzqbk313q5kvxyf52kukw1pa[Value.LME-ZNC],timeseries_access_key_fqeas14oitk235763mntlb1c0brnk9w3fenzqbk313q5kvxyf52kukw1pa[Month],MONTH(Data!$A774),timeseries_access_key_fqeas14oitk235763mntlb1c0brnk9w3fenzqbk313q5kvxyf52kukw1pa[Year],YEAR(Data!$A774)),"")</f>
        <v>8.4824246302878752</v>
      </c>
      <c r="N774" s="2">
        <f>IFERROR(AVERAGEIFS(timeseries_access_key_fqeas14oitk235763mntlb1c0brnk9w3fenzqbk313q5kvxyf52kukw1pa[Column1],timeseries_access_key_fqeas14oitk235763mntlb1c0brnk9w3fenzqbk313q5kvxyf52kukw1pa[Month],MONTH(Data!$A774),timeseries_access_key_fqeas14oitk235763mntlb1c0brnk9w3fenzqbk313q5kvxyf52kukw1pa[Year],YEAR(Data!$A774)),"")</f>
        <v>0.11764749356136329</v>
      </c>
      <c r="O774" s="8" t="str">
        <f>IFERROR(VLOOKUP($A774,Text_1_2[[Text.1.1.3]:[Text.1.3]],2,FALSE),"")</f>
        <v/>
      </c>
      <c r="P774" s="2"/>
    </row>
    <row r="775" spans="1:16" x14ac:dyDescent="0.25">
      <c r="A775" s="1">
        <v>44713</v>
      </c>
      <c r="B775">
        <f>HLOOKUP(Dashboard!$I$27,results,ROW(A775),FALSE)</f>
        <v>0.50830231540439685</v>
      </c>
      <c r="C775">
        <f>IFERROR(VLOOKUP(A775,observations_series_id_PCU22112222112243_api_key_ecc133893ea92a842ee685c73424608[],2,FALSE),"")</f>
        <v>237.71799999999999</v>
      </c>
      <c r="D775" s="2">
        <f>IFERROR(VLOOKUP(A775,observations_series_id_PCU22112222112243_api_key_ecc133893ea92a842ee685c73424608[],3,FALSE),"")</f>
        <v>0.92680402830244235</v>
      </c>
      <c r="E775">
        <f>IFERROR(VLOOKUP($A775,observations_series_id_WPU0613020T_api_key_ecc133893ea92a842ee685c734246086_file[],2,FALSE),"")</f>
        <v>171.95400000000001</v>
      </c>
      <c r="F775" s="2">
        <f>IFERROR(VLOOKUP($A775,observations_series_id_WPU0613020T_api_key_ecc133893ea92a842ee685c734246086_file[],3,FALSE),"")</f>
        <v>0.41844912011351876</v>
      </c>
      <c r="G775">
        <f>IFERROR(VLOOKUP($A775,observations_series_id_PCU22122212_api_key_ecc133893ea92a842ee685c734246086_file[],2,FALSE),"")</f>
        <v>203.37700000000001</v>
      </c>
      <c r="H775" s="2">
        <f>IFERROR(VLOOKUP($A775,observations_series_id_PCU22122212_api_key_ecc133893ea92a842ee685c734246086_file[],3,FALSE),"")</f>
        <v>0.50830231540439685</v>
      </c>
      <c r="I775">
        <f>IFERROR(VLOOKUP($A775,observations_series_id_PCU3241913241910_api_key_ecc133893ea92a842ee685c734246086[],2,FALSE),"")</f>
        <v>633.42399999999998</v>
      </c>
      <c r="J775" s="2">
        <f>IFERROR(VLOOKUP($A775,observations_series_id_PCU3241913241910_api_key_ecc133893ea92a842ee685c734246086[],3,FALSE),"")</f>
        <v>0.91885372199348303</v>
      </c>
      <c r="K775">
        <f>IFERROR(VLOOKUP($A775,observations_series_id_EXJPUS_api_key_ecc133893ea92a842ee685c734246086_file_type[],2,FALSE),"")</f>
        <v>133.96190000000001</v>
      </c>
      <c r="L775" s="2">
        <f>IFERROR(VLOOKUP($A775,observations_series_id_EXJPUS_api_key_ecc133893ea92a842ee685c734246086_file_type[],3,FALSE),"")</f>
        <v>-1.672550926793364</v>
      </c>
      <c r="M775">
        <f>IFERROR(AVERAGEIFS(timeseries_access_key_fqeas14oitk235763mntlb1c0brnk9w3fenzqbk313q5kvxyf52kukw1pa[Value.LME-ZNC],timeseries_access_key_fqeas14oitk235763mntlb1c0brnk9w3fenzqbk313q5kvxyf52kukw1pa[Month],MONTH(Data!$A775),timeseries_access_key_fqeas14oitk235763mntlb1c0brnk9w3fenzqbk313q5kvxyf52kukw1pa[Year],YEAR(Data!$A775)),"")</f>
        <v>8.7052369468193422</v>
      </c>
      <c r="N775" s="2">
        <f>IFERROR(AVERAGEIFS(timeseries_access_key_fqeas14oitk235763mntlb1c0brnk9w3fenzqbk313q5kvxyf52kukw1pa[Column1],timeseries_access_key_fqeas14oitk235763mntlb1c0brnk9w3fenzqbk313q5kvxyf52kukw1pa[Month],MONTH(Data!$A775),timeseries_access_key_fqeas14oitk235763mntlb1c0brnk9w3fenzqbk313q5kvxyf52kukw1pa[Year],YEAR(Data!$A775)),"")</f>
        <v>0.1412159783449306</v>
      </c>
      <c r="O775" s="8" t="str">
        <f>IFERROR(VLOOKUP($A775,Text_1_2[[Text.1.1.3]:[Text.1.3]],2,FALSE),"")</f>
        <v/>
      </c>
      <c r="P775" s="2"/>
    </row>
    <row r="776" spans="1:16" x14ac:dyDescent="0.25">
      <c r="A776" s="1">
        <v>44743</v>
      </c>
      <c r="B776">
        <f>HLOOKUP(Dashboard!$I$27,results,ROW(A776),FALSE)</f>
        <v>0.46296037721663097</v>
      </c>
      <c r="C776">
        <f>IFERROR(VLOOKUP(A776,observations_series_id_PCU22112222112243_api_key_ecc133893ea92a842ee685c73424608[],2,FALSE),"")</f>
        <v>248.316</v>
      </c>
      <c r="D776" s="2">
        <f>IFERROR(VLOOKUP(A776,observations_series_id_PCU22112222112243_api_key_ecc133893ea92a842ee685c73424608[],3,FALSE),"")</f>
        <v>0.92992799497414591</v>
      </c>
      <c r="E776">
        <f>IFERROR(VLOOKUP($A776,observations_series_id_WPU0613020T_api_key_ecc133893ea92a842ee685c734246086_file[],2,FALSE),"")</f>
        <v>165.876</v>
      </c>
      <c r="F776" s="2">
        <f>IFERROR(VLOOKUP($A776,observations_series_id_WPU0613020T_api_key_ecc133893ea92a842ee685c734246086_file[],3,FALSE),"")</f>
        <v>0.39714003231329431</v>
      </c>
      <c r="G776">
        <f>IFERROR(VLOOKUP($A776,observations_series_id_PCU22122212_api_key_ecc133893ea92a842ee685c734246086_file[],2,FALSE),"")</f>
        <v>186.20599999999999</v>
      </c>
      <c r="H776" s="2">
        <f>IFERROR(VLOOKUP($A776,observations_series_id_PCU22122212_api_key_ecc133893ea92a842ee685c734246086_file[],3,FALSE),"")</f>
        <v>0.46296037721663097</v>
      </c>
      <c r="I776">
        <f>IFERROR(VLOOKUP($A776,observations_series_id_PCU3241913241910_api_key_ecc133893ea92a842ee685c734246086[],2,FALSE),"")</f>
        <v>652.29600000000005</v>
      </c>
      <c r="J776" s="2">
        <f>IFERROR(VLOOKUP($A776,observations_series_id_PCU3241913241910_api_key_ecc133893ea92a842ee685c734246086[],3,FALSE),"")</f>
        <v>0.92120141776126174</v>
      </c>
      <c r="K776">
        <f>IFERROR(VLOOKUP($A776,observations_series_id_EXJPUS_api_key_ecc133893ea92a842ee685c734246086_file_type[],2,FALSE),"")</f>
        <v>136.709</v>
      </c>
      <c r="L776" s="2">
        <f>IFERROR(VLOOKUP($A776,observations_series_id_EXJPUS_api_key_ecc133893ea92a842ee685c734246086_file_type[],3,FALSE),"")</f>
        <v>-1.6188473326554944</v>
      </c>
      <c r="M776">
        <f>IFERROR(AVERAGEIFS(timeseries_access_key_fqeas14oitk235763mntlb1c0brnk9w3fenzqbk313q5kvxyf52kukw1pa[Value.LME-ZNC],timeseries_access_key_fqeas14oitk235763mntlb1c0brnk9w3fenzqbk313q5kvxyf52kukw1pa[Month],MONTH(Data!$A776),timeseries_access_key_fqeas14oitk235763mntlb1c0brnk9w3fenzqbk313q5kvxyf52kukw1pa[Year],YEAR(Data!$A776)),"")</f>
        <v>10.407837549127276</v>
      </c>
      <c r="N776" s="2">
        <f>IFERROR(AVERAGEIFS(timeseries_access_key_fqeas14oitk235763mntlb1c0brnk9w3fenzqbk313q5kvxyf52kukw1pa[Column1],timeseries_access_key_fqeas14oitk235763mntlb1c0brnk9w3fenzqbk313q5kvxyf52kukw1pa[Month],MONTH(Data!$A776),timeseries_access_key_fqeas14oitk235763mntlb1c0brnk9w3fenzqbk313q5kvxyf52kukw1pa[Year],YEAR(Data!$A776)),"")</f>
        <v>0.28234323836039255</v>
      </c>
      <c r="O776" s="8">
        <f>IFERROR(VLOOKUP($A776,Text_1_2[[Text.1.1.3]:[Text.1.3]],2,FALSE),"")</f>
        <v>81400</v>
      </c>
      <c r="P776" s="2"/>
    </row>
    <row r="777" spans="1:16" x14ac:dyDescent="0.25">
      <c r="A777" s="1">
        <v>44774</v>
      </c>
      <c r="B777">
        <f>HLOOKUP(Dashboard!$I$27,results,ROW(A777),FALSE)</f>
        <v>0.48067055817528415</v>
      </c>
      <c r="C777">
        <f>IFERROR(VLOOKUP(A777,observations_series_id_PCU22112222112243_api_key_ecc133893ea92a842ee685c73424608[],2,FALSE),"")</f>
        <v>251.47800000000001</v>
      </c>
      <c r="D777" s="2">
        <f>IFERROR(VLOOKUP(A777,observations_series_id_PCU22112222112243_api_key_ecc133893ea92a842ee685c73424608[],3,FALSE),"")</f>
        <v>0.93080905685586812</v>
      </c>
      <c r="E777">
        <f>IFERROR(VLOOKUP($A777,observations_series_id_WPU0613020T_api_key_ecc133893ea92a842ee685c734246086_file[],2,FALSE),"")</f>
        <v>151.453</v>
      </c>
      <c r="F777" s="2">
        <f>IFERROR(VLOOKUP($A777,observations_series_id_WPU0613020T_api_key_ecc133893ea92a842ee685c734246086_file[],3,FALSE),"")</f>
        <v>0.33972915690016048</v>
      </c>
      <c r="G777">
        <f>IFERROR(VLOOKUP($A777,observations_series_id_PCU22122212_api_key_ecc133893ea92a842ee685c734246086_file[],2,FALSE),"")</f>
        <v>192.55600000000001</v>
      </c>
      <c r="H777" s="2">
        <f>IFERROR(VLOOKUP($A777,observations_series_id_PCU22122212_api_key_ecc133893ea92a842ee685c734246086_file[],3,FALSE),"")</f>
        <v>0.48067055817528415</v>
      </c>
      <c r="I777">
        <f>IFERROR(VLOOKUP($A777,observations_series_id_PCU3241913241910_api_key_ecc133893ea92a842ee685c734246086[],2,FALSE),"")</f>
        <v>655.67100000000005</v>
      </c>
      <c r="J777" s="2">
        <f>IFERROR(VLOOKUP($A777,observations_series_id_PCU3241913241910_api_key_ecc133893ea92a842ee685c734246086[],3,FALSE),"")</f>
        <v>0.92160702547466644</v>
      </c>
      <c r="K777">
        <f>IFERROR(VLOOKUP($A777,observations_series_id_EXJPUS_api_key_ecc133893ea92a842ee685c734246086_file_type[],2,FALSE),"")</f>
        <v>135.2835</v>
      </c>
      <c r="L777" s="2">
        <f>IFERROR(VLOOKUP($A777,observations_series_id_EXJPUS_api_key_ecc133893ea92a842ee685c734246086_file_type[],3,FALSE),"")</f>
        <v>-1.6464424708112961</v>
      </c>
      <c r="M777">
        <f>IFERROR(AVERAGEIFS(timeseries_access_key_fqeas14oitk235763mntlb1c0brnk9w3fenzqbk313q5kvxyf52kukw1pa[Value.LME-ZNC],timeseries_access_key_fqeas14oitk235763mntlb1c0brnk9w3fenzqbk313q5kvxyf52kukw1pa[Month],MONTH(Data!$A777),timeseries_access_key_fqeas14oitk235763mntlb1c0brnk9w3fenzqbk313q5kvxyf52kukw1pa[Year],YEAR(Data!$A777)),"")</f>
        <v>9.0019245698184776</v>
      </c>
      <c r="N777" s="2">
        <f>IFERROR(AVERAGEIFS(timeseries_access_key_fqeas14oitk235763mntlb1c0brnk9w3fenzqbk313q5kvxyf52kukw1pa[Column1],timeseries_access_key_fqeas14oitk235763mntlb1c0brnk9w3fenzqbk313q5kvxyf52kukw1pa[Month],MONTH(Data!$A777),timeseries_access_key_fqeas14oitk235763mntlb1c0brnk9w3fenzqbk313q5kvxyf52kukw1pa[Year],YEAR(Data!$A777)),"")</f>
        <v>0.16995940027201661</v>
      </c>
      <c r="O777" s="8" t="str">
        <f>IFERROR(VLOOKUP($A777,Text_1_2[[Text.1.1.3]:[Text.1.3]],2,FALSE),"")</f>
        <v/>
      </c>
      <c r="P777" s="2"/>
    </row>
    <row r="778" spans="1:16" x14ac:dyDescent="0.25">
      <c r="A778" s="1">
        <v>44805</v>
      </c>
      <c r="B778">
        <f>HLOOKUP(Dashboard!$I$27,results,ROW(A778),FALSE)</f>
        <v>0.49047441926821933</v>
      </c>
      <c r="C778">
        <f>IFERROR(VLOOKUP(A778,observations_series_id_PCU22112222112243_api_key_ecc133893ea92a842ee685c73424608[],2,FALSE),"")</f>
        <v>254.327</v>
      </c>
      <c r="D778" s="2">
        <f>IFERROR(VLOOKUP(A778,observations_series_id_PCU22112222112243_api_key_ecc133893ea92a842ee685c73424608[],3,FALSE),"")</f>
        <v>0.931584141675874</v>
      </c>
      <c r="E778">
        <f>IFERROR(VLOOKUP($A778,observations_series_id_WPU0613020T_api_key_ecc133893ea92a842ee685c734246086_file[],2,FALSE),"")</f>
        <v>153.60300000000001</v>
      </c>
      <c r="F778" s="2">
        <f>IFERROR(VLOOKUP($A778,observations_series_id_WPU0613020T_api_key_ecc133893ea92a842ee685c734246086_file[],3,FALSE),"")</f>
        <v>0.34897104874253759</v>
      </c>
      <c r="G778">
        <f>IFERROR(VLOOKUP($A778,observations_series_id_PCU22122212_api_key_ecc133893ea92a842ee685c734246086_file[],2,FALSE),"")</f>
        <v>196.261</v>
      </c>
      <c r="H778" s="2">
        <f>IFERROR(VLOOKUP($A778,observations_series_id_PCU22122212_api_key_ecc133893ea92a842ee685c734246086_file[],3,FALSE),"")</f>
        <v>0.49047441926821933</v>
      </c>
      <c r="I778">
        <f>IFERROR(VLOOKUP($A778,observations_series_id_PCU3241913241910_api_key_ecc133893ea92a842ee685c734246086[],2,FALSE),"")</f>
        <v>673.96900000000005</v>
      </c>
      <c r="J778" s="2">
        <f>IFERROR(VLOOKUP($A778,observations_series_id_PCU3241913241910_api_key_ecc133893ea92a842ee685c734246086[],3,FALSE),"")</f>
        <v>0.92373536468294537</v>
      </c>
      <c r="K778">
        <f>IFERROR(VLOOKUP($A778,observations_series_id_EXJPUS_api_key_ecc133893ea92a842ee685c734246086_file_type[],2,FALSE),"")</f>
        <v>143.2843</v>
      </c>
      <c r="L778" s="2">
        <f>IFERROR(VLOOKUP($A778,observations_series_id_EXJPUS_api_key_ecc133893ea92a842ee685c734246086_file_type[],3,FALSE),"")</f>
        <v>-1.4986687306285473</v>
      </c>
      <c r="M778">
        <f>IFERROR(AVERAGEIFS(timeseries_access_key_fqeas14oitk235763mntlb1c0brnk9w3fenzqbk313q5kvxyf52kukw1pa[Value.LME-ZNC],timeseries_access_key_fqeas14oitk235763mntlb1c0brnk9w3fenzqbk313q5kvxyf52kukw1pa[Month],MONTH(Data!$A778),timeseries_access_key_fqeas14oitk235763mntlb1c0brnk9w3fenzqbk313q5kvxyf52kukw1pa[Year],YEAR(Data!$A778)),"")</f>
        <v>10.220569517532436</v>
      </c>
      <c r="N778" s="2">
        <f>IFERROR(AVERAGEIFS(timeseries_access_key_fqeas14oitk235763mntlb1c0brnk9w3fenzqbk313q5kvxyf52kukw1pa[Column1],timeseries_access_key_fqeas14oitk235763mntlb1c0brnk9w3fenzqbk313q5kvxyf52kukw1pa[Month],MONTH(Data!$A778),timeseries_access_key_fqeas14oitk235763mntlb1c0brnk9w3fenzqbk313q5kvxyf52kukw1pa[Year],YEAR(Data!$A778)),"")</f>
        <v>0.26810325754059527</v>
      </c>
      <c r="O778" s="8" t="str">
        <f>IFERROR(VLOOKUP($A778,Text_1_2[[Text.1.1.3]:[Text.1.3]],2,FALSE),"")</f>
        <v/>
      </c>
      <c r="P778" s="2"/>
    </row>
    <row r="779" spans="1:16" x14ac:dyDescent="0.25">
      <c r="A779" s="1">
        <v>44835</v>
      </c>
      <c r="B779">
        <f>HLOOKUP(Dashboard!$I$27,results,ROW(A779),FALSE)</f>
        <v>0.46995717253954117</v>
      </c>
      <c r="C779">
        <f>IFERROR(VLOOKUP(A779,observations_series_id_PCU22112222112243_api_key_ecc133893ea92a842ee685c73424608[],2,FALSE),"")</f>
        <v>238.315</v>
      </c>
      <c r="D779" s="2">
        <f>IFERROR(VLOOKUP(A779,observations_series_id_PCU22112222112243_api_key_ecc133893ea92a842ee685c73424608[],3,FALSE),"")</f>
        <v>0.92698739063844071</v>
      </c>
      <c r="E779">
        <f>IFERROR(VLOOKUP($A779,observations_series_id_WPU0613020T_api_key_ecc133893ea92a842ee685c734246086_file[],2,FALSE),"")</f>
        <v>153.137</v>
      </c>
      <c r="F779" s="2">
        <f>IFERROR(VLOOKUP($A779,observations_series_id_WPU0613020T_api_key_ecc133893ea92a842ee685c734246086_file[],3,FALSE),"")</f>
        <v>0.34698995017533318</v>
      </c>
      <c r="G779">
        <f>IFERROR(VLOOKUP($A779,observations_series_id_PCU22122212_api_key_ecc133893ea92a842ee685c734246086_file[],2,FALSE),"")</f>
        <v>188.66399999999999</v>
      </c>
      <c r="H779" s="2">
        <f>IFERROR(VLOOKUP($A779,observations_series_id_PCU22122212_api_key_ecc133893ea92a842ee685c734246086_file[],3,FALSE),"")</f>
        <v>0.46995717253954117</v>
      </c>
      <c r="I779">
        <f>IFERROR(VLOOKUP($A779,observations_series_id_PCU3241913241910_api_key_ecc133893ea92a842ee685c734246086[],2,FALSE),"")</f>
        <v>684.56399999999996</v>
      </c>
      <c r="J779" s="2">
        <f>IFERROR(VLOOKUP($A779,observations_series_id_PCU3241913241910_api_key_ecc133893ea92a842ee685c734246086[],3,FALSE),"")</f>
        <v>0.92491571277484641</v>
      </c>
      <c r="K779">
        <f>IFERROR(VLOOKUP($A779,observations_series_id_EXJPUS_api_key_ecc133893ea92a842ee685c734246086_file_type[],2,FALSE),"")</f>
        <v>147.0515</v>
      </c>
      <c r="L779" s="2">
        <f>IFERROR(VLOOKUP($A779,observations_series_id_EXJPUS_api_key_ecc133893ea92a842ee685c734246086_file_type[],3,FALSE),"")</f>
        <v>-1.4346572459308473</v>
      </c>
      <c r="M779">
        <f>IFERROR(AVERAGEIFS(timeseries_access_key_fqeas14oitk235763mntlb1c0brnk9w3fenzqbk313q5kvxyf52kukw1pa[Value.LME-ZNC],timeseries_access_key_fqeas14oitk235763mntlb1c0brnk9w3fenzqbk313q5kvxyf52kukw1pa[Month],MONTH(Data!$A779),timeseries_access_key_fqeas14oitk235763mntlb1c0brnk9w3fenzqbk313q5kvxyf52kukw1pa[Year],YEAR(Data!$A779)),"")</f>
        <v>10.820248982550481</v>
      </c>
      <c r="N779" s="2">
        <f>IFERROR(AVERAGEIFS(timeseries_access_key_fqeas14oitk235763mntlb1c0brnk9w3fenzqbk313q5kvxyf52kukw1pa[Column1],timeseries_access_key_fqeas14oitk235763mntlb1c0brnk9w3fenzqbk313q5kvxyf52kukw1pa[Month],MONTH(Data!$A779),timeseries_access_key_fqeas14oitk235763mntlb1c0brnk9w3fenzqbk313q5kvxyf52kukw1pa[Year],YEAR(Data!$A779)),"")</f>
        <v>0.31008405465326044</v>
      </c>
      <c r="O779" s="8">
        <f>IFERROR(VLOOKUP($A779,Text_1_2[[Text.1.1.3]:[Text.1.3]],2,FALSE),"")</f>
        <v>72500</v>
      </c>
      <c r="P779" s="2"/>
    </row>
    <row r="780" spans="1:16" x14ac:dyDescent="0.25">
      <c r="A780" s="1">
        <v>44866</v>
      </c>
      <c r="B780">
        <f>HLOOKUP(Dashboard!$I$27,results,ROW(A780),FALSE)</f>
        <v>0.4578594121027465</v>
      </c>
      <c r="C780">
        <f>IFERROR(VLOOKUP(A780,observations_series_id_PCU22112222112243_api_key_ecc133893ea92a842ee685c73424608[],2,FALSE),"")</f>
        <v>228.934</v>
      </c>
      <c r="D780" s="2">
        <f>IFERROR(VLOOKUP(A780,observations_series_id_PCU22112222112243_api_key_ecc133893ea92a842ee685c73424608[],3,FALSE),"")</f>
        <v>0.92399556203971445</v>
      </c>
      <c r="E780">
        <f>IFERROR(VLOOKUP($A780,observations_series_id_WPU0613020T_api_key_ecc133893ea92a842ee685c734246086_file[],2,FALSE),"")</f>
        <v>121.44799999999999</v>
      </c>
      <c r="F780" s="2">
        <f>IFERROR(VLOOKUP($A780,observations_series_id_WPU0613020T_api_key_ecc133893ea92a842ee685c734246086_file[],3,FALSE),"")</f>
        <v>0.17660233186219609</v>
      </c>
      <c r="G780">
        <f>IFERROR(VLOOKUP($A780,observations_series_id_PCU22122212_api_key_ecc133893ea92a842ee685c734246086_file[],2,FALSE),"")</f>
        <v>184.45400000000001</v>
      </c>
      <c r="H780" s="2">
        <f>IFERROR(VLOOKUP($A780,observations_series_id_PCU22122212_api_key_ecc133893ea92a842ee685c734246086_file[],3,FALSE),"")</f>
        <v>0.4578594121027465</v>
      </c>
      <c r="I780">
        <f>IFERROR(VLOOKUP($A780,observations_series_id_PCU3241913241910_api_key_ecc133893ea92a842ee685c734246086[],2,FALSE),"")</f>
        <v>686.822</v>
      </c>
      <c r="J780" s="2">
        <f>IFERROR(VLOOKUP($A780,observations_series_id_PCU3241913241910_api_key_ecc133893ea92a842ee685c734246086[],3,FALSE),"")</f>
        <v>0.92516256031402611</v>
      </c>
      <c r="K780">
        <f>IFERROR(VLOOKUP($A780,observations_series_id_EXJPUS_api_key_ecc133893ea92a842ee685c734246086_file_type[],2,FALSE),"")</f>
        <v>142.44499999999999</v>
      </c>
      <c r="L780" s="2">
        <f>IFERROR(VLOOKUP($A780,observations_series_id_EXJPUS_api_key_ecc133893ea92a842ee685c734246086_file_type[],3,FALSE),"")</f>
        <v>-1.5133911334199164</v>
      </c>
      <c r="M780">
        <f>IFERROR(AVERAGEIFS(timeseries_access_key_fqeas14oitk235763mntlb1c0brnk9w3fenzqbk313q5kvxyf52kukw1pa[Value.LME-ZNC],timeseries_access_key_fqeas14oitk235763mntlb1c0brnk9w3fenzqbk313q5kvxyf52kukw1pa[Month],MONTH(Data!$A780),timeseries_access_key_fqeas14oitk235763mntlb1c0brnk9w3fenzqbk313q5kvxyf52kukw1pa[Year],YEAR(Data!$A780)),"")</f>
        <v>10.982321954131869</v>
      </c>
      <c r="N780" s="2">
        <f>IFERROR(AVERAGEIFS(timeseries_access_key_fqeas14oitk235763mntlb1c0brnk9w3fenzqbk313q5kvxyf52kukw1pa[Column1],timeseries_access_key_fqeas14oitk235763mntlb1c0brnk9w3fenzqbk313q5kvxyf52kukw1pa[Month],MONTH(Data!$A780),timeseries_access_key_fqeas14oitk235763mntlb1c0brnk9w3fenzqbk313q5kvxyf52kukw1pa[Year],YEAR(Data!$A780)),"")</f>
        <v>0.31983911873296617</v>
      </c>
      <c r="O780" s="8" t="str">
        <f>IFERROR(VLOOKUP($A780,Text_1_2[[Text.1.1.3]:[Text.1.3]],2,FALSE),"")</f>
        <v/>
      </c>
      <c r="P780" s="2"/>
    </row>
    <row r="781" spans="1:16" x14ac:dyDescent="0.25">
      <c r="A781" s="1">
        <v>44896</v>
      </c>
      <c r="B781">
        <f>HLOOKUP(Dashboard!$I$27,results,ROW(A781),FALSE)</f>
        <v>0.47000773788702677</v>
      </c>
      <c r="C781">
        <f>IFERROR(VLOOKUP(A781,observations_series_id_PCU22112222112243_api_key_ecc133893ea92a842ee685c73424608[],2,FALSE),"")</f>
        <v>234.03</v>
      </c>
      <c r="D781" s="2">
        <f>IFERROR(VLOOKUP(A781,observations_series_id_PCU22112222112243_api_key_ecc133893ea92a842ee685c73424608[],3,FALSE),"")</f>
        <v>0.92565055762081783</v>
      </c>
      <c r="E781">
        <f>IFERROR(VLOOKUP($A781,observations_series_id_WPU0613020T_api_key_ecc133893ea92a842ee685c734246086_file[],2,FALSE),"")</f>
        <v>119.12</v>
      </c>
      <c r="F781" s="2">
        <f>IFERROR(VLOOKUP($A781,observations_series_id_WPU0613020T_api_key_ecc133893ea92a842ee685c734246086_file[],3,FALSE),"")</f>
        <v>0.16051040967092012</v>
      </c>
      <c r="G781">
        <f>IFERROR(VLOOKUP($A781,observations_series_id_PCU22122212_api_key_ecc133893ea92a842ee685c734246086_file[],2,FALSE),"")</f>
        <v>188.68199999999999</v>
      </c>
      <c r="H781" s="2">
        <f>IFERROR(VLOOKUP($A781,observations_series_id_PCU22122212_api_key_ecc133893ea92a842ee685c734246086_file[],3,FALSE),"")</f>
        <v>0.47000773788702677</v>
      </c>
      <c r="I781">
        <f>IFERROR(VLOOKUP($A781,observations_series_id_PCU3241913241910_api_key_ecc133893ea92a842ee685c734246086[],2,FALSE),"")</f>
        <v>686.55600000000004</v>
      </c>
      <c r="J781" s="2">
        <f>IFERROR(VLOOKUP($A781,observations_series_id_PCU3241913241910_api_key_ecc133893ea92a842ee685c734246086[],3,FALSE),"")</f>
        <v>0.92513356521536483</v>
      </c>
      <c r="K781">
        <f>IFERROR(VLOOKUP($A781,observations_series_id_EXJPUS_api_key_ecc133893ea92a842ee685c734246086_file_type[],2,FALSE),"")</f>
        <v>134.91480000000001</v>
      </c>
      <c r="L781" s="2">
        <f>IFERROR(VLOOKUP($A781,observations_series_id_EXJPUS_api_key_ecc133893ea92a842ee685c734246086_file_type[],3,FALSE),"")</f>
        <v>-1.6536747636286009</v>
      </c>
      <c r="M781">
        <f>IFERROR(AVERAGEIFS(timeseries_access_key_fqeas14oitk235763mntlb1c0brnk9w3fenzqbk313q5kvxyf52kukw1pa[Value.LME-ZNC],timeseries_access_key_fqeas14oitk235763mntlb1c0brnk9w3fenzqbk313q5kvxyf52kukw1pa[Month],MONTH(Data!$A781),timeseries_access_key_fqeas14oitk235763mntlb1c0brnk9w3fenzqbk313q5kvxyf52kukw1pa[Year],YEAR(Data!$A781)),"")</f>
        <v>10.313448056202981</v>
      </c>
      <c r="N781" s="2">
        <f>IFERROR(AVERAGEIFS(timeseries_access_key_fqeas14oitk235763mntlb1c0brnk9w3fenzqbk313q5kvxyf52kukw1pa[Column1],timeseries_access_key_fqeas14oitk235763mntlb1c0brnk9w3fenzqbk313q5kvxyf52kukw1pa[Month],MONTH(Data!$A781),timeseries_access_key_fqeas14oitk235763mntlb1c0brnk9w3fenzqbk313q5kvxyf52kukw1pa[Year],YEAR(Data!$A781)),"")</f>
        <v>0.25724717339519759</v>
      </c>
      <c r="O781" s="8" t="str">
        <f>IFERROR(VLOOKUP($A781,Text_1_2[[Text.1.1.3]:[Text.1.3]],2,FALSE),"")</f>
        <v/>
      </c>
      <c r="P781" s="2"/>
    </row>
    <row r="782" spans="1:16" x14ac:dyDescent="0.25">
      <c r="A782" s="1">
        <v>44927</v>
      </c>
      <c r="B782">
        <f>HLOOKUP(Dashboard!$I$27,results,ROW(A782),FALSE)</f>
        <v>0.50593129480585575</v>
      </c>
      <c r="C782">
        <f>IFERROR(VLOOKUP(A782,observations_series_id_PCU22112222112243_api_key_ecc133893ea92a842ee685c73424608[],2,FALSE),"")</f>
        <v>255.50200000000001</v>
      </c>
      <c r="D782" s="2">
        <f>IFERROR(VLOOKUP(A782,observations_series_id_PCU22112222112243_api_key_ecc133893ea92a842ee685c73424608[],3,FALSE),"")</f>
        <v>0.9318987718295747</v>
      </c>
      <c r="E782">
        <f>IFERROR(VLOOKUP($A782,observations_series_id_WPU0613020T_api_key_ecc133893ea92a842ee685c734246086_file[],2,FALSE),"")</f>
        <v>119.242</v>
      </c>
      <c r="F782" s="2">
        <f>IFERROR(VLOOKUP($A782,observations_series_id_WPU0613020T_api_key_ecc133893ea92a842ee685c734246086_file[],3,FALSE),"")</f>
        <v>0.1613693161805404</v>
      </c>
      <c r="G782">
        <f>IFERROR(VLOOKUP($A782,observations_series_id_PCU22122212_api_key_ecc133893ea92a842ee685c734246086_file[],2,FALSE),"")</f>
        <v>202.40100000000001</v>
      </c>
      <c r="H782" s="2">
        <f>IFERROR(VLOOKUP($A782,observations_series_id_PCU22122212_api_key_ecc133893ea92a842ee685c734246086_file[],3,FALSE),"")</f>
        <v>0.50593129480585575</v>
      </c>
      <c r="I782">
        <f>IFERROR(VLOOKUP($A782,observations_series_id_PCU3241913241910_api_key_ecc133893ea92a842ee685c734246086[],2,FALSE),"")</f>
        <v>682.928</v>
      </c>
      <c r="J782" s="2">
        <f>IFERROR(VLOOKUP($A782,observations_series_id_PCU3241913241910_api_key_ecc133893ea92a842ee685c734246086[],3,FALSE),"")</f>
        <v>0.92473584330998293</v>
      </c>
      <c r="K782">
        <f>IFERROR(VLOOKUP($A782,observations_series_id_EXJPUS_api_key_ecc133893ea92a842ee685c734246086_file_type[],2,FALSE),"")</f>
        <v>130.44749999999999</v>
      </c>
      <c r="L782" s="2">
        <f>IFERROR(VLOOKUP($A782,observations_series_id_EXJPUS_api_key_ecc133893ea92a842ee685c734246086_file_type[],3,FALSE),"")</f>
        <v>-1.7445524061404014</v>
      </c>
      <c r="M782">
        <f>IFERROR(AVERAGEIFS(timeseries_access_key_fqeas14oitk235763mntlb1c0brnk9w3fenzqbk313q5kvxyf52kukw1pa[Value.LME-ZNC],timeseries_access_key_fqeas14oitk235763mntlb1c0brnk9w3fenzqbk313q5kvxyf52kukw1pa[Month],MONTH(Data!$A782),timeseries_access_key_fqeas14oitk235763mntlb1c0brnk9w3fenzqbk313q5kvxyf52kukw1pa[Year],YEAR(Data!$A782)),"")</f>
        <v>9.8547264346742249</v>
      </c>
      <c r="N782" s="2">
        <f>IFERROR(AVERAGEIFS(timeseries_access_key_fqeas14oitk235763mntlb1c0brnk9w3fenzqbk313q5kvxyf52kukw1pa[Column1],timeseries_access_key_fqeas14oitk235763mntlb1c0brnk9w3fenzqbk313q5kvxyf52kukw1pa[Month],MONTH(Data!$A782),timeseries_access_key_fqeas14oitk235763mntlb1c0brnk9w3fenzqbk313q5kvxyf52kukw1pa[Year],YEAR(Data!$A782)),"")</f>
        <v>0.23237678018111727</v>
      </c>
      <c r="O782" s="8">
        <f>IFERROR(VLOOKUP($A782,Text_1_2[[Text.1.1.3]:[Text.1.3]],2,FALSE),"")</f>
        <v>60000</v>
      </c>
      <c r="P782" s="2"/>
    </row>
    <row r="783" spans="1:16" x14ac:dyDescent="0.25">
      <c r="A783" s="1">
        <v>44958</v>
      </c>
      <c r="B783">
        <f>HLOOKUP(Dashboard!$I$27,results,ROW(A783),FALSE)</f>
        <v>0.4697098252163584</v>
      </c>
      <c r="C783">
        <f>IFERROR(VLOOKUP(A783,observations_series_id_PCU22112222112243_api_key_ecc133893ea92a842ee685c73424608[],2,FALSE),"")</f>
        <v>245.154</v>
      </c>
      <c r="D783" s="2">
        <f>IFERROR(VLOOKUP(A783,observations_series_id_PCU22112222112243_api_key_ecc133893ea92a842ee685c73424608[],3,FALSE),"")</f>
        <v>0.92902420519347029</v>
      </c>
      <c r="E783">
        <f>IFERROR(VLOOKUP($A783,observations_series_id_WPU0613020T_api_key_ecc133893ea92a842ee685c734246086_file[],2,FALSE),"")</f>
        <v>118.568</v>
      </c>
      <c r="F783" s="2">
        <f>IFERROR(VLOOKUP($A783,observations_series_id_WPU0613020T_api_key_ecc133893ea92a842ee685c734246086_file[],3,FALSE),"")</f>
        <v>0.15660211861547801</v>
      </c>
      <c r="G783">
        <f>IFERROR(VLOOKUP($A783,observations_series_id_PCU22122212_api_key_ecc133893ea92a842ee685c734246086_file[],2,FALSE),"")</f>
        <v>188.57599999999999</v>
      </c>
      <c r="H783" s="2">
        <f>IFERROR(VLOOKUP($A783,observations_series_id_PCU22122212_api_key_ecc133893ea92a842ee685c734246086_file[],3,FALSE),"")</f>
        <v>0.4697098252163584</v>
      </c>
      <c r="I783">
        <f>IFERROR(VLOOKUP($A783,observations_series_id_PCU3241913241910_api_key_ecc133893ea92a842ee685c734246086[],2,FALSE),"")</f>
        <v>678.94299999999998</v>
      </c>
      <c r="J783" s="2">
        <f>IFERROR(VLOOKUP($A783,observations_series_id_PCU3241913241910_api_key_ecc133893ea92a842ee685c734246086[],3,FALSE),"")</f>
        <v>0.92429408654334755</v>
      </c>
      <c r="K783">
        <f>IFERROR(VLOOKUP($A783,observations_series_id_EXJPUS_api_key_ecc133893ea92a842ee685c734246086_file_type[],2,FALSE),"")</f>
        <v>133.0463</v>
      </c>
      <c r="L783" s="2">
        <f>IFERROR(VLOOKUP($A783,observations_series_id_EXJPUS_api_key_ecc133893ea92a842ee685c734246086_file_type[],3,FALSE),"")</f>
        <v>-1.6909429273869319</v>
      </c>
      <c r="M783">
        <f>IFERROR(AVERAGEIFS(timeseries_access_key_fqeas14oitk235763mntlb1c0brnk9w3fenzqbk313q5kvxyf52kukw1pa[Value.LME-ZNC],timeseries_access_key_fqeas14oitk235763mntlb1c0brnk9w3fenzqbk313q5kvxyf52kukw1pa[Month],MONTH(Data!$A783),timeseries_access_key_fqeas14oitk235763mntlb1c0brnk9w3fenzqbk313q5kvxyf52kukw1pa[Year],YEAR(Data!$A783)),"")</f>
        <v>10.215999456893478</v>
      </c>
      <c r="N783" s="2">
        <f>IFERROR(AVERAGEIFS(timeseries_access_key_fqeas14oitk235763mntlb1c0brnk9w3fenzqbk313q5kvxyf52kukw1pa[Column1],timeseries_access_key_fqeas14oitk235763mntlb1c0brnk9w3fenzqbk313q5kvxyf52kukw1pa[Month],MONTH(Data!$A783),timeseries_access_key_fqeas14oitk235763mntlb1c0brnk9w3fenzqbk313q5kvxyf52kukw1pa[Year],YEAR(Data!$A783)),"")</f>
        <v>0.26815236194895914</v>
      </c>
      <c r="O783" s="8" t="str">
        <f>IFERROR(VLOOKUP($A783,Text_1_2[[Text.1.1.3]:[Text.1.3]],2,FALSE),"")</f>
        <v/>
      </c>
      <c r="P783" s="2"/>
    </row>
    <row r="784" spans="1:16" x14ac:dyDescent="0.25">
      <c r="A784" s="1">
        <v>44986</v>
      </c>
      <c r="B784" t="str">
        <f>HLOOKUP(Dashboard!$I$27,results,ROW(A784),FALSE)</f>
        <v/>
      </c>
      <c r="C784" t="str">
        <f>IFERROR(VLOOKUP(A784,observations_series_id_PCU22112222112243_api_key_ecc133893ea92a842ee685c73424608[],2,FALSE),"")</f>
        <v/>
      </c>
      <c r="D784" s="2" t="str">
        <f>IFERROR(VLOOKUP(A784,observations_series_id_PCU22112222112243_api_key_ecc133893ea92a842ee685c73424608[],3,FALSE),"")</f>
        <v/>
      </c>
      <c r="E784" t="str">
        <f>IFERROR(VLOOKUP($A784,observations_series_id_WPU0613020T_api_key_ecc133893ea92a842ee685c734246086_file[],2,FALSE),"")</f>
        <v/>
      </c>
      <c r="F784" s="2" t="str">
        <f>IFERROR(VLOOKUP($A784,observations_series_id_WPU0613020T_api_key_ecc133893ea92a842ee685c734246086_file[],3,FALSE),"")</f>
        <v/>
      </c>
      <c r="G784" t="str">
        <f>IFERROR(VLOOKUP($A784,observations_series_id_PCU22122212_api_key_ecc133893ea92a842ee685c734246086_file[],2,FALSE),"")</f>
        <v/>
      </c>
      <c r="H784" s="2" t="str">
        <f>IFERROR(VLOOKUP($A784,observations_series_id_PCU22122212_api_key_ecc133893ea92a842ee685c734246086_file[],3,FALSE),"")</f>
        <v/>
      </c>
      <c r="I784" t="str">
        <f>IFERROR(VLOOKUP($A784,observations_series_id_PCU3241913241910_api_key_ecc133893ea92a842ee685c734246086[],2,FALSE),"")</f>
        <v/>
      </c>
      <c r="J784" s="2" t="str">
        <f>IFERROR(VLOOKUP($A784,observations_series_id_PCU3241913241910_api_key_ecc133893ea92a842ee685c734246086[],3,FALSE),"")</f>
        <v/>
      </c>
      <c r="K784">
        <f>IFERROR(VLOOKUP($A784,observations_series_id_EXJPUS_api_key_ecc133893ea92a842ee685c734246086_file_type[],2,FALSE),"")</f>
        <v>133.6643</v>
      </c>
      <c r="L784" s="2">
        <f>IFERROR(VLOOKUP($A784,observations_series_id_EXJPUS_api_key_ecc133893ea92a842ee685c734246086_file_type[],3,FALSE),"")</f>
        <v>-1.6785012901724694</v>
      </c>
      <c r="M784">
        <f>IFERROR(AVERAGEIFS(timeseries_access_key_fqeas14oitk235763mntlb1c0brnk9w3fenzqbk313q5kvxyf52kukw1pa[Value.LME-ZNC],timeseries_access_key_fqeas14oitk235763mntlb1c0brnk9w3fenzqbk313q5kvxyf52kukw1pa[Month],MONTH(Data!$A784),timeseries_access_key_fqeas14oitk235763mntlb1c0brnk9w3fenzqbk313q5kvxyf52kukw1pa[Year],YEAR(Data!$A784)),"")</f>
        <v>10.837633591958465</v>
      </c>
      <c r="N784" s="2">
        <f>IFERROR(AVERAGEIFS(timeseries_access_key_fqeas14oitk235763mntlb1c0brnk9w3fenzqbk313q5kvxyf52kukw1pa[Column1],timeseries_access_key_fqeas14oitk235763mntlb1c0brnk9w3fenzqbk313q5kvxyf52kukw1pa[Month],MONTH(Data!$A784),timeseries_access_key_fqeas14oitk235763mntlb1c0brnk9w3fenzqbk313q5kvxyf52kukw1pa[Year],YEAR(Data!$A784)),"")</f>
        <v>0.31097204375207038</v>
      </c>
      <c r="O784" s="8" t="str">
        <f>IFERROR(VLOOKUP($A784,Text_1_2[[Text.1.1.3]:[Text.1.3]],2,FALSE),"")</f>
        <v/>
      </c>
      <c r="P784" s="2"/>
    </row>
    <row r="785" spans="1:16" x14ac:dyDescent="0.25">
      <c r="A785" s="1">
        <v>45017</v>
      </c>
      <c r="B785" t="str">
        <f>HLOOKUP(Dashboard!$I$27,results,ROW(A785),FALSE)</f>
        <v/>
      </c>
      <c r="C785" t="str">
        <f>IFERROR(VLOOKUP(A785,observations_series_id_PCU22112222112243_api_key_ecc133893ea92a842ee685c73424608[],2,FALSE),"")</f>
        <v/>
      </c>
      <c r="D785" s="2" t="str">
        <f>IFERROR(VLOOKUP(A785,observations_series_id_PCU22112222112243_api_key_ecc133893ea92a842ee685c73424608[],3,FALSE),"")</f>
        <v/>
      </c>
      <c r="E785" t="str">
        <f>IFERROR(VLOOKUP($A785,observations_series_id_WPU0613020T_api_key_ecc133893ea92a842ee685c734246086_file[],2,FALSE),"")</f>
        <v/>
      </c>
      <c r="F785" s="2" t="str">
        <f>IFERROR(VLOOKUP($A785,observations_series_id_WPU0613020T_api_key_ecc133893ea92a842ee685c734246086_file[],3,FALSE),"")</f>
        <v/>
      </c>
      <c r="G785" t="str">
        <f>IFERROR(VLOOKUP($A785,observations_series_id_PCU22122212_api_key_ecc133893ea92a842ee685c734246086_file[],2,FALSE),"")</f>
        <v/>
      </c>
      <c r="H785" s="2" t="str">
        <f>IFERROR(VLOOKUP($A785,observations_series_id_PCU22122212_api_key_ecc133893ea92a842ee685c734246086_file[],3,FALSE),"")</f>
        <v/>
      </c>
      <c r="I785" t="str">
        <f>IFERROR(VLOOKUP($A785,observations_series_id_PCU3241913241910_api_key_ecc133893ea92a842ee685c734246086[],2,FALSE),"")</f>
        <v/>
      </c>
      <c r="J785" s="2" t="str">
        <f>IFERROR(VLOOKUP($A785,observations_series_id_PCU3241913241910_api_key_ecc133893ea92a842ee685c734246086[],3,FALSE),"")</f>
        <v/>
      </c>
      <c r="K785" t="str">
        <f>IFERROR(VLOOKUP($A785,observations_series_id_EXJPUS_api_key_ecc133893ea92a842ee685c734246086_file_type[],2,FALSE),"")</f>
        <v/>
      </c>
      <c r="L785" s="2" t="str">
        <f>IFERROR(VLOOKUP($A785,observations_series_id_EXJPUS_api_key_ecc133893ea92a842ee685c734246086_file_type[],3,FALSE),"")</f>
        <v/>
      </c>
      <c r="M785">
        <f>IFERROR(AVERAGEIFS(timeseries_access_key_fqeas14oitk235763mntlb1c0brnk9w3fenzqbk313q5kvxyf52kukw1pa[Value.LME-ZNC],timeseries_access_key_fqeas14oitk235763mntlb1c0brnk9w3fenzqbk313q5kvxyf52kukw1pa[Month],MONTH(Data!$A785),timeseries_access_key_fqeas14oitk235763mntlb1c0brnk9w3fenzqbk313q5kvxyf52kukw1pa[Year],YEAR(Data!$A785)),"")</f>
        <v>11.03293679131675</v>
      </c>
      <c r="N785" s="2">
        <f>IFERROR(AVERAGEIFS(timeseries_access_key_fqeas14oitk235763mntlb1c0brnk9w3fenzqbk313q5kvxyf52kukw1pa[Column1],timeseries_access_key_fqeas14oitk235763mntlb1c0brnk9w3fenzqbk313q5kvxyf52kukw1pa[Month],MONTH(Data!$A785),timeseries_access_key_fqeas14oitk235763mntlb1c0brnk9w3fenzqbk313q5kvxyf52kukw1pa[Year],YEAR(Data!$A785)),"")</f>
        <v>0.32354436658929975</v>
      </c>
      <c r="O785" s="8">
        <f>IFERROR(VLOOKUP($A785,Text_1_2[[Text.1.1.3]:[Text.1.3]],2,FALSE),"")</f>
        <v>0</v>
      </c>
      <c r="P785" s="2"/>
    </row>
    <row r="786" spans="1:16" x14ac:dyDescent="0.25">
      <c r="A786" s="1">
        <v>45047</v>
      </c>
      <c r="B786" t="str">
        <f>HLOOKUP(Dashboard!$I$27,results,ROW(A786),FALSE)</f>
        <v/>
      </c>
      <c r="C786" t="str">
        <f>IFERROR(VLOOKUP(A786,observations_series_id_PCU22112222112243_api_key_ecc133893ea92a842ee685c73424608[],2,FALSE),"")</f>
        <v/>
      </c>
      <c r="D786" s="2" t="str">
        <f>IFERROR(VLOOKUP(A786,observations_series_id_PCU22112222112243_api_key_ecc133893ea92a842ee685c73424608[],3,FALSE),"")</f>
        <v/>
      </c>
      <c r="E786" t="str">
        <f>IFERROR(VLOOKUP($A786,observations_series_id_WPU0613020T_api_key_ecc133893ea92a842ee685c734246086_file[],2,FALSE),"")</f>
        <v/>
      </c>
      <c r="F786" s="2" t="str">
        <f>IFERROR(VLOOKUP($A786,observations_series_id_WPU0613020T_api_key_ecc133893ea92a842ee685c734246086_file[],3,FALSE),"")</f>
        <v/>
      </c>
      <c r="G786" t="str">
        <f>IFERROR(VLOOKUP($A786,observations_series_id_PCU22122212_api_key_ecc133893ea92a842ee685c734246086_file[],2,FALSE),"")</f>
        <v/>
      </c>
      <c r="H786" s="2" t="str">
        <f>IFERROR(VLOOKUP($A786,observations_series_id_PCU22122212_api_key_ecc133893ea92a842ee685c734246086_file[],3,FALSE),"")</f>
        <v/>
      </c>
      <c r="I786" t="str">
        <f>IFERROR(VLOOKUP($A786,observations_series_id_PCU3241913241910_api_key_ecc133893ea92a842ee685c734246086[],2,FALSE),"")</f>
        <v/>
      </c>
      <c r="J786" s="2" t="str">
        <f>IFERROR(VLOOKUP($A786,observations_series_id_PCU3241913241910_api_key_ecc133893ea92a842ee685c734246086[],3,FALSE),"")</f>
        <v/>
      </c>
      <c r="K786" t="str">
        <f>IFERROR(VLOOKUP($A786,observations_series_id_EXJPUS_api_key_ecc133893ea92a842ee685c734246086_file_type[],2,FALSE),"")</f>
        <v/>
      </c>
      <c r="L786" s="2" t="str">
        <f>IFERROR(VLOOKUP($A786,observations_series_id_EXJPUS_api_key_ecc133893ea92a842ee685c734246086_file_type[],3,FALSE),"")</f>
        <v/>
      </c>
      <c r="M786" t="str">
        <f>IFERROR(AVERAGEIFS(timeseries_access_key_fqeas14oitk235763mntlb1c0brnk9w3fenzqbk313q5kvxyf52kukw1pa[Value.LME-ZNC],timeseries_access_key_fqeas14oitk235763mntlb1c0brnk9w3fenzqbk313q5kvxyf52kukw1pa[Month],MONTH(Data!$A786),timeseries_access_key_fqeas14oitk235763mntlb1c0brnk9w3fenzqbk313q5kvxyf52kukw1pa[Year],YEAR(Data!$A786)),"")</f>
        <v/>
      </c>
      <c r="N786" s="2" t="str">
        <f>IFERROR(AVERAGEIFS(timeseries_access_key_fqeas14oitk235763mntlb1c0brnk9w3fenzqbk313q5kvxyf52kukw1pa[Column1],timeseries_access_key_fqeas14oitk235763mntlb1c0brnk9w3fenzqbk313q5kvxyf52kukw1pa[Month],MONTH(Data!$A786),timeseries_access_key_fqeas14oitk235763mntlb1c0brnk9w3fenzqbk313q5kvxyf52kukw1pa[Year],YEAR(Data!$A786)),"")</f>
        <v/>
      </c>
      <c r="O786" s="8" t="str">
        <f>IFERROR(VLOOKUP($A786,Text_1_2[[Text.1.1.3]:[Text.1.3]],2,FALSE),"")</f>
        <v/>
      </c>
      <c r="P786" s="2"/>
    </row>
    <row r="787" spans="1:16" x14ac:dyDescent="0.25">
      <c r="A787" s="1">
        <v>45078</v>
      </c>
      <c r="B787" t="str">
        <f>HLOOKUP(Dashboard!$I$27,results,ROW(A787),FALSE)</f>
        <v/>
      </c>
      <c r="C787" t="str">
        <f>IFERROR(VLOOKUP(A787,observations_series_id_PCU22112222112243_api_key_ecc133893ea92a842ee685c73424608[],2,FALSE),"")</f>
        <v/>
      </c>
      <c r="D787" s="2" t="str">
        <f>IFERROR(VLOOKUP(A787,observations_series_id_PCU22112222112243_api_key_ecc133893ea92a842ee685c73424608[],3,FALSE),"")</f>
        <v/>
      </c>
      <c r="E787" t="str">
        <f>IFERROR(VLOOKUP($A787,observations_series_id_WPU0613020T_api_key_ecc133893ea92a842ee685c734246086_file[],2,FALSE),"")</f>
        <v/>
      </c>
      <c r="F787" s="2" t="str">
        <f>IFERROR(VLOOKUP($A787,observations_series_id_WPU0613020T_api_key_ecc133893ea92a842ee685c734246086_file[],3,FALSE),"")</f>
        <v/>
      </c>
      <c r="G787" t="str">
        <f>IFERROR(VLOOKUP($A787,observations_series_id_PCU22122212_api_key_ecc133893ea92a842ee685c734246086_file[],2,FALSE),"")</f>
        <v/>
      </c>
      <c r="H787" s="2" t="str">
        <f>IFERROR(VLOOKUP($A787,observations_series_id_PCU22122212_api_key_ecc133893ea92a842ee685c734246086_file[],3,FALSE),"")</f>
        <v/>
      </c>
      <c r="I787" t="str">
        <f>IFERROR(VLOOKUP($A787,observations_series_id_PCU3241913241910_api_key_ecc133893ea92a842ee685c734246086[],2,FALSE),"")</f>
        <v/>
      </c>
      <c r="J787" s="2" t="str">
        <f>IFERROR(VLOOKUP($A787,observations_series_id_PCU3241913241910_api_key_ecc133893ea92a842ee685c734246086[],3,FALSE),"")</f>
        <v/>
      </c>
      <c r="K787" t="str">
        <f>IFERROR(VLOOKUP($A787,observations_series_id_EXJPUS_api_key_ecc133893ea92a842ee685c734246086_file_type[],2,FALSE),"")</f>
        <v/>
      </c>
      <c r="L787" s="2" t="str">
        <f>IFERROR(VLOOKUP($A787,observations_series_id_EXJPUS_api_key_ecc133893ea92a842ee685c734246086_file_type[],3,FALSE),"")</f>
        <v/>
      </c>
      <c r="M787" t="str">
        <f>IFERROR(AVERAGEIFS(timeseries_access_key_fqeas14oitk235763mntlb1c0brnk9w3fenzqbk313q5kvxyf52kukw1pa[Value.LME-ZNC],timeseries_access_key_fqeas14oitk235763mntlb1c0brnk9w3fenzqbk313q5kvxyf52kukw1pa[Month],MONTH(Data!$A787),timeseries_access_key_fqeas14oitk235763mntlb1c0brnk9w3fenzqbk313q5kvxyf52kukw1pa[Year],YEAR(Data!$A787)),"")</f>
        <v/>
      </c>
      <c r="N787" s="2" t="str">
        <f>IFERROR(AVERAGEIFS(timeseries_access_key_fqeas14oitk235763mntlb1c0brnk9w3fenzqbk313q5kvxyf52kukw1pa[Column1],timeseries_access_key_fqeas14oitk235763mntlb1c0brnk9w3fenzqbk313q5kvxyf52kukw1pa[Month],MONTH(Data!$A787),timeseries_access_key_fqeas14oitk235763mntlb1c0brnk9w3fenzqbk313q5kvxyf52kukw1pa[Year],YEAR(Data!$A787)),"")</f>
        <v/>
      </c>
      <c r="O787" s="8" t="str">
        <f>IFERROR(VLOOKUP($A787,Text_1_2[[Text.1.1.3]:[Text.1.3]],2,FALSE),"")</f>
        <v/>
      </c>
      <c r="P787" s="2"/>
    </row>
    <row r="788" spans="1:16" x14ac:dyDescent="0.25">
      <c r="A788" s="1">
        <v>45108</v>
      </c>
      <c r="B788" t="str">
        <f>HLOOKUP(Dashboard!$I$27,results,ROW(A788),FALSE)</f>
        <v/>
      </c>
      <c r="C788" t="str">
        <f>IFERROR(VLOOKUP(A788,observations_series_id_PCU22112222112243_api_key_ecc133893ea92a842ee685c73424608[],2,FALSE),"")</f>
        <v/>
      </c>
      <c r="D788" s="2" t="str">
        <f>IFERROR(VLOOKUP(A788,observations_series_id_PCU22112222112243_api_key_ecc133893ea92a842ee685c73424608[],3,FALSE),"")</f>
        <v/>
      </c>
      <c r="E788" t="str">
        <f>IFERROR(VLOOKUP($A788,observations_series_id_WPU0613020T_api_key_ecc133893ea92a842ee685c734246086_file[],2,FALSE),"")</f>
        <v/>
      </c>
      <c r="F788" s="2" t="str">
        <f>IFERROR(VLOOKUP($A788,observations_series_id_WPU0613020T_api_key_ecc133893ea92a842ee685c734246086_file[],3,FALSE),"")</f>
        <v/>
      </c>
      <c r="G788" t="str">
        <f>IFERROR(VLOOKUP($A788,observations_series_id_PCU22122212_api_key_ecc133893ea92a842ee685c734246086_file[],2,FALSE),"")</f>
        <v/>
      </c>
      <c r="H788" s="2" t="str">
        <f>IFERROR(VLOOKUP($A788,observations_series_id_PCU22122212_api_key_ecc133893ea92a842ee685c734246086_file[],3,FALSE),"")</f>
        <v/>
      </c>
      <c r="I788" t="str">
        <f>IFERROR(VLOOKUP($A788,observations_series_id_PCU3241913241910_api_key_ecc133893ea92a842ee685c734246086[],2,FALSE),"")</f>
        <v/>
      </c>
      <c r="J788" s="2" t="str">
        <f>IFERROR(VLOOKUP($A788,observations_series_id_PCU3241913241910_api_key_ecc133893ea92a842ee685c734246086[],3,FALSE),"")</f>
        <v/>
      </c>
      <c r="K788" t="str">
        <f>IFERROR(VLOOKUP($A788,observations_series_id_EXJPUS_api_key_ecc133893ea92a842ee685c734246086_file_type[],2,FALSE),"")</f>
        <v/>
      </c>
      <c r="L788" s="2" t="str">
        <f>IFERROR(VLOOKUP($A788,observations_series_id_EXJPUS_api_key_ecc133893ea92a842ee685c734246086_file_type[],3,FALSE),"")</f>
        <v/>
      </c>
      <c r="M788" t="str">
        <f>IFERROR(AVERAGEIFS(timeseries_access_key_fqeas14oitk235763mntlb1c0brnk9w3fenzqbk313q5kvxyf52kukw1pa[Value.LME-ZNC],timeseries_access_key_fqeas14oitk235763mntlb1c0brnk9w3fenzqbk313q5kvxyf52kukw1pa[Month],MONTH(Data!$A788),timeseries_access_key_fqeas14oitk235763mntlb1c0brnk9w3fenzqbk313q5kvxyf52kukw1pa[Year],YEAR(Data!$A788)),"")</f>
        <v/>
      </c>
      <c r="N788" s="2" t="str">
        <f>IFERROR(AVERAGEIFS(timeseries_access_key_fqeas14oitk235763mntlb1c0brnk9w3fenzqbk313q5kvxyf52kukw1pa[Column1],timeseries_access_key_fqeas14oitk235763mntlb1c0brnk9w3fenzqbk313q5kvxyf52kukw1pa[Month],MONTH(Data!$A788),timeseries_access_key_fqeas14oitk235763mntlb1c0brnk9w3fenzqbk313q5kvxyf52kukw1pa[Year],YEAR(Data!$A788)),"")</f>
        <v/>
      </c>
      <c r="O788" s="8">
        <f>IFERROR(VLOOKUP($A788,Text_1_2[[Text.1.1.3]:[Text.1.3]],2,FALSE),"")</f>
        <v>0</v>
      </c>
      <c r="P788" s="2"/>
    </row>
    <row r="789" spans="1:16" x14ac:dyDescent="0.25">
      <c r="A789" s="1">
        <v>45139</v>
      </c>
      <c r="B789" t="str">
        <f>HLOOKUP(Dashboard!$I$27,results,ROW(A789),FALSE)</f>
        <v/>
      </c>
      <c r="C789" t="str">
        <f>IFERROR(VLOOKUP(A789,observations_series_id_PCU22112222112243_api_key_ecc133893ea92a842ee685c73424608[],2,FALSE),"")</f>
        <v/>
      </c>
      <c r="D789" s="2" t="str">
        <f>IFERROR(VLOOKUP(A789,observations_series_id_PCU22112222112243_api_key_ecc133893ea92a842ee685c73424608[],3,FALSE),"")</f>
        <v/>
      </c>
      <c r="E789" t="str">
        <f>IFERROR(VLOOKUP($A789,observations_series_id_WPU0613020T_api_key_ecc133893ea92a842ee685c734246086_file[],2,FALSE),"")</f>
        <v/>
      </c>
      <c r="F789" s="2" t="str">
        <f>IFERROR(VLOOKUP($A789,observations_series_id_WPU0613020T_api_key_ecc133893ea92a842ee685c734246086_file[],3,FALSE),"")</f>
        <v/>
      </c>
      <c r="G789" t="str">
        <f>IFERROR(VLOOKUP($A789,observations_series_id_PCU22122212_api_key_ecc133893ea92a842ee685c734246086_file[],2,FALSE),"")</f>
        <v/>
      </c>
      <c r="H789" s="2" t="str">
        <f>IFERROR(VLOOKUP($A789,observations_series_id_PCU22122212_api_key_ecc133893ea92a842ee685c734246086_file[],3,FALSE),"")</f>
        <v/>
      </c>
      <c r="I789" t="str">
        <f>IFERROR(VLOOKUP($A789,observations_series_id_PCU3241913241910_api_key_ecc133893ea92a842ee685c734246086[],2,FALSE),"")</f>
        <v/>
      </c>
      <c r="J789" s="2" t="str">
        <f>IFERROR(VLOOKUP($A789,observations_series_id_PCU3241913241910_api_key_ecc133893ea92a842ee685c734246086[],3,FALSE),"")</f>
        <v/>
      </c>
      <c r="K789" t="str">
        <f>IFERROR(VLOOKUP($A789,observations_series_id_EXJPUS_api_key_ecc133893ea92a842ee685c734246086_file_type[],2,FALSE),"")</f>
        <v/>
      </c>
      <c r="L789" s="2" t="str">
        <f>IFERROR(VLOOKUP($A789,observations_series_id_EXJPUS_api_key_ecc133893ea92a842ee685c734246086_file_type[],3,FALSE),"")</f>
        <v/>
      </c>
      <c r="M789" t="str">
        <f>IFERROR(AVERAGEIFS(timeseries_access_key_fqeas14oitk235763mntlb1c0brnk9w3fenzqbk313q5kvxyf52kukw1pa[Value.LME-ZNC],timeseries_access_key_fqeas14oitk235763mntlb1c0brnk9w3fenzqbk313q5kvxyf52kukw1pa[Month],MONTH(Data!$A789),timeseries_access_key_fqeas14oitk235763mntlb1c0brnk9w3fenzqbk313q5kvxyf52kukw1pa[Year],YEAR(Data!$A789)),"")</f>
        <v/>
      </c>
      <c r="N789" s="2" t="str">
        <f>IFERROR(AVERAGEIFS(timeseries_access_key_fqeas14oitk235763mntlb1c0brnk9w3fenzqbk313q5kvxyf52kukw1pa[Column1],timeseries_access_key_fqeas14oitk235763mntlb1c0brnk9w3fenzqbk313q5kvxyf52kukw1pa[Month],MONTH(Data!$A789),timeseries_access_key_fqeas14oitk235763mntlb1c0brnk9w3fenzqbk313q5kvxyf52kukw1pa[Year],YEAR(Data!$A789)),"")</f>
        <v/>
      </c>
      <c r="O789" s="8" t="str">
        <f>IFERROR(VLOOKUP($A789,Text_1_2[[Text.1.1.3]:[Text.1.3]],2,FALSE),"")</f>
        <v/>
      </c>
      <c r="P789" s="2"/>
    </row>
    <row r="790" spans="1:16" x14ac:dyDescent="0.25">
      <c r="A790" s="1">
        <v>45170</v>
      </c>
      <c r="B790" t="str">
        <f>HLOOKUP(Dashboard!$I$27,results,ROW(A790),FALSE)</f>
        <v/>
      </c>
      <c r="C790" t="str">
        <f>IFERROR(VLOOKUP(A790,observations_series_id_PCU22112222112243_api_key_ecc133893ea92a842ee685c73424608[],2,FALSE),"")</f>
        <v/>
      </c>
      <c r="D790" s="2" t="str">
        <f>IFERROR(VLOOKUP(A790,observations_series_id_PCU22112222112243_api_key_ecc133893ea92a842ee685c73424608[],3,FALSE),"")</f>
        <v/>
      </c>
      <c r="E790" t="str">
        <f>IFERROR(VLOOKUP($A790,observations_series_id_WPU0613020T_api_key_ecc133893ea92a842ee685c734246086_file[],2,FALSE),"")</f>
        <v/>
      </c>
      <c r="F790" s="2" t="str">
        <f>IFERROR(VLOOKUP($A790,observations_series_id_WPU0613020T_api_key_ecc133893ea92a842ee685c734246086_file[],3,FALSE),"")</f>
        <v/>
      </c>
      <c r="G790" t="str">
        <f>IFERROR(VLOOKUP($A790,observations_series_id_PCU22122212_api_key_ecc133893ea92a842ee685c734246086_file[],2,FALSE),"")</f>
        <v/>
      </c>
      <c r="H790" s="2" t="str">
        <f>IFERROR(VLOOKUP($A790,observations_series_id_PCU22122212_api_key_ecc133893ea92a842ee685c734246086_file[],3,FALSE),"")</f>
        <v/>
      </c>
      <c r="I790" t="str">
        <f>IFERROR(VLOOKUP($A790,observations_series_id_PCU3241913241910_api_key_ecc133893ea92a842ee685c734246086[],2,FALSE),"")</f>
        <v/>
      </c>
      <c r="J790" s="2" t="str">
        <f>IFERROR(VLOOKUP($A790,observations_series_id_PCU3241913241910_api_key_ecc133893ea92a842ee685c734246086[],3,FALSE),"")</f>
        <v/>
      </c>
      <c r="K790" t="str">
        <f>IFERROR(VLOOKUP($A790,observations_series_id_EXJPUS_api_key_ecc133893ea92a842ee685c734246086_file_type[],2,FALSE),"")</f>
        <v/>
      </c>
      <c r="L790" s="2" t="str">
        <f>IFERROR(VLOOKUP($A790,observations_series_id_EXJPUS_api_key_ecc133893ea92a842ee685c734246086_file_type[],3,FALSE),"")</f>
        <v/>
      </c>
      <c r="M790" t="str">
        <f>IFERROR(AVERAGEIFS(timeseries_access_key_fqeas14oitk235763mntlb1c0brnk9w3fenzqbk313q5kvxyf52kukw1pa[Value.LME-ZNC],timeseries_access_key_fqeas14oitk235763mntlb1c0brnk9w3fenzqbk313q5kvxyf52kukw1pa[Month],MONTH(Data!$A790),timeseries_access_key_fqeas14oitk235763mntlb1c0brnk9w3fenzqbk313q5kvxyf52kukw1pa[Year],YEAR(Data!$A790)),"")</f>
        <v/>
      </c>
      <c r="N790" s="2" t="str">
        <f>IFERROR(AVERAGEIFS(timeseries_access_key_fqeas14oitk235763mntlb1c0brnk9w3fenzqbk313q5kvxyf52kukw1pa[Column1],timeseries_access_key_fqeas14oitk235763mntlb1c0brnk9w3fenzqbk313q5kvxyf52kukw1pa[Month],MONTH(Data!$A790),timeseries_access_key_fqeas14oitk235763mntlb1c0brnk9w3fenzqbk313q5kvxyf52kukw1pa[Year],YEAR(Data!$A790)),"")</f>
        <v/>
      </c>
      <c r="O790" s="8" t="str">
        <f>IFERROR(VLOOKUP($A790,Text_1_2[[Text.1.1.3]:[Text.1.3]],2,FALSE),"")</f>
        <v/>
      </c>
      <c r="P790" s="2"/>
    </row>
    <row r="791" spans="1:16" x14ac:dyDescent="0.25">
      <c r="A791" s="1">
        <v>45200</v>
      </c>
      <c r="B791" t="str">
        <f>HLOOKUP(Dashboard!$I$27,results,ROW(A791),FALSE)</f>
        <v/>
      </c>
      <c r="C791" t="str">
        <f>IFERROR(VLOOKUP(A791,observations_series_id_PCU22112222112243_api_key_ecc133893ea92a842ee685c73424608[],2,FALSE),"")</f>
        <v/>
      </c>
      <c r="D791" s="2" t="str">
        <f>IFERROR(VLOOKUP(A791,observations_series_id_PCU22112222112243_api_key_ecc133893ea92a842ee685c73424608[],3,FALSE),"")</f>
        <v/>
      </c>
      <c r="E791" t="str">
        <f>IFERROR(VLOOKUP($A791,observations_series_id_WPU0613020T_api_key_ecc133893ea92a842ee685c734246086_file[],2,FALSE),"")</f>
        <v/>
      </c>
      <c r="F791" s="2" t="str">
        <f>IFERROR(VLOOKUP($A791,observations_series_id_WPU0613020T_api_key_ecc133893ea92a842ee685c734246086_file[],3,FALSE),"")</f>
        <v/>
      </c>
      <c r="G791" t="str">
        <f>IFERROR(VLOOKUP($A791,observations_series_id_PCU22122212_api_key_ecc133893ea92a842ee685c734246086_file[],2,FALSE),"")</f>
        <v/>
      </c>
      <c r="H791" s="2" t="str">
        <f>IFERROR(VLOOKUP($A791,observations_series_id_PCU22122212_api_key_ecc133893ea92a842ee685c734246086_file[],3,FALSE),"")</f>
        <v/>
      </c>
      <c r="I791" t="str">
        <f>IFERROR(VLOOKUP($A791,observations_series_id_PCU3241913241910_api_key_ecc133893ea92a842ee685c734246086[],2,FALSE),"")</f>
        <v/>
      </c>
      <c r="J791" s="2" t="str">
        <f>IFERROR(VLOOKUP($A791,observations_series_id_PCU3241913241910_api_key_ecc133893ea92a842ee685c734246086[],3,FALSE),"")</f>
        <v/>
      </c>
      <c r="K791" t="str">
        <f>IFERROR(VLOOKUP($A791,observations_series_id_EXJPUS_api_key_ecc133893ea92a842ee685c734246086_file_type[],2,FALSE),"")</f>
        <v/>
      </c>
      <c r="L791" s="2" t="str">
        <f>IFERROR(VLOOKUP($A791,observations_series_id_EXJPUS_api_key_ecc133893ea92a842ee685c734246086_file_type[],3,FALSE),"")</f>
        <v/>
      </c>
      <c r="M791" t="str">
        <f>IFERROR(AVERAGEIFS(timeseries_access_key_fqeas14oitk235763mntlb1c0brnk9w3fenzqbk313q5kvxyf52kukw1pa[Value.LME-ZNC],timeseries_access_key_fqeas14oitk235763mntlb1c0brnk9w3fenzqbk313q5kvxyf52kukw1pa[Month],MONTH(Data!$A791),timeseries_access_key_fqeas14oitk235763mntlb1c0brnk9w3fenzqbk313q5kvxyf52kukw1pa[Year],YEAR(Data!$A791)),"")</f>
        <v/>
      </c>
      <c r="N791" s="2" t="str">
        <f>IFERROR(AVERAGEIFS(timeseries_access_key_fqeas14oitk235763mntlb1c0brnk9w3fenzqbk313q5kvxyf52kukw1pa[Column1],timeseries_access_key_fqeas14oitk235763mntlb1c0brnk9w3fenzqbk313q5kvxyf52kukw1pa[Month],MONTH(Data!$A791),timeseries_access_key_fqeas14oitk235763mntlb1c0brnk9w3fenzqbk313q5kvxyf52kukw1pa[Year],YEAR(Data!$A791)),"")</f>
        <v/>
      </c>
      <c r="O791" s="8">
        <f>IFERROR(VLOOKUP($A791,Text_1_2[[Text.1.1.3]:[Text.1.3]],2,FALSE),"")</f>
        <v>0</v>
      </c>
      <c r="P791" s="2"/>
    </row>
    <row r="792" spans="1:16" x14ac:dyDescent="0.25">
      <c r="A792" s="1">
        <v>45231</v>
      </c>
      <c r="B792" t="str">
        <f>HLOOKUP(Dashboard!$I$27,results,ROW(A792),FALSE)</f>
        <v/>
      </c>
      <c r="C792" t="str">
        <f>IFERROR(VLOOKUP(A792,observations_series_id_PCU22112222112243_api_key_ecc133893ea92a842ee685c73424608[],2,FALSE),"")</f>
        <v/>
      </c>
      <c r="D792" s="2" t="str">
        <f>IFERROR(VLOOKUP(A792,observations_series_id_PCU22112222112243_api_key_ecc133893ea92a842ee685c73424608[],3,FALSE),"")</f>
        <v/>
      </c>
      <c r="E792" t="str">
        <f>IFERROR(VLOOKUP($A792,observations_series_id_WPU0613020T_api_key_ecc133893ea92a842ee685c734246086_file[],2,FALSE),"")</f>
        <v/>
      </c>
      <c r="F792" s="2" t="str">
        <f>IFERROR(VLOOKUP($A792,observations_series_id_WPU0613020T_api_key_ecc133893ea92a842ee685c734246086_file[],3,FALSE),"")</f>
        <v/>
      </c>
      <c r="G792" t="str">
        <f>IFERROR(VLOOKUP($A792,observations_series_id_PCU22122212_api_key_ecc133893ea92a842ee685c734246086_file[],2,FALSE),"")</f>
        <v/>
      </c>
      <c r="H792" s="2" t="str">
        <f>IFERROR(VLOOKUP($A792,observations_series_id_PCU22122212_api_key_ecc133893ea92a842ee685c734246086_file[],3,FALSE),"")</f>
        <v/>
      </c>
      <c r="I792" t="str">
        <f>IFERROR(VLOOKUP($A792,observations_series_id_PCU3241913241910_api_key_ecc133893ea92a842ee685c734246086[],2,FALSE),"")</f>
        <v/>
      </c>
      <c r="J792" s="2" t="str">
        <f>IFERROR(VLOOKUP($A792,observations_series_id_PCU3241913241910_api_key_ecc133893ea92a842ee685c734246086[],3,FALSE),"")</f>
        <v/>
      </c>
      <c r="K792" t="str">
        <f>IFERROR(VLOOKUP($A792,observations_series_id_EXJPUS_api_key_ecc133893ea92a842ee685c734246086_file_type[],2,FALSE),"")</f>
        <v/>
      </c>
      <c r="L792" s="2" t="str">
        <f>IFERROR(VLOOKUP($A792,observations_series_id_EXJPUS_api_key_ecc133893ea92a842ee685c734246086_file_type[],3,FALSE),"")</f>
        <v/>
      </c>
      <c r="M792" t="str">
        <f>IFERROR(AVERAGEIFS(timeseries_access_key_fqeas14oitk235763mntlb1c0brnk9w3fenzqbk313q5kvxyf52kukw1pa[Value.LME-ZNC],timeseries_access_key_fqeas14oitk235763mntlb1c0brnk9w3fenzqbk313q5kvxyf52kukw1pa[Month],MONTH(Data!$A792),timeseries_access_key_fqeas14oitk235763mntlb1c0brnk9w3fenzqbk313q5kvxyf52kukw1pa[Year],YEAR(Data!$A792)),"")</f>
        <v/>
      </c>
      <c r="N792" s="2" t="str">
        <f>IFERROR(AVERAGEIFS(timeseries_access_key_fqeas14oitk235763mntlb1c0brnk9w3fenzqbk313q5kvxyf52kukw1pa[Column1],timeseries_access_key_fqeas14oitk235763mntlb1c0brnk9w3fenzqbk313q5kvxyf52kukw1pa[Month],MONTH(Data!$A792),timeseries_access_key_fqeas14oitk235763mntlb1c0brnk9w3fenzqbk313q5kvxyf52kukw1pa[Year],YEAR(Data!$A792)),"")</f>
        <v/>
      </c>
      <c r="O792" s="8" t="str">
        <f>IFERROR(VLOOKUP($A792,Text_1_2[[Text.1.1.3]:[Text.1.3]],2,FALSE),"")</f>
        <v/>
      </c>
      <c r="P792" s="2"/>
    </row>
    <row r="793" spans="1:16" x14ac:dyDescent="0.25">
      <c r="A793" s="1">
        <v>45261</v>
      </c>
      <c r="B793" t="str">
        <f>HLOOKUP(Dashboard!$I$27,results,ROW(A793),FALSE)</f>
        <v/>
      </c>
      <c r="C793" t="str">
        <f>IFERROR(VLOOKUP(A793,observations_series_id_PCU22112222112243_api_key_ecc133893ea92a842ee685c73424608[],2,FALSE),"")</f>
        <v/>
      </c>
      <c r="D793" s="2" t="str">
        <f>IFERROR(VLOOKUP(A793,observations_series_id_PCU22112222112243_api_key_ecc133893ea92a842ee685c73424608[],3,FALSE),"")</f>
        <v/>
      </c>
      <c r="E793" t="str">
        <f>IFERROR(VLOOKUP($A793,observations_series_id_WPU0613020T_api_key_ecc133893ea92a842ee685c734246086_file[],2,FALSE),"")</f>
        <v/>
      </c>
      <c r="F793" s="2" t="str">
        <f>IFERROR(VLOOKUP($A793,observations_series_id_WPU0613020T_api_key_ecc133893ea92a842ee685c734246086_file[],3,FALSE),"")</f>
        <v/>
      </c>
      <c r="G793" t="str">
        <f>IFERROR(VLOOKUP($A793,observations_series_id_PCU22122212_api_key_ecc133893ea92a842ee685c734246086_file[],2,FALSE),"")</f>
        <v/>
      </c>
      <c r="H793" s="2" t="str">
        <f>IFERROR(VLOOKUP($A793,observations_series_id_PCU22122212_api_key_ecc133893ea92a842ee685c734246086_file[],3,FALSE),"")</f>
        <v/>
      </c>
      <c r="I793" t="str">
        <f>IFERROR(VLOOKUP($A793,observations_series_id_PCU3241913241910_api_key_ecc133893ea92a842ee685c734246086[],2,FALSE),"")</f>
        <v/>
      </c>
      <c r="J793" s="2" t="str">
        <f>IFERROR(VLOOKUP($A793,observations_series_id_PCU3241913241910_api_key_ecc133893ea92a842ee685c734246086[],3,FALSE),"")</f>
        <v/>
      </c>
      <c r="K793" t="str">
        <f>IFERROR(VLOOKUP($A793,observations_series_id_EXJPUS_api_key_ecc133893ea92a842ee685c734246086_file_type[],2,FALSE),"")</f>
        <v/>
      </c>
      <c r="L793" s="2" t="str">
        <f>IFERROR(VLOOKUP($A793,observations_series_id_EXJPUS_api_key_ecc133893ea92a842ee685c734246086_file_type[],3,FALSE),"")</f>
        <v/>
      </c>
      <c r="M793" t="str">
        <f>IFERROR(AVERAGEIFS(timeseries_access_key_fqeas14oitk235763mntlb1c0brnk9w3fenzqbk313q5kvxyf52kukw1pa[Value.LME-ZNC],timeseries_access_key_fqeas14oitk235763mntlb1c0brnk9w3fenzqbk313q5kvxyf52kukw1pa[Month],MONTH(Data!$A793),timeseries_access_key_fqeas14oitk235763mntlb1c0brnk9w3fenzqbk313q5kvxyf52kukw1pa[Year],YEAR(Data!$A793)),"")</f>
        <v/>
      </c>
      <c r="N793" s="2" t="str">
        <f>IFERROR(AVERAGEIFS(timeseries_access_key_fqeas14oitk235763mntlb1c0brnk9w3fenzqbk313q5kvxyf52kukw1pa[Column1],timeseries_access_key_fqeas14oitk235763mntlb1c0brnk9w3fenzqbk313q5kvxyf52kukw1pa[Month],MONTH(Data!$A793),timeseries_access_key_fqeas14oitk235763mntlb1c0brnk9w3fenzqbk313q5kvxyf52kukw1pa[Year],YEAR(Data!$A793)),"")</f>
        <v/>
      </c>
      <c r="O793" s="8" t="str">
        <f>IFERROR(VLOOKUP($A793,Text_1_2[[Text.1.1.3]:[Text.1.3]],2,FALSE),"")</f>
        <v/>
      </c>
      <c r="P793" s="2"/>
    </row>
    <row r="794" spans="1:16" x14ac:dyDescent="0.25">
      <c r="A794" s="1">
        <v>45292</v>
      </c>
      <c r="B794" t="str">
        <f>HLOOKUP(Dashboard!$I$27,results,ROW(A794),FALSE)</f>
        <v/>
      </c>
      <c r="C794" t="str">
        <f>IFERROR(VLOOKUP(A794,observations_series_id_PCU22112222112243_api_key_ecc133893ea92a842ee685c73424608[],2,FALSE),"")</f>
        <v/>
      </c>
      <c r="D794" s="2" t="str">
        <f>IFERROR(VLOOKUP(A794,observations_series_id_PCU22112222112243_api_key_ecc133893ea92a842ee685c73424608[],3,FALSE),"")</f>
        <v/>
      </c>
      <c r="E794" t="str">
        <f>IFERROR(VLOOKUP($A794,observations_series_id_WPU0613020T_api_key_ecc133893ea92a842ee685c734246086_file[],2,FALSE),"")</f>
        <v/>
      </c>
      <c r="F794" s="2" t="str">
        <f>IFERROR(VLOOKUP($A794,observations_series_id_WPU0613020T_api_key_ecc133893ea92a842ee685c734246086_file[],3,FALSE),"")</f>
        <v/>
      </c>
      <c r="G794" t="str">
        <f>IFERROR(VLOOKUP($A794,observations_series_id_PCU22122212_api_key_ecc133893ea92a842ee685c734246086_file[],2,FALSE),"")</f>
        <v/>
      </c>
      <c r="H794" s="2" t="str">
        <f>IFERROR(VLOOKUP($A794,observations_series_id_PCU22122212_api_key_ecc133893ea92a842ee685c734246086_file[],3,FALSE),"")</f>
        <v/>
      </c>
      <c r="I794" t="str">
        <f>IFERROR(VLOOKUP($A794,observations_series_id_PCU3241913241910_api_key_ecc133893ea92a842ee685c734246086[],2,FALSE),"")</f>
        <v/>
      </c>
      <c r="J794" s="2" t="str">
        <f>IFERROR(VLOOKUP($A794,observations_series_id_PCU3241913241910_api_key_ecc133893ea92a842ee685c734246086[],3,FALSE),"")</f>
        <v/>
      </c>
      <c r="K794" t="str">
        <f>IFERROR(VLOOKUP($A794,observations_series_id_EXJPUS_api_key_ecc133893ea92a842ee685c734246086_file_type[],2,FALSE),"")</f>
        <v/>
      </c>
      <c r="L794" s="2" t="str">
        <f>IFERROR(VLOOKUP($A794,observations_series_id_EXJPUS_api_key_ecc133893ea92a842ee685c734246086_file_type[],3,FALSE),"")</f>
        <v/>
      </c>
      <c r="M794" t="str">
        <f>IFERROR(AVERAGEIFS(timeseries_access_key_fqeas14oitk235763mntlb1c0brnk9w3fenzqbk313q5kvxyf52kukw1pa[Value.LME-ZNC],timeseries_access_key_fqeas14oitk235763mntlb1c0brnk9w3fenzqbk313q5kvxyf52kukw1pa[Month],MONTH(Data!$A794),timeseries_access_key_fqeas14oitk235763mntlb1c0brnk9w3fenzqbk313q5kvxyf52kukw1pa[Year],YEAR(Data!$A794)),"")</f>
        <v/>
      </c>
      <c r="N794" s="2" t="str">
        <f>IFERROR(AVERAGEIFS(timeseries_access_key_fqeas14oitk235763mntlb1c0brnk9w3fenzqbk313q5kvxyf52kukw1pa[Column1],timeseries_access_key_fqeas14oitk235763mntlb1c0brnk9w3fenzqbk313q5kvxyf52kukw1pa[Month],MONTH(Data!$A794),timeseries_access_key_fqeas14oitk235763mntlb1c0brnk9w3fenzqbk313q5kvxyf52kukw1pa[Year],YEAR(Data!$A794)),"")</f>
        <v/>
      </c>
      <c r="O794" s="8" t="str">
        <f>IFERROR(VLOOKUP($A794,Text_1_2[[Text.1.1.3]:[Text.1.3]],2,FALSE),"")</f>
        <v/>
      </c>
      <c r="P794" s="2"/>
    </row>
    <row r="795" spans="1:16" x14ac:dyDescent="0.25">
      <c r="A795" s="1">
        <v>45323</v>
      </c>
      <c r="B795" t="str">
        <f>HLOOKUP(Dashboard!$I$27,results,ROW(A795),FALSE)</f>
        <v/>
      </c>
      <c r="C795" t="str">
        <f>IFERROR(VLOOKUP(A795,observations_series_id_PCU22112222112243_api_key_ecc133893ea92a842ee685c73424608[],2,FALSE),"")</f>
        <v/>
      </c>
      <c r="D795" s="2" t="str">
        <f>IFERROR(VLOOKUP(A795,observations_series_id_PCU22112222112243_api_key_ecc133893ea92a842ee685c73424608[],3,FALSE),"")</f>
        <v/>
      </c>
      <c r="E795" t="str">
        <f>IFERROR(VLOOKUP($A795,observations_series_id_WPU0613020T_api_key_ecc133893ea92a842ee685c734246086_file[],2,FALSE),"")</f>
        <v/>
      </c>
      <c r="F795" s="2" t="str">
        <f>IFERROR(VLOOKUP($A795,observations_series_id_WPU0613020T_api_key_ecc133893ea92a842ee685c734246086_file[],3,FALSE),"")</f>
        <v/>
      </c>
      <c r="G795" t="str">
        <f>IFERROR(VLOOKUP($A795,observations_series_id_PCU22122212_api_key_ecc133893ea92a842ee685c734246086_file[],2,FALSE),"")</f>
        <v/>
      </c>
      <c r="H795" s="2" t="str">
        <f>IFERROR(VLOOKUP($A795,observations_series_id_PCU22122212_api_key_ecc133893ea92a842ee685c734246086_file[],3,FALSE),"")</f>
        <v/>
      </c>
      <c r="I795" t="str">
        <f>IFERROR(VLOOKUP($A795,observations_series_id_PCU3241913241910_api_key_ecc133893ea92a842ee685c734246086[],2,FALSE),"")</f>
        <v/>
      </c>
      <c r="J795" s="2" t="str">
        <f>IFERROR(VLOOKUP($A795,observations_series_id_PCU3241913241910_api_key_ecc133893ea92a842ee685c734246086[],3,FALSE),"")</f>
        <v/>
      </c>
      <c r="K795" t="str">
        <f>IFERROR(VLOOKUP($A795,observations_series_id_EXJPUS_api_key_ecc133893ea92a842ee685c734246086_file_type[],2,FALSE),"")</f>
        <v/>
      </c>
      <c r="L795" s="2" t="str">
        <f>IFERROR(VLOOKUP($A795,observations_series_id_EXJPUS_api_key_ecc133893ea92a842ee685c734246086_file_type[],3,FALSE),"")</f>
        <v/>
      </c>
      <c r="M795" t="str">
        <f>IFERROR(AVERAGEIFS(timeseries_access_key_fqeas14oitk235763mntlb1c0brnk9w3fenzqbk313q5kvxyf52kukw1pa[Value.LME-ZNC],timeseries_access_key_fqeas14oitk235763mntlb1c0brnk9w3fenzqbk313q5kvxyf52kukw1pa[Month],MONTH(Data!$A795),timeseries_access_key_fqeas14oitk235763mntlb1c0brnk9w3fenzqbk313q5kvxyf52kukw1pa[Year],YEAR(Data!$A795)),"")</f>
        <v/>
      </c>
      <c r="N795" s="2" t="str">
        <f>IFERROR(AVERAGEIFS(timeseries_access_key_fqeas14oitk235763mntlb1c0brnk9w3fenzqbk313q5kvxyf52kukw1pa[Column1],timeseries_access_key_fqeas14oitk235763mntlb1c0brnk9w3fenzqbk313q5kvxyf52kukw1pa[Month],MONTH(Data!$A795),timeseries_access_key_fqeas14oitk235763mntlb1c0brnk9w3fenzqbk313q5kvxyf52kukw1pa[Year],YEAR(Data!$A795)),"")</f>
        <v/>
      </c>
      <c r="O795" s="8" t="str">
        <f>IFERROR(VLOOKUP($A795,Text_1_2[[Text.1.1.3]:[Text.1.3]],2,FALSE),"")</f>
        <v/>
      </c>
      <c r="P795" s="2"/>
    </row>
    <row r="796" spans="1:16" x14ac:dyDescent="0.25">
      <c r="A796" s="1">
        <v>45352</v>
      </c>
      <c r="B796" t="str">
        <f>HLOOKUP(Dashboard!$I$27,results,ROW(A796),FALSE)</f>
        <v/>
      </c>
      <c r="C796" t="str">
        <f>IFERROR(VLOOKUP(A796,observations_series_id_PCU22112222112243_api_key_ecc133893ea92a842ee685c73424608[],2,FALSE),"")</f>
        <v/>
      </c>
      <c r="D796" s="2" t="str">
        <f>IFERROR(VLOOKUP(A796,observations_series_id_PCU22112222112243_api_key_ecc133893ea92a842ee685c73424608[],3,FALSE),"")</f>
        <v/>
      </c>
      <c r="E796" t="str">
        <f>IFERROR(VLOOKUP($A796,observations_series_id_WPU0613020T_api_key_ecc133893ea92a842ee685c734246086_file[],2,FALSE),"")</f>
        <v/>
      </c>
      <c r="F796" s="2" t="str">
        <f>IFERROR(VLOOKUP($A796,observations_series_id_WPU0613020T_api_key_ecc133893ea92a842ee685c734246086_file[],3,FALSE),"")</f>
        <v/>
      </c>
      <c r="G796" t="str">
        <f>IFERROR(VLOOKUP($A796,observations_series_id_PCU22122212_api_key_ecc133893ea92a842ee685c734246086_file[],2,FALSE),"")</f>
        <v/>
      </c>
      <c r="H796" s="2" t="str">
        <f>IFERROR(VLOOKUP($A796,observations_series_id_PCU22122212_api_key_ecc133893ea92a842ee685c734246086_file[],3,FALSE),"")</f>
        <v/>
      </c>
      <c r="I796" t="str">
        <f>IFERROR(VLOOKUP($A796,observations_series_id_PCU3241913241910_api_key_ecc133893ea92a842ee685c734246086[],2,FALSE),"")</f>
        <v/>
      </c>
      <c r="J796" s="2" t="str">
        <f>IFERROR(VLOOKUP($A796,observations_series_id_PCU3241913241910_api_key_ecc133893ea92a842ee685c734246086[],3,FALSE),"")</f>
        <v/>
      </c>
      <c r="K796" t="str">
        <f>IFERROR(VLOOKUP($A796,observations_series_id_EXJPUS_api_key_ecc133893ea92a842ee685c734246086_file_type[],2,FALSE),"")</f>
        <v/>
      </c>
      <c r="L796" s="2" t="str">
        <f>IFERROR(VLOOKUP($A796,observations_series_id_EXJPUS_api_key_ecc133893ea92a842ee685c734246086_file_type[],3,FALSE),"")</f>
        <v/>
      </c>
      <c r="M796" t="str">
        <f>IFERROR(AVERAGEIFS(timeseries_access_key_fqeas14oitk235763mntlb1c0brnk9w3fenzqbk313q5kvxyf52kukw1pa[Value.LME-ZNC],timeseries_access_key_fqeas14oitk235763mntlb1c0brnk9w3fenzqbk313q5kvxyf52kukw1pa[Month],MONTH(Data!$A796),timeseries_access_key_fqeas14oitk235763mntlb1c0brnk9w3fenzqbk313q5kvxyf52kukw1pa[Year],YEAR(Data!$A796)),"")</f>
        <v/>
      </c>
      <c r="N796" s="2" t="str">
        <f>IFERROR(AVERAGEIFS(timeseries_access_key_fqeas14oitk235763mntlb1c0brnk9w3fenzqbk313q5kvxyf52kukw1pa[Column1],timeseries_access_key_fqeas14oitk235763mntlb1c0brnk9w3fenzqbk313q5kvxyf52kukw1pa[Month],MONTH(Data!$A796),timeseries_access_key_fqeas14oitk235763mntlb1c0brnk9w3fenzqbk313q5kvxyf52kukw1pa[Year],YEAR(Data!$A796)),"")</f>
        <v/>
      </c>
      <c r="O796" s="8" t="str">
        <f>IFERROR(VLOOKUP($A796,Text_1_2[[Text.1.1.3]:[Text.1.3]],2,FALSE),"")</f>
        <v/>
      </c>
      <c r="P796" s="2"/>
    </row>
    <row r="797" spans="1:16" x14ac:dyDescent="0.25">
      <c r="A797" s="1">
        <v>45383</v>
      </c>
      <c r="B797" t="str">
        <f>HLOOKUP(Dashboard!$I$27,results,ROW(A797),FALSE)</f>
        <v/>
      </c>
      <c r="C797" t="str">
        <f>IFERROR(VLOOKUP(A797,observations_series_id_PCU22112222112243_api_key_ecc133893ea92a842ee685c73424608[],2,FALSE),"")</f>
        <v/>
      </c>
      <c r="D797" s="2" t="str">
        <f>IFERROR(VLOOKUP(A797,observations_series_id_PCU22112222112243_api_key_ecc133893ea92a842ee685c73424608[],3,FALSE),"")</f>
        <v/>
      </c>
      <c r="E797" t="str">
        <f>IFERROR(VLOOKUP($A797,observations_series_id_WPU0613020T_api_key_ecc133893ea92a842ee685c734246086_file[],2,FALSE),"")</f>
        <v/>
      </c>
      <c r="F797" s="2" t="str">
        <f>IFERROR(VLOOKUP($A797,observations_series_id_WPU0613020T_api_key_ecc133893ea92a842ee685c734246086_file[],3,FALSE),"")</f>
        <v/>
      </c>
      <c r="G797" t="str">
        <f>IFERROR(VLOOKUP($A797,observations_series_id_PCU22122212_api_key_ecc133893ea92a842ee685c734246086_file[],2,FALSE),"")</f>
        <v/>
      </c>
      <c r="H797" s="2" t="str">
        <f>IFERROR(VLOOKUP($A797,observations_series_id_PCU22122212_api_key_ecc133893ea92a842ee685c734246086_file[],3,FALSE),"")</f>
        <v/>
      </c>
      <c r="I797" t="str">
        <f>IFERROR(VLOOKUP($A797,observations_series_id_PCU3241913241910_api_key_ecc133893ea92a842ee685c734246086[],2,FALSE),"")</f>
        <v/>
      </c>
      <c r="J797" s="2" t="str">
        <f>IFERROR(VLOOKUP($A797,observations_series_id_PCU3241913241910_api_key_ecc133893ea92a842ee685c734246086[],3,FALSE),"")</f>
        <v/>
      </c>
      <c r="K797" t="str">
        <f>IFERROR(VLOOKUP($A797,observations_series_id_EXJPUS_api_key_ecc133893ea92a842ee685c734246086_file_type[],2,FALSE),"")</f>
        <v/>
      </c>
      <c r="L797" s="2" t="str">
        <f>IFERROR(VLOOKUP($A797,observations_series_id_EXJPUS_api_key_ecc133893ea92a842ee685c734246086_file_type[],3,FALSE),"")</f>
        <v/>
      </c>
      <c r="M797" t="str">
        <f>IFERROR(AVERAGEIFS(timeseries_access_key_fqeas14oitk235763mntlb1c0brnk9w3fenzqbk313q5kvxyf52kukw1pa[Value.LME-ZNC],timeseries_access_key_fqeas14oitk235763mntlb1c0brnk9w3fenzqbk313q5kvxyf52kukw1pa[Month],MONTH(Data!$A797),timeseries_access_key_fqeas14oitk235763mntlb1c0brnk9w3fenzqbk313q5kvxyf52kukw1pa[Year],YEAR(Data!$A797)),"")</f>
        <v/>
      </c>
      <c r="N797" s="2" t="str">
        <f>IFERROR(AVERAGEIFS(timeseries_access_key_fqeas14oitk235763mntlb1c0brnk9w3fenzqbk313q5kvxyf52kukw1pa[Column1],timeseries_access_key_fqeas14oitk235763mntlb1c0brnk9w3fenzqbk313q5kvxyf52kukw1pa[Month],MONTH(Data!$A797),timeseries_access_key_fqeas14oitk235763mntlb1c0brnk9w3fenzqbk313q5kvxyf52kukw1pa[Year],YEAR(Data!$A797)),"")</f>
        <v/>
      </c>
      <c r="O797" s="8" t="str">
        <f>IFERROR(VLOOKUP($A797,Text_1_2[[Text.1.1.3]:[Text.1.3]],2,FALSE),"")</f>
        <v/>
      </c>
      <c r="P797" s="2"/>
    </row>
    <row r="798" spans="1:16" x14ac:dyDescent="0.25">
      <c r="A798" s="1">
        <v>45413</v>
      </c>
      <c r="B798" t="str">
        <f>HLOOKUP(Dashboard!$I$27,results,ROW(A798),FALSE)</f>
        <v/>
      </c>
      <c r="C798" t="str">
        <f>IFERROR(VLOOKUP(A798,observations_series_id_PCU22112222112243_api_key_ecc133893ea92a842ee685c73424608[],2,FALSE),"")</f>
        <v/>
      </c>
      <c r="D798" s="2" t="str">
        <f>IFERROR(VLOOKUP(A798,observations_series_id_PCU22112222112243_api_key_ecc133893ea92a842ee685c73424608[],3,FALSE),"")</f>
        <v/>
      </c>
      <c r="E798" t="str">
        <f>IFERROR(VLOOKUP($A798,observations_series_id_WPU0613020T_api_key_ecc133893ea92a842ee685c734246086_file[],2,FALSE),"")</f>
        <v/>
      </c>
      <c r="F798" s="2" t="str">
        <f>IFERROR(VLOOKUP($A798,observations_series_id_WPU0613020T_api_key_ecc133893ea92a842ee685c734246086_file[],3,FALSE),"")</f>
        <v/>
      </c>
      <c r="G798" t="str">
        <f>IFERROR(VLOOKUP($A798,observations_series_id_PCU22122212_api_key_ecc133893ea92a842ee685c734246086_file[],2,FALSE),"")</f>
        <v/>
      </c>
      <c r="H798" s="2" t="str">
        <f>IFERROR(VLOOKUP($A798,observations_series_id_PCU22122212_api_key_ecc133893ea92a842ee685c734246086_file[],3,FALSE),"")</f>
        <v/>
      </c>
      <c r="I798" t="str">
        <f>IFERROR(VLOOKUP($A798,observations_series_id_PCU3241913241910_api_key_ecc133893ea92a842ee685c734246086[],2,FALSE),"")</f>
        <v/>
      </c>
      <c r="J798" s="2" t="str">
        <f>IFERROR(VLOOKUP($A798,observations_series_id_PCU3241913241910_api_key_ecc133893ea92a842ee685c734246086[],3,FALSE),"")</f>
        <v/>
      </c>
      <c r="K798" t="str">
        <f>IFERROR(VLOOKUP($A798,observations_series_id_EXJPUS_api_key_ecc133893ea92a842ee685c734246086_file_type[],2,FALSE),"")</f>
        <v/>
      </c>
      <c r="L798" s="2" t="str">
        <f>IFERROR(VLOOKUP($A798,observations_series_id_EXJPUS_api_key_ecc133893ea92a842ee685c734246086_file_type[],3,FALSE),"")</f>
        <v/>
      </c>
      <c r="M798" t="str">
        <f>IFERROR(AVERAGEIFS(timeseries_access_key_fqeas14oitk235763mntlb1c0brnk9w3fenzqbk313q5kvxyf52kukw1pa[Value.LME-ZNC],timeseries_access_key_fqeas14oitk235763mntlb1c0brnk9w3fenzqbk313q5kvxyf52kukw1pa[Month],MONTH(Data!$A798),timeseries_access_key_fqeas14oitk235763mntlb1c0brnk9w3fenzqbk313q5kvxyf52kukw1pa[Year],YEAR(Data!$A798)),"")</f>
        <v/>
      </c>
      <c r="N798" s="2" t="str">
        <f>IFERROR(AVERAGEIFS(timeseries_access_key_fqeas14oitk235763mntlb1c0brnk9w3fenzqbk313q5kvxyf52kukw1pa[Column1],timeseries_access_key_fqeas14oitk235763mntlb1c0brnk9w3fenzqbk313q5kvxyf52kukw1pa[Month],MONTH(Data!$A798),timeseries_access_key_fqeas14oitk235763mntlb1c0brnk9w3fenzqbk313q5kvxyf52kukw1pa[Year],YEAR(Data!$A798)),"")</f>
        <v/>
      </c>
      <c r="O798" s="8" t="str">
        <f>IFERROR(VLOOKUP($A798,Text_1_2[[Text.1.1.3]:[Text.1.3]],2,FALSE),"")</f>
        <v/>
      </c>
      <c r="P798" s="2"/>
    </row>
    <row r="799" spans="1:16" x14ac:dyDescent="0.25">
      <c r="A799" s="1">
        <v>45444</v>
      </c>
      <c r="B799" t="str">
        <f>HLOOKUP(Dashboard!$I$27,results,ROW(A799),FALSE)</f>
        <v/>
      </c>
      <c r="C799" t="str">
        <f>IFERROR(VLOOKUP(A799,observations_series_id_PCU22112222112243_api_key_ecc133893ea92a842ee685c73424608[],2,FALSE),"")</f>
        <v/>
      </c>
      <c r="D799" s="2" t="str">
        <f>IFERROR(VLOOKUP(A799,observations_series_id_PCU22112222112243_api_key_ecc133893ea92a842ee685c73424608[],3,FALSE),"")</f>
        <v/>
      </c>
      <c r="E799" t="str">
        <f>IFERROR(VLOOKUP($A799,observations_series_id_WPU0613020T_api_key_ecc133893ea92a842ee685c734246086_file[],2,FALSE),"")</f>
        <v/>
      </c>
      <c r="F799" s="2" t="str">
        <f>IFERROR(VLOOKUP($A799,observations_series_id_WPU0613020T_api_key_ecc133893ea92a842ee685c734246086_file[],3,FALSE),"")</f>
        <v/>
      </c>
      <c r="G799" t="str">
        <f>IFERROR(VLOOKUP($A799,observations_series_id_PCU22122212_api_key_ecc133893ea92a842ee685c734246086_file[],2,FALSE),"")</f>
        <v/>
      </c>
      <c r="H799" s="2" t="str">
        <f>IFERROR(VLOOKUP($A799,observations_series_id_PCU22122212_api_key_ecc133893ea92a842ee685c734246086_file[],3,FALSE),"")</f>
        <v/>
      </c>
      <c r="I799" t="str">
        <f>IFERROR(VLOOKUP($A799,observations_series_id_PCU3241913241910_api_key_ecc133893ea92a842ee685c734246086[],2,FALSE),"")</f>
        <v/>
      </c>
      <c r="J799" s="2" t="str">
        <f>IFERROR(VLOOKUP($A799,observations_series_id_PCU3241913241910_api_key_ecc133893ea92a842ee685c734246086[],3,FALSE),"")</f>
        <v/>
      </c>
      <c r="K799" t="str">
        <f>IFERROR(VLOOKUP($A799,observations_series_id_EXJPUS_api_key_ecc133893ea92a842ee685c734246086_file_type[],2,FALSE),"")</f>
        <v/>
      </c>
      <c r="L799" s="2" t="str">
        <f>IFERROR(VLOOKUP($A799,observations_series_id_EXJPUS_api_key_ecc133893ea92a842ee685c734246086_file_type[],3,FALSE),"")</f>
        <v/>
      </c>
      <c r="M799" t="str">
        <f>IFERROR(AVERAGEIFS(timeseries_access_key_fqeas14oitk235763mntlb1c0brnk9w3fenzqbk313q5kvxyf52kukw1pa[Value.LME-ZNC],timeseries_access_key_fqeas14oitk235763mntlb1c0brnk9w3fenzqbk313q5kvxyf52kukw1pa[Month],MONTH(Data!$A799),timeseries_access_key_fqeas14oitk235763mntlb1c0brnk9w3fenzqbk313q5kvxyf52kukw1pa[Year],YEAR(Data!$A799)),"")</f>
        <v/>
      </c>
      <c r="N799" s="2" t="str">
        <f>IFERROR(AVERAGEIFS(timeseries_access_key_fqeas14oitk235763mntlb1c0brnk9w3fenzqbk313q5kvxyf52kukw1pa[Column1],timeseries_access_key_fqeas14oitk235763mntlb1c0brnk9w3fenzqbk313q5kvxyf52kukw1pa[Month],MONTH(Data!$A799),timeseries_access_key_fqeas14oitk235763mntlb1c0brnk9w3fenzqbk313q5kvxyf52kukw1pa[Year],YEAR(Data!$A799)),"")</f>
        <v/>
      </c>
      <c r="O799" s="8" t="str">
        <f>IFERROR(VLOOKUP($A799,Text_1_2[[Text.1.1.3]:[Text.1.3]],2,FALSE),"")</f>
        <v/>
      </c>
      <c r="P799" s="2"/>
    </row>
    <row r="800" spans="1:16" x14ac:dyDescent="0.25">
      <c r="A800" s="1">
        <v>45474</v>
      </c>
      <c r="B800" t="str">
        <f>HLOOKUP(Dashboard!$I$27,results,ROW(A800),FALSE)</f>
        <v/>
      </c>
      <c r="C800" t="str">
        <f>IFERROR(VLOOKUP(A800,observations_series_id_PCU22112222112243_api_key_ecc133893ea92a842ee685c73424608[],2,FALSE),"")</f>
        <v/>
      </c>
      <c r="D800" s="2" t="str">
        <f>IFERROR(VLOOKUP(A800,observations_series_id_PCU22112222112243_api_key_ecc133893ea92a842ee685c73424608[],3,FALSE),"")</f>
        <v/>
      </c>
      <c r="E800" t="str">
        <f>IFERROR(VLOOKUP($A800,observations_series_id_WPU0613020T_api_key_ecc133893ea92a842ee685c734246086_file[],2,FALSE),"")</f>
        <v/>
      </c>
      <c r="F800" s="2" t="str">
        <f>IFERROR(VLOOKUP($A800,observations_series_id_WPU0613020T_api_key_ecc133893ea92a842ee685c734246086_file[],3,FALSE),"")</f>
        <v/>
      </c>
      <c r="G800" t="str">
        <f>IFERROR(VLOOKUP($A800,observations_series_id_PCU22122212_api_key_ecc133893ea92a842ee685c734246086_file[],2,FALSE),"")</f>
        <v/>
      </c>
      <c r="H800" s="2" t="str">
        <f>IFERROR(VLOOKUP($A800,observations_series_id_PCU22122212_api_key_ecc133893ea92a842ee685c734246086_file[],3,FALSE),"")</f>
        <v/>
      </c>
      <c r="I800" t="str">
        <f>IFERROR(VLOOKUP($A800,observations_series_id_PCU3241913241910_api_key_ecc133893ea92a842ee685c734246086[],2,FALSE),"")</f>
        <v/>
      </c>
      <c r="J800" s="2" t="str">
        <f>IFERROR(VLOOKUP($A800,observations_series_id_PCU3241913241910_api_key_ecc133893ea92a842ee685c734246086[],3,FALSE),"")</f>
        <v/>
      </c>
      <c r="K800" t="str">
        <f>IFERROR(VLOOKUP($A800,observations_series_id_EXJPUS_api_key_ecc133893ea92a842ee685c734246086_file_type[],2,FALSE),"")</f>
        <v/>
      </c>
      <c r="L800" s="2" t="str">
        <f>IFERROR(VLOOKUP($A800,observations_series_id_EXJPUS_api_key_ecc133893ea92a842ee685c734246086_file_type[],3,FALSE),"")</f>
        <v/>
      </c>
      <c r="M800" t="str">
        <f>IFERROR(AVERAGEIFS(timeseries_access_key_fqeas14oitk235763mntlb1c0brnk9w3fenzqbk313q5kvxyf52kukw1pa[Value.LME-ZNC],timeseries_access_key_fqeas14oitk235763mntlb1c0brnk9w3fenzqbk313q5kvxyf52kukw1pa[Month],MONTH(Data!$A800),timeseries_access_key_fqeas14oitk235763mntlb1c0brnk9w3fenzqbk313q5kvxyf52kukw1pa[Year],YEAR(Data!$A800)),"")</f>
        <v/>
      </c>
      <c r="N800" s="2" t="str">
        <f>IFERROR(AVERAGEIFS(timeseries_access_key_fqeas14oitk235763mntlb1c0brnk9w3fenzqbk313q5kvxyf52kukw1pa[Column1],timeseries_access_key_fqeas14oitk235763mntlb1c0brnk9w3fenzqbk313q5kvxyf52kukw1pa[Month],MONTH(Data!$A800),timeseries_access_key_fqeas14oitk235763mntlb1c0brnk9w3fenzqbk313q5kvxyf52kukw1pa[Year],YEAR(Data!$A800)),"")</f>
        <v/>
      </c>
      <c r="O800" s="8" t="str">
        <f>IFERROR(VLOOKUP($A800,Text_1_2[[Text.1.1.3]:[Text.1.3]],2,FALSE),"")</f>
        <v/>
      </c>
      <c r="P800" s="2"/>
    </row>
    <row r="801" spans="1:16" x14ac:dyDescent="0.25">
      <c r="A801" s="1">
        <v>45505</v>
      </c>
      <c r="B801" t="str">
        <f>HLOOKUP(Dashboard!$I$27,results,ROW(A801),FALSE)</f>
        <v/>
      </c>
      <c r="C801" t="str">
        <f>IFERROR(VLOOKUP(A801,observations_series_id_PCU22112222112243_api_key_ecc133893ea92a842ee685c73424608[],2,FALSE),"")</f>
        <v/>
      </c>
      <c r="D801" s="2" t="str">
        <f>IFERROR(VLOOKUP(A801,observations_series_id_PCU22112222112243_api_key_ecc133893ea92a842ee685c73424608[],3,FALSE),"")</f>
        <v/>
      </c>
      <c r="E801" t="str">
        <f>IFERROR(VLOOKUP($A801,observations_series_id_WPU0613020T_api_key_ecc133893ea92a842ee685c734246086_file[],2,FALSE),"")</f>
        <v/>
      </c>
      <c r="F801" s="2" t="str">
        <f>IFERROR(VLOOKUP($A801,observations_series_id_WPU0613020T_api_key_ecc133893ea92a842ee685c734246086_file[],3,FALSE),"")</f>
        <v/>
      </c>
      <c r="G801" t="str">
        <f>IFERROR(VLOOKUP($A801,observations_series_id_PCU22122212_api_key_ecc133893ea92a842ee685c734246086_file[],2,FALSE),"")</f>
        <v/>
      </c>
      <c r="H801" s="2" t="str">
        <f>IFERROR(VLOOKUP($A801,observations_series_id_PCU22122212_api_key_ecc133893ea92a842ee685c734246086_file[],3,FALSE),"")</f>
        <v/>
      </c>
      <c r="I801" t="str">
        <f>IFERROR(VLOOKUP($A801,observations_series_id_PCU3241913241910_api_key_ecc133893ea92a842ee685c734246086[],2,FALSE),"")</f>
        <v/>
      </c>
      <c r="J801" s="2" t="str">
        <f>IFERROR(VLOOKUP($A801,observations_series_id_PCU3241913241910_api_key_ecc133893ea92a842ee685c734246086[],3,FALSE),"")</f>
        <v/>
      </c>
      <c r="K801" t="str">
        <f>IFERROR(VLOOKUP($A801,observations_series_id_EXJPUS_api_key_ecc133893ea92a842ee685c734246086_file_type[],2,FALSE),"")</f>
        <v/>
      </c>
      <c r="L801" s="2" t="str">
        <f>IFERROR(VLOOKUP($A801,observations_series_id_EXJPUS_api_key_ecc133893ea92a842ee685c734246086_file_type[],3,FALSE),"")</f>
        <v/>
      </c>
      <c r="M801" t="str">
        <f>IFERROR(AVERAGEIFS(timeseries_access_key_fqeas14oitk235763mntlb1c0brnk9w3fenzqbk313q5kvxyf52kukw1pa[Value.LME-ZNC],timeseries_access_key_fqeas14oitk235763mntlb1c0brnk9w3fenzqbk313q5kvxyf52kukw1pa[Month],MONTH(Data!$A801),timeseries_access_key_fqeas14oitk235763mntlb1c0brnk9w3fenzqbk313q5kvxyf52kukw1pa[Year],YEAR(Data!$A801)),"")</f>
        <v/>
      </c>
      <c r="N801" s="2" t="str">
        <f>IFERROR(AVERAGEIFS(timeseries_access_key_fqeas14oitk235763mntlb1c0brnk9w3fenzqbk313q5kvxyf52kukw1pa[Column1],timeseries_access_key_fqeas14oitk235763mntlb1c0brnk9w3fenzqbk313q5kvxyf52kukw1pa[Month],MONTH(Data!$A801),timeseries_access_key_fqeas14oitk235763mntlb1c0brnk9w3fenzqbk313q5kvxyf52kukw1pa[Year],YEAR(Data!$A801)),"")</f>
        <v/>
      </c>
      <c r="O801" s="8" t="str">
        <f>IFERROR(VLOOKUP($A801,Text_1_2[[Text.1.1.3]:[Text.1.3]],2,FALSE),"")</f>
        <v/>
      </c>
      <c r="P801" s="2"/>
    </row>
    <row r="802" spans="1:16" x14ac:dyDescent="0.25">
      <c r="A802" s="1">
        <v>45536</v>
      </c>
      <c r="B802" t="str">
        <f>HLOOKUP(Dashboard!$I$27,results,ROW(A802),FALSE)</f>
        <v/>
      </c>
      <c r="C802" t="str">
        <f>IFERROR(VLOOKUP(A802,observations_series_id_PCU22112222112243_api_key_ecc133893ea92a842ee685c73424608[],2,FALSE),"")</f>
        <v/>
      </c>
      <c r="D802" s="2" t="str">
        <f>IFERROR(VLOOKUP(A802,observations_series_id_PCU22112222112243_api_key_ecc133893ea92a842ee685c73424608[],3,FALSE),"")</f>
        <v/>
      </c>
      <c r="E802" t="str">
        <f>IFERROR(VLOOKUP($A802,observations_series_id_WPU0613020T_api_key_ecc133893ea92a842ee685c734246086_file[],2,FALSE),"")</f>
        <v/>
      </c>
      <c r="F802" s="2" t="str">
        <f>IFERROR(VLOOKUP($A802,observations_series_id_WPU0613020T_api_key_ecc133893ea92a842ee685c734246086_file[],3,FALSE),"")</f>
        <v/>
      </c>
      <c r="G802" t="str">
        <f>IFERROR(VLOOKUP($A802,observations_series_id_PCU22122212_api_key_ecc133893ea92a842ee685c734246086_file[],2,FALSE),"")</f>
        <v/>
      </c>
      <c r="H802" s="2" t="str">
        <f>IFERROR(VLOOKUP($A802,observations_series_id_PCU22122212_api_key_ecc133893ea92a842ee685c734246086_file[],3,FALSE),"")</f>
        <v/>
      </c>
      <c r="I802" t="str">
        <f>IFERROR(VLOOKUP($A802,observations_series_id_PCU3241913241910_api_key_ecc133893ea92a842ee685c734246086[],2,FALSE),"")</f>
        <v/>
      </c>
      <c r="J802" s="2" t="str">
        <f>IFERROR(VLOOKUP($A802,observations_series_id_PCU3241913241910_api_key_ecc133893ea92a842ee685c734246086[],3,FALSE),"")</f>
        <v/>
      </c>
      <c r="K802" t="str">
        <f>IFERROR(VLOOKUP($A802,observations_series_id_EXJPUS_api_key_ecc133893ea92a842ee685c734246086_file_type[],2,FALSE),"")</f>
        <v/>
      </c>
      <c r="L802" s="2" t="str">
        <f>IFERROR(VLOOKUP($A802,observations_series_id_EXJPUS_api_key_ecc133893ea92a842ee685c734246086_file_type[],3,FALSE),"")</f>
        <v/>
      </c>
      <c r="M802" t="str">
        <f>IFERROR(AVERAGEIFS(timeseries_access_key_fqeas14oitk235763mntlb1c0brnk9w3fenzqbk313q5kvxyf52kukw1pa[Value.LME-ZNC],timeseries_access_key_fqeas14oitk235763mntlb1c0brnk9w3fenzqbk313q5kvxyf52kukw1pa[Month],MONTH(Data!$A802),timeseries_access_key_fqeas14oitk235763mntlb1c0brnk9w3fenzqbk313q5kvxyf52kukw1pa[Year],YEAR(Data!$A802)),"")</f>
        <v/>
      </c>
      <c r="N802" s="2" t="str">
        <f>IFERROR(AVERAGEIFS(timeseries_access_key_fqeas14oitk235763mntlb1c0brnk9w3fenzqbk313q5kvxyf52kukw1pa[Column1],timeseries_access_key_fqeas14oitk235763mntlb1c0brnk9w3fenzqbk313q5kvxyf52kukw1pa[Month],MONTH(Data!$A802),timeseries_access_key_fqeas14oitk235763mntlb1c0brnk9w3fenzqbk313q5kvxyf52kukw1pa[Year],YEAR(Data!$A802)),"")</f>
        <v/>
      </c>
      <c r="O802" s="8" t="str">
        <f>IFERROR(VLOOKUP($A802,Text_1_2[[Text.1.1.3]:[Text.1.3]],2,FALSE),"")</f>
        <v/>
      </c>
      <c r="P802" s="2"/>
    </row>
    <row r="803" spans="1:16" x14ac:dyDescent="0.25">
      <c r="A803" s="1">
        <v>45566</v>
      </c>
      <c r="B803" t="str">
        <f>HLOOKUP(Dashboard!$I$27,results,ROW(A803),FALSE)</f>
        <v/>
      </c>
      <c r="C803" t="str">
        <f>IFERROR(VLOOKUP(A803,observations_series_id_PCU22112222112243_api_key_ecc133893ea92a842ee685c73424608[],2,FALSE),"")</f>
        <v/>
      </c>
      <c r="D803" s="2" t="str">
        <f>IFERROR(VLOOKUP(A803,observations_series_id_PCU22112222112243_api_key_ecc133893ea92a842ee685c73424608[],3,FALSE),"")</f>
        <v/>
      </c>
      <c r="E803" t="str">
        <f>IFERROR(VLOOKUP($A803,observations_series_id_WPU0613020T_api_key_ecc133893ea92a842ee685c734246086_file[],2,FALSE),"")</f>
        <v/>
      </c>
      <c r="F803" s="2" t="str">
        <f>IFERROR(VLOOKUP($A803,observations_series_id_WPU0613020T_api_key_ecc133893ea92a842ee685c734246086_file[],3,FALSE),"")</f>
        <v/>
      </c>
      <c r="G803" t="str">
        <f>IFERROR(VLOOKUP($A803,observations_series_id_PCU22122212_api_key_ecc133893ea92a842ee685c734246086_file[],2,FALSE),"")</f>
        <v/>
      </c>
      <c r="H803" s="2" t="str">
        <f>IFERROR(VLOOKUP($A803,observations_series_id_PCU22122212_api_key_ecc133893ea92a842ee685c734246086_file[],3,FALSE),"")</f>
        <v/>
      </c>
      <c r="I803" t="str">
        <f>IFERROR(VLOOKUP($A803,observations_series_id_PCU3241913241910_api_key_ecc133893ea92a842ee685c734246086[],2,FALSE),"")</f>
        <v/>
      </c>
      <c r="J803" s="2" t="str">
        <f>IFERROR(VLOOKUP($A803,observations_series_id_PCU3241913241910_api_key_ecc133893ea92a842ee685c734246086[],3,FALSE),"")</f>
        <v/>
      </c>
      <c r="K803" t="str">
        <f>IFERROR(VLOOKUP($A803,observations_series_id_EXJPUS_api_key_ecc133893ea92a842ee685c734246086_file_type[],2,FALSE),"")</f>
        <v/>
      </c>
      <c r="L803" s="2" t="str">
        <f>IFERROR(VLOOKUP($A803,observations_series_id_EXJPUS_api_key_ecc133893ea92a842ee685c734246086_file_type[],3,FALSE),"")</f>
        <v/>
      </c>
      <c r="M803" t="str">
        <f>IFERROR(AVERAGEIFS(timeseries_access_key_fqeas14oitk235763mntlb1c0brnk9w3fenzqbk313q5kvxyf52kukw1pa[Value.LME-ZNC],timeseries_access_key_fqeas14oitk235763mntlb1c0brnk9w3fenzqbk313q5kvxyf52kukw1pa[Month],MONTH(Data!$A803),timeseries_access_key_fqeas14oitk235763mntlb1c0brnk9w3fenzqbk313q5kvxyf52kukw1pa[Year],YEAR(Data!$A803)),"")</f>
        <v/>
      </c>
      <c r="N803" s="2" t="str">
        <f>IFERROR(AVERAGEIFS(timeseries_access_key_fqeas14oitk235763mntlb1c0brnk9w3fenzqbk313q5kvxyf52kukw1pa[Column1],timeseries_access_key_fqeas14oitk235763mntlb1c0brnk9w3fenzqbk313q5kvxyf52kukw1pa[Month],MONTH(Data!$A803),timeseries_access_key_fqeas14oitk235763mntlb1c0brnk9w3fenzqbk313q5kvxyf52kukw1pa[Year],YEAR(Data!$A803)),"")</f>
        <v/>
      </c>
      <c r="O803" s="8" t="str">
        <f>IFERROR(VLOOKUP($A803,Text_1_2[[Text.1.1.3]:[Text.1.3]],2,FALSE),"")</f>
        <v/>
      </c>
      <c r="P803" s="2"/>
    </row>
    <row r="804" spans="1:16" x14ac:dyDescent="0.25">
      <c r="A804" s="1">
        <v>45597</v>
      </c>
      <c r="B804" t="str">
        <f>HLOOKUP(Dashboard!$I$27,results,ROW(A804),FALSE)</f>
        <v/>
      </c>
      <c r="C804" t="str">
        <f>IFERROR(VLOOKUP(A804,observations_series_id_PCU22112222112243_api_key_ecc133893ea92a842ee685c73424608[],2,FALSE),"")</f>
        <v/>
      </c>
      <c r="D804" s="2" t="str">
        <f>IFERROR(VLOOKUP(A804,observations_series_id_PCU22112222112243_api_key_ecc133893ea92a842ee685c73424608[],3,FALSE),"")</f>
        <v/>
      </c>
      <c r="E804" t="str">
        <f>IFERROR(VLOOKUP($A804,observations_series_id_WPU0613020T_api_key_ecc133893ea92a842ee685c734246086_file[],2,FALSE),"")</f>
        <v/>
      </c>
      <c r="F804" s="2" t="str">
        <f>IFERROR(VLOOKUP($A804,observations_series_id_WPU0613020T_api_key_ecc133893ea92a842ee685c734246086_file[],3,FALSE),"")</f>
        <v/>
      </c>
      <c r="G804" t="str">
        <f>IFERROR(VLOOKUP($A804,observations_series_id_PCU22122212_api_key_ecc133893ea92a842ee685c734246086_file[],2,FALSE),"")</f>
        <v/>
      </c>
      <c r="H804" s="2" t="str">
        <f>IFERROR(VLOOKUP($A804,observations_series_id_PCU22122212_api_key_ecc133893ea92a842ee685c734246086_file[],3,FALSE),"")</f>
        <v/>
      </c>
      <c r="I804" t="str">
        <f>IFERROR(VLOOKUP($A804,observations_series_id_PCU3241913241910_api_key_ecc133893ea92a842ee685c734246086[],2,FALSE),"")</f>
        <v/>
      </c>
      <c r="J804" s="2" t="str">
        <f>IFERROR(VLOOKUP($A804,observations_series_id_PCU3241913241910_api_key_ecc133893ea92a842ee685c734246086[],3,FALSE),"")</f>
        <v/>
      </c>
      <c r="K804" t="str">
        <f>IFERROR(VLOOKUP($A804,observations_series_id_EXJPUS_api_key_ecc133893ea92a842ee685c734246086_file_type[],2,FALSE),"")</f>
        <v/>
      </c>
      <c r="L804" s="2" t="str">
        <f>IFERROR(VLOOKUP($A804,observations_series_id_EXJPUS_api_key_ecc133893ea92a842ee685c734246086_file_type[],3,FALSE),"")</f>
        <v/>
      </c>
      <c r="M804" t="str">
        <f>IFERROR(AVERAGEIFS(timeseries_access_key_fqeas14oitk235763mntlb1c0brnk9w3fenzqbk313q5kvxyf52kukw1pa[Value.LME-ZNC],timeseries_access_key_fqeas14oitk235763mntlb1c0brnk9w3fenzqbk313q5kvxyf52kukw1pa[Month],MONTH(Data!$A804),timeseries_access_key_fqeas14oitk235763mntlb1c0brnk9w3fenzqbk313q5kvxyf52kukw1pa[Year],YEAR(Data!$A804)),"")</f>
        <v/>
      </c>
      <c r="N804" s="2" t="str">
        <f>IFERROR(AVERAGEIFS(timeseries_access_key_fqeas14oitk235763mntlb1c0brnk9w3fenzqbk313q5kvxyf52kukw1pa[Column1],timeseries_access_key_fqeas14oitk235763mntlb1c0brnk9w3fenzqbk313q5kvxyf52kukw1pa[Month],MONTH(Data!$A804),timeseries_access_key_fqeas14oitk235763mntlb1c0brnk9w3fenzqbk313q5kvxyf52kukw1pa[Year],YEAR(Data!$A804)),"")</f>
        <v/>
      </c>
      <c r="O804" s="8" t="str">
        <f>IFERROR(VLOOKUP($A804,Text_1_2[[Text.1.1.3]:[Text.1.3]],2,FALSE),"")</f>
        <v/>
      </c>
      <c r="P804" s="2"/>
    </row>
    <row r="805" spans="1:16" x14ac:dyDescent="0.25">
      <c r="A805" s="1">
        <v>45627</v>
      </c>
      <c r="B805" t="str">
        <f>HLOOKUP(Dashboard!$I$27,results,ROW(A805),FALSE)</f>
        <v/>
      </c>
      <c r="C805" t="str">
        <f>IFERROR(VLOOKUP(A805,observations_series_id_PCU22112222112243_api_key_ecc133893ea92a842ee685c73424608[],2,FALSE),"")</f>
        <v/>
      </c>
      <c r="D805" s="2" t="str">
        <f>IFERROR(VLOOKUP(A805,observations_series_id_PCU22112222112243_api_key_ecc133893ea92a842ee685c73424608[],3,FALSE),"")</f>
        <v/>
      </c>
      <c r="E805" t="str">
        <f>IFERROR(VLOOKUP($A805,observations_series_id_WPU0613020T_api_key_ecc133893ea92a842ee685c734246086_file[],2,FALSE),"")</f>
        <v/>
      </c>
      <c r="F805" s="2" t="str">
        <f>IFERROR(VLOOKUP($A805,observations_series_id_WPU0613020T_api_key_ecc133893ea92a842ee685c734246086_file[],3,FALSE),"")</f>
        <v/>
      </c>
      <c r="G805" t="str">
        <f>IFERROR(VLOOKUP($A805,observations_series_id_PCU22122212_api_key_ecc133893ea92a842ee685c734246086_file[],2,FALSE),"")</f>
        <v/>
      </c>
      <c r="H805" s="2" t="str">
        <f>IFERROR(VLOOKUP($A805,observations_series_id_PCU22122212_api_key_ecc133893ea92a842ee685c734246086_file[],3,FALSE),"")</f>
        <v/>
      </c>
      <c r="I805" t="str">
        <f>IFERROR(VLOOKUP($A805,observations_series_id_PCU3241913241910_api_key_ecc133893ea92a842ee685c734246086[],2,FALSE),"")</f>
        <v/>
      </c>
      <c r="J805" s="2" t="str">
        <f>IFERROR(VLOOKUP($A805,observations_series_id_PCU3241913241910_api_key_ecc133893ea92a842ee685c734246086[],3,FALSE),"")</f>
        <v/>
      </c>
      <c r="K805" t="str">
        <f>IFERROR(VLOOKUP($A805,observations_series_id_EXJPUS_api_key_ecc133893ea92a842ee685c734246086_file_type[],2,FALSE),"")</f>
        <v/>
      </c>
      <c r="L805" s="2" t="str">
        <f>IFERROR(VLOOKUP($A805,observations_series_id_EXJPUS_api_key_ecc133893ea92a842ee685c734246086_file_type[],3,FALSE),"")</f>
        <v/>
      </c>
      <c r="M805" t="str">
        <f>IFERROR(AVERAGEIFS(timeseries_access_key_fqeas14oitk235763mntlb1c0brnk9w3fenzqbk313q5kvxyf52kukw1pa[Value.LME-ZNC],timeseries_access_key_fqeas14oitk235763mntlb1c0brnk9w3fenzqbk313q5kvxyf52kukw1pa[Month],MONTH(Data!$A805),timeseries_access_key_fqeas14oitk235763mntlb1c0brnk9w3fenzqbk313q5kvxyf52kukw1pa[Year],YEAR(Data!$A805)),"")</f>
        <v/>
      </c>
      <c r="N805" s="2" t="str">
        <f>IFERROR(AVERAGEIFS(timeseries_access_key_fqeas14oitk235763mntlb1c0brnk9w3fenzqbk313q5kvxyf52kukw1pa[Column1],timeseries_access_key_fqeas14oitk235763mntlb1c0brnk9w3fenzqbk313q5kvxyf52kukw1pa[Month],MONTH(Data!$A805),timeseries_access_key_fqeas14oitk235763mntlb1c0brnk9w3fenzqbk313q5kvxyf52kukw1pa[Year],YEAR(Data!$A805)),"")</f>
        <v/>
      </c>
      <c r="O805" s="8" t="str">
        <f>IFERROR(VLOOKUP($A805,Text_1_2[[Text.1.1.3]:[Text.1.3]],2,FALSE),"")</f>
        <v/>
      </c>
      <c r="P805" s="2"/>
    </row>
    <row r="806" spans="1:16" x14ac:dyDescent="0.25">
      <c r="A806" s="1">
        <v>45658</v>
      </c>
      <c r="B806" t="str">
        <f>HLOOKUP(Dashboard!$I$27,results,ROW(A806),FALSE)</f>
        <v/>
      </c>
      <c r="C806" t="str">
        <f>IFERROR(VLOOKUP(A806,observations_series_id_PCU22112222112243_api_key_ecc133893ea92a842ee685c73424608[],2,FALSE),"")</f>
        <v/>
      </c>
      <c r="D806" s="2" t="str">
        <f>IFERROR(VLOOKUP(A806,observations_series_id_PCU22112222112243_api_key_ecc133893ea92a842ee685c73424608[],3,FALSE),"")</f>
        <v/>
      </c>
      <c r="E806" t="str">
        <f>IFERROR(VLOOKUP($A806,observations_series_id_WPU0613020T_api_key_ecc133893ea92a842ee685c734246086_file[],2,FALSE),"")</f>
        <v/>
      </c>
      <c r="F806" s="2" t="str">
        <f>IFERROR(VLOOKUP($A806,observations_series_id_WPU0613020T_api_key_ecc133893ea92a842ee685c734246086_file[],3,FALSE),"")</f>
        <v/>
      </c>
      <c r="G806" t="str">
        <f>IFERROR(VLOOKUP($A806,observations_series_id_PCU22122212_api_key_ecc133893ea92a842ee685c734246086_file[],2,FALSE),"")</f>
        <v/>
      </c>
      <c r="H806" s="2" t="str">
        <f>IFERROR(VLOOKUP($A806,observations_series_id_PCU22122212_api_key_ecc133893ea92a842ee685c734246086_file[],3,FALSE),"")</f>
        <v/>
      </c>
      <c r="I806" t="str">
        <f>IFERROR(VLOOKUP($A806,observations_series_id_PCU3241913241910_api_key_ecc133893ea92a842ee685c734246086[],2,FALSE),"")</f>
        <v/>
      </c>
      <c r="J806" s="2" t="str">
        <f>IFERROR(VLOOKUP($A806,observations_series_id_PCU3241913241910_api_key_ecc133893ea92a842ee685c734246086[],3,FALSE),"")</f>
        <v/>
      </c>
      <c r="K806" t="str">
        <f>IFERROR(VLOOKUP($A806,observations_series_id_EXJPUS_api_key_ecc133893ea92a842ee685c734246086_file_type[],2,FALSE),"")</f>
        <v/>
      </c>
      <c r="L806" s="2" t="str">
        <f>IFERROR(VLOOKUP($A806,observations_series_id_EXJPUS_api_key_ecc133893ea92a842ee685c734246086_file_type[],3,FALSE),"")</f>
        <v/>
      </c>
      <c r="M806" t="str">
        <f>IFERROR(AVERAGEIFS(timeseries_access_key_fqeas14oitk235763mntlb1c0brnk9w3fenzqbk313q5kvxyf52kukw1pa[Value.LME-ZNC],timeseries_access_key_fqeas14oitk235763mntlb1c0brnk9w3fenzqbk313q5kvxyf52kukw1pa[Month],MONTH(Data!$A806),timeseries_access_key_fqeas14oitk235763mntlb1c0brnk9w3fenzqbk313q5kvxyf52kukw1pa[Year],YEAR(Data!$A806)),"")</f>
        <v/>
      </c>
      <c r="N806" s="2" t="str">
        <f>IFERROR(AVERAGEIFS(timeseries_access_key_fqeas14oitk235763mntlb1c0brnk9w3fenzqbk313q5kvxyf52kukw1pa[Column1],timeseries_access_key_fqeas14oitk235763mntlb1c0brnk9w3fenzqbk313q5kvxyf52kukw1pa[Month],MONTH(Data!$A806),timeseries_access_key_fqeas14oitk235763mntlb1c0brnk9w3fenzqbk313q5kvxyf52kukw1pa[Year],YEAR(Data!$A806)),"")</f>
        <v/>
      </c>
      <c r="O806" s="8" t="str">
        <f>IFERROR(VLOOKUP($A806,Text_1_2[[Text.1.1.3]:[Text.1.3]],2,FALSE),"")</f>
        <v/>
      </c>
      <c r="P806" s="2"/>
    </row>
    <row r="807" spans="1:16" x14ac:dyDescent="0.25">
      <c r="A807" s="1">
        <v>45689</v>
      </c>
      <c r="B807" t="str">
        <f>HLOOKUP(Dashboard!$I$27,results,ROW(A807),FALSE)</f>
        <v/>
      </c>
      <c r="C807" t="str">
        <f>IFERROR(VLOOKUP(A807,observations_series_id_PCU22112222112243_api_key_ecc133893ea92a842ee685c73424608[],2,FALSE),"")</f>
        <v/>
      </c>
      <c r="D807" s="2" t="str">
        <f>IFERROR(VLOOKUP(A807,observations_series_id_PCU22112222112243_api_key_ecc133893ea92a842ee685c73424608[],3,FALSE),"")</f>
        <v/>
      </c>
      <c r="E807" t="str">
        <f>IFERROR(VLOOKUP($A807,observations_series_id_WPU0613020T_api_key_ecc133893ea92a842ee685c734246086_file[],2,FALSE),"")</f>
        <v/>
      </c>
      <c r="F807" s="2" t="str">
        <f>IFERROR(VLOOKUP($A807,observations_series_id_WPU0613020T_api_key_ecc133893ea92a842ee685c734246086_file[],3,FALSE),"")</f>
        <v/>
      </c>
      <c r="G807" t="str">
        <f>IFERROR(VLOOKUP($A807,observations_series_id_PCU22122212_api_key_ecc133893ea92a842ee685c734246086_file[],2,FALSE),"")</f>
        <v/>
      </c>
      <c r="H807" s="2" t="str">
        <f>IFERROR(VLOOKUP($A807,observations_series_id_PCU22122212_api_key_ecc133893ea92a842ee685c734246086_file[],3,FALSE),"")</f>
        <v/>
      </c>
      <c r="I807" t="str">
        <f>IFERROR(VLOOKUP($A807,observations_series_id_PCU3241913241910_api_key_ecc133893ea92a842ee685c734246086[],2,FALSE),"")</f>
        <v/>
      </c>
      <c r="J807" s="2" t="str">
        <f>IFERROR(VLOOKUP($A807,observations_series_id_PCU3241913241910_api_key_ecc133893ea92a842ee685c734246086[],3,FALSE),"")</f>
        <v/>
      </c>
      <c r="K807" t="str">
        <f>IFERROR(VLOOKUP($A807,observations_series_id_EXJPUS_api_key_ecc133893ea92a842ee685c734246086_file_type[],2,FALSE),"")</f>
        <v/>
      </c>
      <c r="L807" s="2" t="str">
        <f>IFERROR(VLOOKUP($A807,observations_series_id_EXJPUS_api_key_ecc133893ea92a842ee685c734246086_file_type[],3,FALSE),"")</f>
        <v/>
      </c>
      <c r="M807" t="str">
        <f>IFERROR(AVERAGEIFS(timeseries_access_key_fqeas14oitk235763mntlb1c0brnk9w3fenzqbk313q5kvxyf52kukw1pa[Value.LME-ZNC],timeseries_access_key_fqeas14oitk235763mntlb1c0brnk9w3fenzqbk313q5kvxyf52kukw1pa[Month],MONTH(Data!$A807),timeseries_access_key_fqeas14oitk235763mntlb1c0brnk9w3fenzqbk313q5kvxyf52kukw1pa[Year],YEAR(Data!$A807)),"")</f>
        <v/>
      </c>
      <c r="N807" s="2" t="str">
        <f>IFERROR(AVERAGEIFS(timeseries_access_key_fqeas14oitk235763mntlb1c0brnk9w3fenzqbk313q5kvxyf52kukw1pa[Column1],timeseries_access_key_fqeas14oitk235763mntlb1c0brnk9w3fenzqbk313q5kvxyf52kukw1pa[Month],MONTH(Data!$A807),timeseries_access_key_fqeas14oitk235763mntlb1c0brnk9w3fenzqbk313q5kvxyf52kukw1pa[Year],YEAR(Data!$A807)),"")</f>
        <v/>
      </c>
      <c r="O807" s="8" t="str">
        <f>IFERROR(VLOOKUP($A807,Text_1_2[[Text.1.1.3]:[Text.1.3]],2,FALSE),"")</f>
        <v/>
      </c>
      <c r="P807" s="2"/>
    </row>
    <row r="808" spans="1:16" x14ac:dyDescent="0.25">
      <c r="A808" s="1">
        <v>45717</v>
      </c>
      <c r="B808" t="str">
        <f>HLOOKUP(Dashboard!$I$27,results,ROW(A808),FALSE)</f>
        <v/>
      </c>
      <c r="C808" t="str">
        <f>IFERROR(VLOOKUP(A808,observations_series_id_PCU22112222112243_api_key_ecc133893ea92a842ee685c73424608[],2,FALSE),"")</f>
        <v/>
      </c>
      <c r="D808" s="2" t="str">
        <f>IFERROR(VLOOKUP(A808,observations_series_id_PCU22112222112243_api_key_ecc133893ea92a842ee685c73424608[],3,FALSE),"")</f>
        <v/>
      </c>
      <c r="E808" t="str">
        <f>IFERROR(VLOOKUP($A808,observations_series_id_WPU0613020T_api_key_ecc133893ea92a842ee685c734246086_file[],2,FALSE),"")</f>
        <v/>
      </c>
      <c r="F808" s="2" t="str">
        <f>IFERROR(VLOOKUP($A808,observations_series_id_WPU0613020T_api_key_ecc133893ea92a842ee685c734246086_file[],3,FALSE),"")</f>
        <v/>
      </c>
      <c r="G808" t="str">
        <f>IFERROR(VLOOKUP($A808,observations_series_id_PCU22122212_api_key_ecc133893ea92a842ee685c734246086_file[],2,FALSE),"")</f>
        <v/>
      </c>
      <c r="H808" s="2" t="str">
        <f>IFERROR(VLOOKUP($A808,observations_series_id_PCU22122212_api_key_ecc133893ea92a842ee685c734246086_file[],3,FALSE),"")</f>
        <v/>
      </c>
      <c r="I808" t="str">
        <f>IFERROR(VLOOKUP($A808,observations_series_id_PCU3241913241910_api_key_ecc133893ea92a842ee685c734246086[],2,FALSE),"")</f>
        <v/>
      </c>
      <c r="J808" s="2" t="str">
        <f>IFERROR(VLOOKUP($A808,observations_series_id_PCU3241913241910_api_key_ecc133893ea92a842ee685c734246086[],3,FALSE),"")</f>
        <v/>
      </c>
      <c r="K808" t="str">
        <f>IFERROR(VLOOKUP($A808,observations_series_id_EXJPUS_api_key_ecc133893ea92a842ee685c734246086_file_type[],2,FALSE),"")</f>
        <v/>
      </c>
      <c r="L808" s="2" t="str">
        <f>IFERROR(VLOOKUP($A808,observations_series_id_EXJPUS_api_key_ecc133893ea92a842ee685c734246086_file_type[],3,FALSE),"")</f>
        <v/>
      </c>
      <c r="M808" t="str">
        <f>IFERROR(AVERAGEIFS(timeseries_access_key_fqeas14oitk235763mntlb1c0brnk9w3fenzqbk313q5kvxyf52kukw1pa[Value.LME-ZNC],timeseries_access_key_fqeas14oitk235763mntlb1c0brnk9w3fenzqbk313q5kvxyf52kukw1pa[Month],MONTH(Data!$A808),timeseries_access_key_fqeas14oitk235763mntlb1c0brnk9w3fenzqbk313q5kvxyf52kukw1pa[Year],YEAR(Data!$A808)),"")</f>
        <v/>
      </c>
      <c r="N808" s="2" t="str">
        <f>IFERROR(AVERAGEIFS(timeseries_access_key_fqeas14oitk235763mntlb1c0brnk9w3fenzqbk313q5kvxyf52kukw1pa[Column1],timeseries_access_key_fqeas14oitk235763mntlb1c0brnk9w3fenzqbk313q5kvxyf52kukw1pa[Month],MONTH(Data!$A808),timeseries_access_key_fqeas14oitk235763mntlb1c0brnk9w3fenzqbk313q5kvxyf52kukw1pa[Year],YEAR(Data!$A808)),"")</f>
        <v/>
      </c>
      <c r="O808" s="8" t="str">
        <f>IFERROR(VLOOKUP($A808,Text_1_2[[Text.1.1.3]:[Text.1.3]],2,FALSE),"")</f>
        <v/>
      </c>
      <c r="P808" s="2"/>
    </row>
    <row r="809" spans="1:16" x14ac:dyDescent="0.25">
      <c r="A809" s="1">
        <v>45748</v>
      </c>
      <c r="B809" t="str">
        <f>HLOOKUP(Dashboard!$I$27,results,ROW(A809),FALSE)</f>
        <v/>
      </c>
      <c r="C809" t="str">
        <f>IFERROR(VLOOKUP(A809,observations_series_id_PCU22112222112243_api_key_ecc133893ea92a842ee685c73424608[],2,FALSE),"")</f>
        <v/>
      </c>
      <c r="D809" s="2" t="str">
        <f>IFERROR(VLOOKUP(A809,observations_series_id_PCU22112222112243_api_key_ecc133893ea92a842ee685c73424608[],3,FALSE),"")</f>
        <v/>
      </c>
      <c r="E809" t="str">
        <f>IFERROR(VLOOKUP($A809,observations_series_id_WPU0613020T_api_key_ecc133893ea92a842ee685c734246086_file[],2,FALSE),"")</f>
        <v/>
      </c>
      <c r="F809" s="2" t="str">
        <f>IFERROR(VLOOKUP($A809,observations_series_id_WPU0613020T_api_key_ecc133893ea92a842ee685c734246086_file[],3,FALSE),"")</f>
        <v/>
      </c>
      <c r="G809" t="str">
        <f>IFERROR(VLOOKUP($A809,observations_series_id_PCU22122212_api_key_ecc133893ea92a842ee685c734246086_file[],2,FALSE),"")</f>
        <v/>
      </c>
      <c r="H809" s="2" t="str">
        <f>IFERROR(VLOOKUP($A809,observations_series_id_PCU22122212_api_key_ecc133893ea92a842ee685c734246086_file[],3,FALSE),"")</f>
        <v/>
      </c>
      <c r="I809" t="str">
        <f>IFERROR(VLOOKUP($A809,observations_series_id_PCU3241913241910_api_key_ecc133893ea92a842ee685c734246086[],2,FALSE),"")</f>
        <v/>
      </c>
      <c r="J809" s="2" t="str">
        <f>IFERROR(VLOOKUP($A809,observations_series_id_PCU3241913241910_api_key_ecc133893ea92a842ee685c734246086[],3,FALSE),"")</f>
        <v/>
      </c>
      <c r="K809" t="str">
        <f>IFERROR(VLOOKUP($A809,observations_series_id_EXJPUS_api_key_ecc133893ea92a842ee685c734246086_file_type[],2,FALSE),"")</f>
        <v/>
      </c>
      <c r="L809" s="2" t="str">
        <f>IFERROR(VLOOKUP($A809,observations_series_id_EXJPUS_api_key_ecc133893ea92a842ee685c734246086_file_type[],3,FALSE),"")</f>
        <v/>
      </c>
      <c r="M809" t="str">
        <f>IFERROR(AVERAGEIFS(timeseries_access_key_fqeas14oitk235763mntlb1c0brnk9w3fenzqbk313q5kvxyf52kukw1pa[Value.LME-ZNC],timeseries_access_key_fqeas14oitk235763mntlb1c0brnk9w3fenzqbk313q5kvxyf52kukw1pa[Month],MONTH(Data!$A809),timeseries_access_key_fqeas14oitk235763mntlb1c0brnk9w3fenzqbk313q5kvxyf52kukw1pa[Year],YEAR(Data!$A809)),"")</f>
        <v/>
      </c>
      <c r="N809" s="2" t="str">
        <f>IFERROR(AVERAGEIFS(timeseries_access_key_fqeas14oitk235763mntlb1c0brnk9w3fenzqbk313q5kvxyf52kukw1pa[Column1],timeseries_access_key_fqeas14oitk235763mntlb1c0brnk9w3fenzqbk313q5kvxyf52kukw1pa[Month],MONTH(Data!$A809),timeseries_access_key_fqeas14oitk235763mntlb1c0brnk9w3fenzqbk313q5kvxyf52kukw1pa[Year],YEAR(Data!$A809)),"")</f>
        <v/>
      </c>
      <c r="O809" s="8" t="str">
        <f>IFERROR(VLOOKUP($A809,Text_1_2[[Text.1.1.3]:[Text.1.3]],2,FALSE),"")</f>
        <v/>
      </c>
      <c r="P809" s="2"/>
    </row>
    <row r="810" spans="1:16" x14ac:dyDescent="0.25">
      <c r="A810" s="1">
        <v>45778</v>
      </c>
      <c r="B810" t="str">
        <f>HLOOKUP(Dashboard!$I$27,results,ROW(A810),FALSE)</f>
        <v/>
      </c>
      <c r="C810" t="str">
        <f>IFERROR(VLOOKUP(A810,observations_series_id_PCU22112222112243_api_key_ecc133893ea92a842ee685c73424608[],2,FALSE),"")</f>
        <v/>
      </c>
      <c r="D810" s="2" t="str">
        <f>IFERROR(VLOOKUP(A810,observations_series_id_PCU22112222112243_api_key_ecc133893ea92a842ee685c73424608[],3,FALSE),"")</f>
        <v/>
      </c>
      <c r="E810" t="str">
        <f>IFERROR(VLOOKUP($A810,observations_series_id_WPU0613020T_api_key_ecc133893ea92a842ee685c734246086_file[],2,FALSE),"")</f>
        <v/>
      </c>
      <c r="F810" s="2" t="str">
        <f>IFERROR(VLOOKUP($A810,observations_series_id_WPU0613020T_api_key_ecc133893ea92a842ee685c734246086_file[],3,FALSE),"")</f>
        <v/>
      </c>
      <c r="G810" t="str">
        <f>IFERROR(VLOOKUP($A810,observations_series_id_PCU22122212_api_key_ecc133893ea92a842ee685c734246086_file[],2,FALSE),"")</f>
        <v/>
      </c>
      <c r="H810" s="2" t="str">
        <f>IFERROR(VLOOKUP($A810,observations_series_id_PCU22122212_api_key_ecc133893ea92a842ee685c734246086_file[],3,FALSE),"")</f>
        <v/>
      </c>
      <c r="I810" t="str">
        <f>IFERROR(VLOOKUP($A810,observations_series_id_PCU3241913241910_api_key_ecc133893ea92a842ee685c734246086[],2,FALSE),"")</f>
        <v/>
      </c>
      <c r="J810" s="2" t="str">
        <f>IFERROR(VLOOKUP($A810,observations_series_id_PCU3241913241910_api_key_ecc133893ea92a842ee685c734246086[],3,FALSE),"")</f>
        <v/>
      </c>
      <c r="K810" t="str">
        <f>IFERROR(VLOOKUP($A810,observations_series_id_EXJPUS_api_key_ecc133893ea92a842ee685c734246086_file_type[],2,FALSE),"")</f>
        <v/>
      </c>
      <c r="L810" s="2" t="str">
        <f>IFERROR(VLOOKUP($A810,observations_series_id_EXJPUS_api_key_ecc133893ea92a842ee685c734246086_file_type[],3,FALSE),"")</f>
        <v/>
      </c>
      <c r="M810" t="str">
        <f>IFERROR(AVERAGEIFS(timeseries_access_key_fqeas14oitk235763mntlb1c0brnk9w3fenzqbk313q5kvxyf52kukw1pa[Value.LME-ZNC],timeseries_access_key_fqeas14oitk235763mntlb1c0brnk9w3fenzqbk313q5kvxyf52kukw1pa[Month],MONTH(Data!$A810),timeseries_access_key_fqeas14oitk235763mntlb1c0brnk9w3fenzqbk313q5kvxyf52kukw1pa[Year],YEAR(Data!$A810)),"")</f>
        <v/>
      </c>
      <c r="N810" s="2" t="str">
        <f>IFERROR(AVERAGEIFS(timeseries_access_key_fqeas14oitk235763mntlb1c0brnk9w3fenzqbk313q5kvxyf52kukw1pa[Column1],timeseries_access_key_fqeas14oitk235763mntlb1c0brnk9w3fenzqbk313q5kvxyf52kukw1pa[Month],MONTH(Data!$A810),timeseries_access_key_fqeas14oitk235763mntlb1c0brnk9w3fenzqbk313q5kvxyf52kukw1pa[Year],YEAR(Data!$A810)),"")</f>
        <v/>
      </c>
      <c r="O810" s="8" t="str">
        <f>IFERROR(VLOOKUP($A810,Text_1_2[[Text.1.1.3]:[Text.1.3]],2,FALSE),"")</f>
        <v/>
      </c>
      <c r="P810" s="2"/>
    </row>
    <row r="811" spans="1:16" x14ac:dyDescent="0.25">
      <c r="A811" s="1">
        <v>45809</v>
      </c>
      <c r="B811" t="str">
        <f>HLOOKUP(Dashboard!$I$27,results,ROW(A811),FALSE)</f>
        <v/>
      </c>
      <c r="C811" t="str">
        <f>IFERROR(VLOOKUP(A811,observations_series_id_PCU22112222112243_api_key_ecc133893ea92a842ee685c73424608[],2,FALSE),"")</f>
        <v/>
      </c>
      <c r="D811" s="2" t="str">
        <f>IFERROR(VLOOKUP(A811,observations_series_id_PCU22112222112243_api_key_ecc133893ea92a842ee685c73424608[],3,FALSE),"")</f>
        <v/>
      </c>
      <c r="E811" t="str">
        <f>IFERROR(VLOOKUP($A811,observations_series_id_WPU0613020T_api_key_ecc133893ea92a842ee685c734246086_file[],2,FALSE),"")</f>
        <v/>
      </c>
      <c r="F811" s="2" t="str">
        <f>IFERROR(VLOOKUP($A811,observations_series_id_WPU0613020T_api_key_ecc133893ea92a842ee685c734246086_file[],3,FALSE),"")</f>
        <v/>
      </c>
      <c r="G811" t="str">
        <f>IFERROR(VLOOKUP($A811,observations_series_id_PCU22122212_api_key_ecc133893ea92a842ee685c734246086_file[],2,FALSE),"")</f>
        <v/>
      </c>
      <c r="H811" s="2" t="str">
        <f>IFERROR(VLOOKUP($A811,observations_series_id_PCU22122212_api_key_ecc133893ea92a842ee685c734246086_file[],3,FALSE),"")</f>
        <v/>
      </c>
      <c r="I811" t="str">
        <f>IFERROR(VLOOKUP($A811,observations_series_id_PCU3241913241910_api_key_ecc133893ea92a842ee685c734246086[],2,FALSE),"")</f>
        <v/>
      </c>
      <c r="J811" s="2" t="str">
        <f>IFERROR(VLOOKUP($A811,observations_series_id_PCU3241913241910_api_key_ecc133893ea92a842ee685c734246086[],3,FALSE),"")</f>
        <v/>
      </c>
      <c r="K811" t="str">
        <f>IFERROR(VLOOKUP($A811,observations_series_id_EXJPUS_api_key_ecc133893ea92a842ee685c734246086_file_type[],2,FALSE),"")</f>
        <v/>
      </c>
      <c r="L811" s="2" t="str">
        <f>IFERROR(VLOOKUP($A811,observations_series_id_EXJPUS_api_key_ecc133893ea92a842ee685c734246086_file_type[],3,FALSE),"")</f>
        <v/>
      </c>
      <c r="M811" t="str">
        <f>IFERROR(AVERAGEIFS(timeseries_access_key_fqeas14oitk235763mntlb1c0brnk9w3fenzqbk313q5kvxyf52kukw1pa[Value.LME-ZNC],timeseries_access_key_fqeas14oitk235763mntlb1c0brnk9w3fenzqbk313q5kvxyf52kukw1pa[Month],MONTH(Data!$A811),timeseries_access_key_fqeas14oitk235763mntlb1c0brnk9w3fenzqbk313q5kvxyf52kukw1pa[Year],YEAR(Data!$A811)),"")</f>
        <v/>
      </c>
      <c r="N811" s="2" t="str">
        <f>IFERROR(AVERAGEIFS(timeseries_access_key_fqeas14oitk235763mntlb1c0brnk9w3fenzqbk313q5kvxyf52kukw1pa[Column1],timeseries_access_key_fqeas14oitk235763mntlb1c0brnk9w3fenzqbk313q5kvxyf52kukw1pa[Month],MONTH(Data!$A811),timeseries_access_key_fqeas14oitk235763mntlb1c0brnk9w3fenzqbk313q5kvxyf52kukw1pa[Year],YEAR(Data!$A811)),"")</f>
        <v/>
      </c>
      <c r="O811" s="8" t="str">
        <f>IFERROR(VLOOKUP($A811,Text_1_2[[Text.1.1.3]:[Text.1.3]],2,FALSE),"")</f>
        <v/>
      </c>
      <c r="P811" s="2"/>
    </row>
    <row r="812" spans="1:16" x14ac:dyDescent="0.25">
      <c r="A812" s="1">
        <v>45839</v>
      </c>
      <c r="B812" t="str">
        <f>HLOOKUP(Dashboard!$I$27,results,ROW(A812),FALSE)</f>
        <v/>
      </c>
      <c r="C812" t="str">
        <f>IFERROR(VLOOKUP(A812,observations_series_id_PCU22112222112243_api_key_ecc133893ea92a842ee685c73424608[],2,FALSE),"")</f>
        <v/>
      </c>
      <c r="D812" s="2" t="str">
        <f>IFERROR(VLOOKUP(A812,observations_series_id_PCU22112222112243_api_key_ecc133893ea92a842ee685c73424608[],3,FALSE),"")</f>
        <v/>
      </c>
      <c r="E812" t="str">
        <f>IFERROR(VLOOKUP($A812,observations_series_id_WPU0613020T_api_key_ecc133893ea92a842ee685c734246086_file[],2,FALSE),"")</f>
        <v/>
      </c>
      <c r="F812" s="2" t="str">
        <f>IFERROR(VLOOKUP($A812,observations_series_id_WPU0613020T_api_key_ecc133893ea92a842ee685c734246086_file[],3,FALSE),"")</f>
        <v/>
      </c>
      <c r="G812" t="str">
        <f>IFERROR(VLOOKUP($A812,observations_series_id_PCU22122212_api_key_ecc133893ea92a842ee685c734246086_file[],2,FALSE),"")</f>
        <v/>
      </c>
      <c r="H812" s="2" t="str">
        <f>IFERROR(VLOOKUP($A812,observations_series_id_PCU22122212_api_key_ecc133893ea92a842ee685c734246086_file[],3,FALSE),"")</f>
        <v/>
      </c>
      <c r="I812" t="str">
        <f>IFERROR(VLOOKUP($A812,observations_series_id_PCU3241913241910_api_key_ecc133893ea92a842ee685c734246086[],2,FALSE),"")</f>
        <v/>
      </c>
      <c r="J812" s="2" t="str">
        <f>IFERROR(VLOOKUP($A812,observations_series_id_PCU3241913241910_api_key_ecc133893ea92a842ee685c734246086[],3,FALSE),"")</f>
        <v/>
      </c>
      <c r="K812" t="str">
        <f>IFERROR(VLOOKUP($A812,observations_series_id_EXJPUS_api_key_ecc133893ea92a842ee685c734246086_file_type[],2,FALSE),"")</f>
        <v/>
      </c>
      <c r="L812" s="2" t="str">
        <f>IFERROR(VLOOKUP($A812,observations_series_id_EXJPUS_api_key_ecc133893ea92a842ee685c734246086_file_type[],3,FALSE),"")</f>
        <v/>
      </c>
      <c r="M812" t="str">
        <f>IFERROR(AVERAGEIFS(timeseries_access_key_fqeas14oitk235763mntlb1c0brnk9w3fenzqbk313q5kvxyf52kukw1pa[Value.LME-ZNC],timeseries_access_key_fqeas14oitk235763mntlb1c0brnk9w3fenzqbk313q5kvxyf52kukw1pa[Month],MONTH(Data!$A812),timeseries_access_key_fqeas14oitk235763mntlb1c0brnk9w3fenzqbk313q5kvxyf52kukw1pa[Year],YEAR(Data!$A812)),"")</f>
        <v/>
      </c>
      <c r="N812" s="2" t="str">
        <f>IFERROR(AVERAGEIFS(timeseries_access_key_fqeas14oitk235763mntlb1c0brnk9w3fenzqbk313q5kvxyf52kukw1pa[Column1],timeseries_access_key_fqeas14oitk235763mntlb1c0brnk9w3fenzqbk313q5kvxyf52kukw1pa[Month],MONTH(Data!$A812),timeseries_access_key_fqeas14oitk235763mntlb1c0brnk9w3fenzqbk313q5kvxyf52kukw1pa[Year],YEAR(Data!$A812)),"")</f>
        <v/>
      </c>
      <c r="O812" s="8" t="str">
        <f>IFERROR(VLOOKUP($A812,Text_1_2[[Text.1.1.3]:[Text.1.3]],2,FALSE),"")</f>
        <v/>
      </c>
      <c r="P812" s="2"/>
    </row>
    <row r="813" spans="1:16" x14ac:dyDescent="0.25">
      <c r="A813" s="1">
        <v>45870</v>
      </c>
      <c r="B813" t="str">
        <f>HLOOKUP(Dashboard!$I$27,results,ROW(A813),FALSE)</f>
        <v/>
      </c>
      <c r="C813" t="str">
        <f>IFERROR(VLOOKUP(A813,observations_series_id_PCU22112222112243_api_key_ecc133893ea92a842ee685c73424608[],2,FALSE),"")</f>
        <v/>
      </c>
      <c r="D813" s="2" t="str">
        <f>IFERROR(VLOOKUP(A813,observations_series_id_PCU22112222112243_api_key_ecc133893ea92a842ee685c73424608[],3,FALSE),"")</f>
        <v/>
      </c>
      <c r="E813" t="str">
        <f>IFERROR(VLOOKUP($A813,observations_series_id_WPU0613020T_api_key_ecc133893ea92a842ee685c734246086_file[],2,FALSE),"")</f>
        <v/>
      </c>
      <c r="F813" s="2" t="str">
        <f>IFERROR(VLOOKUP($A813,observations_series_id_WPU0613020T_api_key_ecc133893ea92a842ee685c734246086_file[],3,FALSE),"")</f>
        <v/>
      </c>
      <c r="G813" t="str">
        <f>IFERROR(VLOOKUP($A813,observations_series_id_PCU22122212_api_key_ecc133893ea92a842ee685c734246086_file[],2,FALSE),"")</f>
        <v/>
      </c>
      <c r="H813" s="2" t="str">
        <f>IFERROR(VLOOKUP($A813,observations_series_id_PCU22122212_api_key_ecc133893ea92a842ee685c734246086_file[],3,FALSE),"")</f>
        <v/>
      </c>
      <c r="I813" t="str">
        <f>IFERROR(VLOOKUP($A813,observations_series_id_PCU3241913241910_api_key_ecc133893ea92a842ee685c734246086[],2,FALSE),"")</f>
        <v/>
      </c>
      <c r="J813" s="2" t="str">
        <f>IFERROR(VLOOKUP($A813,observations_series_id_PCU3241913241910_api_key_ecc133893ea92a842ee685c734246086[],3,FALSE),"")</f>
        <v/>
      </c>
      <c r="K813" t="str">
        <f>IFERROR(VLOOKUP($A813,observations_series_id_EXJPUS_api_key_ecc133893ea92a842ee685c734246086_file_type[],2,FALSE),"")</f>
        <v/>
      </c>
      <c r="L813" s="2" t="str">
        <f>IFERROR(VLOOKUP($A813,observations_series_id_EXJPUS_api_key_ecc133893ea92a842ee685c734246086_file_type[],3,FALSE),"")</f>
        <v/>
      </c>
      <c r="M813" t="str">
        <f>IFERROR(AVERAGEIFS(timeseries_access_key_fqeas14oitk235763mntlb1c0brnk9w3fenzqbk313q5kvxyf52kukw1pa[Value.LME-ZNC],timeseries_access_key_fqeas14oitk235763mntlb1c0brnk9w3fenzqbk313q5kvxyf52kukw1pa[Month],MONTH(Data!$A813),timeseries_access_key_fqeas14oitk235763mntlb1c0brnk9w3fenzqbk313q5kvxyf52kukw1pa[Year],YEAR(Data!$A813)),"")</f>
        <v/>
      </c>
      <c r="N813" s="2" t="str">
        <f>IFERROR(AVERAGEIFS(timeseries_access_key_fqeas14oitk235763mntlb1c0brnk9w3fenzqbk313q5kvxyf52kukw1pa[Column1],timeseries_access_key_fqeas14oitk235763mntlb1c0brnk9w3fenzqbk313q5kvxyf52kukw1pa[Month],MONTH(Data!$A813),timeseries_access_key_fqeas14oitk235763mntlb1c0brnk9w3fenzqbk313q5kvxyf52kukw1pa[Year],YEAR(Data!$A813)),"")</f>
        <v/>
      </c>
      <c r="O813" s="8" t="str">
        <f>IFERROR(VLOOKUP($A813,Text_1_2[[Text.1.1.3]:[Text.1.3]],2,FALSE),"")</f>
        <v/>
      </c>
      <c r="P813" s="2"/>
    </row>
    <row r="814" spans="1:16" x14ac:dyDescent="0.25">
      <c r="A814" s="1">
        <v>45901</v>
      </c>
      <c r="B814" t="str">
        <f>HLOOKUP(Dashboard!$I$27,results,ROW(A814),FALSE)</f>
        <v/>
      </c>
      <c r="C814" t="str">
        <f>IFERROR(VLOOKUP(A814,observations_series_id_PCU22112222112243_api_key_ecc133893ea92a842ee685c73424608[],2,FALSE),"")</f>
        <v/>
      </c>
      <c r="D814" s="2" t="str">
        <f>IFERROR(VLOOKUP(A814,observations_series_id_PCU22112222112243_api_key_ecc133893ea92a842ee685c73424608[],3,FALSE),"")</f>
        <v/>
      </c>
      <c r="E814" t="str">
        <f>IFERROR(VLOOKUP($A814,observations_series_id_WPU0613020T_api_key_ecc133893ea92a842ee685c734246086_file[],2,FALSE),"")</f>
        <v/>
      </c>
      <c r="F814" s="2" t="str">
        <f>IFERROR(VLOOKUP($A814,observations_series_id_WPU0613020T_api_key_ecc133893ea92a842ee685c734246086_file[],3,FALSE),"")</f>
        <v/>
      </c>
      <c r="G814" t="str">
        <f>IFERROR(VLOOKUP($A814,observations_series_id_PCU22122212_api_key_ecc133893ea92a842ee685c734246086_file[],2,FALSE),"")</f>
        <v/>
      </c>
      <c r="H814" s="2" t="str">
        <f>IFERROR(VLOOKUP($A814,observations_series_id_PCU22122212_api_key_ecc133893ea92a842ee685c734246086_file[],3,FALSE),"")</f>
        <v/>
      </c>
      <c r="I814" t="str">
        <f>IFERROR(VLOOKUP($A814,observations_series_id_PCU3241913241910_api_key_ecc133893ea92a842ee685c734246086[],2,FALSE),"")</f>
        <v/>
      </c>
      <c r="J814" s="2" t="str">
        <f>IFERROR(VLOOKUP($A814,observations_series_id_PCU3241913241910_api_key_ecc133893ea92a842ee685c734246086[],3,FALSE),"")</f>
        <v/>
      </c>
      <c r="K814" t="str">
        <f>IFERROR(VLOOKUP($A814,observations_series_id_EXJPUS_api_key_ecc133893ea92a842ee685c734246086_file_type[],2,FALSE),"")</f>
        <v/>
      </c>
      <c r="L814" s="2" t="str">
        <f>IFERROR(VLOOKUP($A814,observations_series_id_EXJPUS_api_key_ecc133893ea92a842ee685c734246086_file_type[],3,FALSE),"")</f>
        <v/>
      </c>
      <c r="M814" t="str">
        <f>IFERROR(AVERAGEIFS(timeseries_access_key_fqeas14oitk235763mntlb1c0brnk9w3fenzqbk313q5kvxyf52kukw1pa[Value.LME-ZNC],timeseries_access_key_fqeas14oitk235763mntlb1c0brnk9w3fenzqbk313q5kvxyf52kukw1pa[Month],MONTH(Data!$A814),timeseries_access_key_fqeas14oitk235763mntlb1c0brnk9w3fenzqbk313q5kvxyf52kukw1pa[Year],YEAR(Data!$A814)),"")</f>
        <v/>
      </c>
      <c r="N814" s="2" t="str">
        <f>IFERROR(AVERAGEIFS(timeseries_access_key_fqeas14oitk235763mntlb1c0brnk9w3fenzqbk313q5kvxyf52kukw1pa[Column1],timeseries_access_key_fqeas14oitk235763mntlb1c0brnk9w3fenzqbk313q5kvxyf52kukw1pa[Month],MONTH(Data!$A814),timeseries_access_key_fqeas14oitk235763mntlb1c0brnk9w3fenzqbk313q5kvxyf52kukw1pa[Year],YEAR(Data!$A814)),"")</f>
        <v/>
      </c>
      <c r="O814" s="8" t="str">
        <f>IFERROR(VLOOKUP($A814,Text_1_2[[Text.1.1.3]:[Text.1.3]],2,FALSE),"")</f>
        <v/>
      </c>
      <c r="P814" s="2"/>
    </row>
    <row r="815" spans="1:16" x14ac:dyDescent="0.25">
      <c r="A815" s="1">
        <v>45931</v>
      </c>
      <c r="B815" t="str">
        <f>HLOOKUP(Dashboard!$I$27,results,ROW(A815),FALSE)</f>
        <v/>
      </c>
      <c r="C815" t="str">
        <f>IFERROR(VLOOKUP(A815,observations_series_id_PCU22112222112243_api_key_ecc133893ea92a842ee685c73424608[],2,FALSE),"")</f>
        <v/>
      </c>
      <c r="D815" s="2" t="str">
        <f>IFERROR(VLOOKUP(A815,observations_series_id_PCU22112222112243_api_key_ecc133893ea92a842ee685c73424608[],3,FALSE),"")</f>
        <v/>
      </c>
      <c r="E815" t="str">
        <f>IFERROR(VLOOKUP($A815,observations_series_id_WPU0613020T_api_key_ecc133893ea92a842ee685c734246086_file[],2,FALSE),"")</f>
        <v/>
      </c>
      <c r="F815" s="2" t="str">
        <f>IFERROR(VLOOKUP($A815,observations_series_id_WPU0613020T_api_key_ecc133893ea92a842ee685c734246086_file[],3,FALSE),"")</f>
        <v/>
      </c>
      <c r="G815" t="str">
        <f>IFERROR(VLOOKUP($A815,observations_series_id_PCU22122212_api_key_ecc133893ea92a842ee685c734246086_file[],2,FALSE),"")</f>
        <v/>
      </c>
      <c r="H815" s="2" t="str">
        <f>IFERROR(VLOOKUP($A815,observations_series_id_PCU22122212_api_key_ecc133893ea92a842ee685c734246086_file[],3,FALSE),"")</f>
        <v/>
      </c>
      <c r="I815" t="str">
        <f>IFERROR(VLOOKUP($A815,observations_series_id_PCU3241913241910_api_key_ecc133893ea92a842ee685c734246086[],2,FALSE),"")</f>
        <v/>
      </c>
      <c r="J815" s="2" t="str">
        <f>IFERROR(VLOOKUP($A815,observations_series_id_PCU3241913241910_api_key_ecc133893ea92a842ee685c734246086[],3,FALSE),"")</f>
        <v/>
      </c>
      <c r="K815" t="str">
        <f>IFERROR(VLOOKUP($A815,observations_series_id_EXJPUS_api_key_ecc133893ea92a842ee685c734246086_file_type[],2,FALSE),"")</f>
        <v/>
      </c>
      <c r="L815" s="2" t="str">
        <f>IFERROR(VLOOKUP($A815,observations_series_id_EXJPUS_api_key_ecc133893ea92a842ee685c734246086_file_type[],3,FALSE),"")</f>
        <v/>
      </c>
      <c r="M815" t="str">
        <f>IFERROR(AVERAGEIFS(timeseries_access_key_fqeas14oitk235763mntlb1c0brnk9w3fenzqbk313q5kvxyf52kukw1pa[Value.LME-ZNC],timeseries_access_key_fqeas14oitk235763mntlb1c0brnk9w3fenzqbk313q5kvxyf52kukw1pa[Month],MONTH(Data!$A815),timeseries_access_key_fqeas14oitk235763mntlb1c0brnk9w3fenzqbk313q5kvxyf52kukw1pa[Year],YEAR(Data!$A815)),"")</f>
        <v/>
      </c>
      <c r="N815" s="2" t="str">
        <f>IFERROR(AVERAGEIFS(timeseries_access_key_fqeas14oitk235763mntlb1c0brnk9w3fenzqbk313q5kvxyf52kukw1pa[Column1],timeseries_access_key_fqeas14oitk235763mntlb1c0brnk9w3fenzqbk313q5kvxyf52kukw1pa[Month],MONTH(Data!$A815),timeseries_access_key_fqeas14oitk235763mntlb1c0brnk9w3fenzqbk313q5kvxyf52kukw1pa[Year],YEAR(Data!$A815)),"")</f>
        <v/>
      </c>
      <c r="O815" s="8" t="str">
        <f>IFERROR(VLOOKUP($A815,Text_1_2[[Text.1.1.3]:[Text.1.3]],2,FALSE),"")</f>
        <v/>
      </c>
      <c r="P815" s="2"/>
    </row>
    <row r="816" spans="1:16" x14ac:dyDescent="0.25">
      <c r="A816" s="1">
        <v>45962</v>
      </c>
      <c r="B816" t="str">
        <f>HLOOKUP(Dashboard!$I$27,results,ROW(A816),FALSE)</f>
        <v/>
      </c>
      <c r="C816" t="str">
        <f>IFERROR(VLOOKUP(A816,observations_series_id_PCU22112222112243_api_key_ecc133893ea92a842ee685c73424608[],2,FALSE),"")</f>
        <v/>
      </c>
      <c r="D816" s="2" t="str">
        <f>IFERROR(VLOOKUP(A816,observations_series_id_PCU22112222112243_api_key_ecc133893ea92a842ee685c73424608[],3,FALSE),"")</f>
        <v/>
      </c>
      <c r="E816" t="str">
        <f>IFERROR(VLOOKUP($A816,observations_series_id_WPU0613020T_api_key_ecc133893ea92a842ee685c734246086_file[],2,FALSE),"")</f>
        <v/>
      </c>
      <c r="F816" s="2" t="str">
        <f>IFERROR(VLOOKUP($A816,observations_series_id_WPU0613020T_api_key_ecc133893ea92a842ee685c734246086_file[],3,FALSE),"")</f>
        <v/>
      </c>
      <c r="G816" t="str">
        <f>IFERROR(VLOOKUP($A816,observations_series_id_PCU22122212_api_key_ecc133893ea92a842ee685c734246086_file[],2,FALSE),"")</f>
        <v/>
      </c>
      <c r="H816" s="2" t="str">
        <f>IFERROR(VLOOKUP($A816,observations_series_id_PCU22122212_api_key_ecc133893ea92a842ee685c734246086_file[],3,FALSE),"")</f>
        <v/>
      </c>
      <c r="I816" t="str">
        <f>IFERROR(VLOOKUP($A816,observations_series_id_PCU3241913241910_api_key_ecc133893ea92a842ee685c734246086[],2,FALSE),"")</f>
        <v/>
      </c>
      <c r="J816" s="2" t="str">
        <f>IFERROR(VLOOKUP($A816,observations_series_id_PCU3241913241910_api_key_ecc133893ea92a842ee685c734246086[],3,FALSE),"")</f>
        <v/>
      </c>
      <c r="K816" t="str">
        <f>IFERROR(VLOOKUP($A816,observations_series_id_EXJPUS_api_key_ecc133893ea92a842ee685c734246086_file_type[],2,FALSE),"")</f>
        <v/>
      </c>
      <c r="L816" s="2" t="str">
        <f>IFERROR(VLOOKUP($A816,observations_series_id_EXJPUS_api_key_ecc133893ea92a842ee685c734246086_file_type[],3,FALSE),"")</f>
        <v/>
      </c>
      <c r="M816" t="str">
        <f>IFERROR(AVERAGEIFS(timeseries_access_key_fqeas14oitk235763mntlb1c0brnk9w3fenzqbk313q5kvxyf52kukw1pa[Value.LME-ZNC],timeseries_access_key_fqeas14oitk235763mntlb1c0brnk9w3fenzqbk313q5kvxyf52kukw1pa[Month],MONTH(Data!$A816),timeseries_access_key_fqeas14oitk235763mntlb1c0brnk9w3fenzqbk313q5kvxyf52kukw1pa[Year],YEAR(Data!$A816)),"")</f>
        <v/>
      </c>
      <c r="N816" s="2" t="str">
        <f>IFERROR(AVERAGEIFS(timeseries_access_key_fqeas14oitk235763mntlb1c0brnk9w3fenzqbk313q5kvxyf52kukw1pa[Column1],timeseries_access_key_fqeas14oitk235763mntlb1c0brnk9w3fenzqbk313q5kvxyf52kukw1pa[Month],MONTH(Data!$A816),timeseries_access_key_fqeas14oitk235763mntlb1c0brnk9w3fenzqbk313q5kvxyf52kukw1pa[Year],YEAR(Data!$A816)),"")</f>
        <v/>
      </c>
      <c r="O816" s="8" t="str">
        <f>IFERROR(VLOOKUP($A816,Text_1_2[[Text.1.1.3]:[Text.1.3]],2,FALSE),"")</f>
        <v/>
      </c>
      <c r="P816" s="2"/>
    </row>
    <row r="817" spans="1:16" x14ac:dyDescent="0.25">
      <c r="A817" s="1">
        <v>45992</v>
      </c>
      <c r="B817" t="str">
        <f>HLOOKUP(Dashboard!$I$27,results,ROW(A817),FALSE)</f>
        <v/>
      </c>
      <c r="C817" t="str">
        <f>IFERROR(VLOOKUP(A817,observations_series_id_PCU22112222112243_api_key_ecc133893ea92a842ee685c73424608[],2,FALSE),"")</f>
        <v/>
      </c>
      <c r="D817" s="2" t="str">
        <f>IFERROR(VLOOKUP(A817,observations_series_id_PCU22112222112243_api_key_ecc133893ea92a842ee685c73424608[],3,FALSE),"")</f>
        <v/>
      </c>
      <c r="E817" t="str">
        <f>IFERROR(VLOOKUP($A817,observations_series_id_WPU0613020T_api_key_ecc133893ea92a842ee685c734246086_file[],2,FALSE),"")</f>
        <v/>
      </c>
      <c r="F817" s="2" t="str">
        <f>IFERROR(VLOOKUP($A817,observations_series_id_WPU0613020T_api_key_ecc133893ea92a842ee685c734246086_file[],3,FALSE),"")</f>
        <v/>
      </c>
      <c r="G817" t="str">
        <f>IFERROR(VLOOKUP($A817,observations_series_id_PCU22122212_api_key_ecc133893ea92a842ee685c734246086_file[],2,FALSE),"")</f>
        <v/>
      </c>
      <c r="H817" s="2" t="str">
        <f>IFERROR(VLOOKUP($A817,observations_series_id_PCU22122212_api_key_ecc133893ea92a842ee685c734246086_file[],3,FALSE),"")</f>
        <v/>
      </c>
      <c r="I817" t="str">
        <f>IFERROR(VLOOKUP($A817,observations_series_id_PCU3241913241910_api_key_ecc133893ea92a842ee685c734246086[],2,FALSE),"")</f>
        <v/>
      </c>
      <c r="J817" s="2" t="str">
        <f>IFERROR(VLOOKUP($A817,observations_series_id_PCU3241913241910_api_key_ecc133893ea92a842ee685c734246086[],3,FALSE),"")</f>
        <v/>
      </c>
      <c r="K817" t="str">
        <f>IFERROR(VLOOKUP($A817,observations_series_id_EXJPUS_api_key_ecc133893ea92a842ee685c734246086_file_type[],2,FALSE),"")</f>
        <v/>
      </c>
      <c r="L817" s="2" t="str">
        <f>IFERROR(VLOOKUP($A817,observations_series_id_EXJPUS_api_key_ecc133893ea92a842ee685c734246086_file_type[],3,FALSE),"")</f>
        <v/>
      </c>
      <c r="M817" t="str">
        <f>IFERROR(AVERAGEIFS(timeseries_access_key_fqeas14oitk235763mntlb1c0brnk9w3fenzqbk313q5kvxyf52kukw1pa[Value.LME-ZNC],timeseries_access_key_fqeas14oitk235763mntlb1c0brnk9w3fenzqbk313q5kvxyf52kukw1pa[Month],MONTH(Data!$A817),timeseries_access_key_fqeas14oitk235763mntlb1c0brnk9w3fenzqbk313q5kvxyf52kukw1pa[Year],YEAR(Data!$A817)),"")</f>
        <v/>
      </c>
      <c r="N817" s="2" t="str">
        <f>IFERROR(AVERAGEIFS(timeseries_access_key_fqeas14oitk235763mntlb1c0brnk9w3fenzqbk313q5kvxyf52kukw1pa[Column1],timeseries_access_key_fqeas14oitk235763mntlb1c0brnk9w3fenzqbk313q5kvxyf52kukw1pa[Month],MONTH(Data!$A817),timeseries_access_key_fqeas14oitk235763mntlb1c0brnk9w3fenzqbk313q5kvxyf52kukw1pa[Year],YEAR(Data!$A817)),"")</f>
        <v/>
      </c>
      <c r="O817" s="8" t="str">
        <f>IFERROR(VLOOKUP($A817,Text_1_2[[Text.1.1.3]:[Text.1.3]],2,FALSE),"")</f>
        <v/>
      </c>
      <c r="P817" s="2"/>
    </row>
    <row r="818" spans="1:16" x14ac:dyDescent="0.25">
      <c r="A818" s="1">
        <v>46023</v>
      </c>
      <c r="B818" t="str">
        <f>HLOOKUP(Dashboard!$I$27,results,ROW(A818),FALSE)</f>
        <v/>
      </c>
      <c r="C818" t="str">
        <f>IFERROR(VLOOKUP(A818,observations_series_id_PCU22112222112243_api_key_ecc133893ea92a842ee685c73424608[],2,FALSE),"")</f>
        <v/>
      </c>
      <c r="D818" s="2" t="str">
        <f>IFERROR(VLOOKUP(A818,observations_series_id_PCU22112222112243_api_key_ecc133893ea92a842ee685c73424608[],3,FALSE),"")</f>
        <v/>
      </c>
      <c r="E818" t="str">
        <f>IFERROR(VLOOKUP($A818,observations_series_id_WPU0613020T_api_key_ecc133893ea92a842ee685c734246086_file[],2,FALSE),"")</f>
        <v/>
      </c>
      <c r="F818" s="2" t="str">
        <f>IFERROR(VLOOKUP($A818,observations_series_id_WPU0613020T_api_key_ecc133893ea92a842ee685c734246086_file[],3,FALSE),"")</f>
        <v/>
      </c>
      <c r="G818" t="str">
        <f>IFERROR(VLOOKUP($A818,observations_series_id_PCU22122212_api_key_ecc133893ea92a842ee685c734246086_file[],2,FALSE),"")</f>
        <v/>
      </c>
      <c r="H818" s="2" t="str">
        <f>IFERROR(VLOOKUP($A818,observations_series_id_PCU22122212_api_key_ecc133893ea92a842ee685c734246086_file[],3,FALSE),"")</f>
        <v/>
      </c>
      <c r="I818" t="str">
        <f>IFERROR(VLOOKUP($A818,observations_series_id_PCU3241913241910_api_key_ecc133893ea92a842ee685c734246086[],2,FALSE),"")</f>
        <v/>
      </c>
      <c r="J818" s="2" t="str">
        <f>IFERROR(VLOOKUP($A818,observations_series_id_PCU3241913241910_api_key_ecc133893ea92a842ee685c734246086[],3,FALSE),"")</f>
        <v/>
      </c>
      <c r="K818" t="str">
        <f>IFERROR(VLOOKUP($A818,observations_series_id_EXJPUS_api_key_ecc133893ea92a842ee685c734246086_file_type[],2,FALSE),"")</f>
        <v/>
      </c>
      <c r="L818" s="2" t="str">
        <f>IFERROR(VLOOKUP($A818,observations_series_id_EXJPUS_api_key_ecc133893ea92a842ee685c734246086_file_type[],3,FALSE),"")</f>
        <v/>
      </c>
      <c r="M818" t="str">
        <f>IFERROR(AVERAGEIFS(timeseries_access_key_fqeas14oitk235763mntlb1c0brnk9w3fenzqbk313q5kvxyf52kukw1pa[Value.LME-ZNC],timeseries_access_key_fqeas14oitk235763mntlb1c0brnk9w3fenzqbk313q5kvxyf52kukw1pa[Month],MONTH(Data!$A818),timeseries_access_key_fqeas14oitk235763mntlb1c0brnk9w3fenzqbk313q5kvxyf52kukw1pa[Year],YEAR(Data!$A818)),"")</f>
        <v/>
      </c>
      <c r="N818" s="2" t="str">
        <f>IFERROR(AVERAGEIFS(timeseries_access_key_fqeas14oitk235763mntlb1c0brnk9w3fenzqbk313q5kvxyf52kukw1pa[Column1],timeseries_access_key_fqeas14oitk235763mntlb1c0brnk9w3fenzqbk313q5kvxyf52kukw1pa[Month],MONTH(Data!$A818),timeseries_access_key_fqeas14oitk235763mntlb1c0brnk9w3fenzqbk313q5kvxyf52kukw1pa[Year],YEAR(Data!$A818)),"")</f>
        <v/>
      </c>
      <c r="O818" s="8" t="str">
        <f>IFERROR(VLOOKUP($A818,Text_1_2[[Text.1.1.3]:[Text.1.3]],2,FALSE),"")</f>
        <v/>
      </c>
      <c r="P818" s="2"/>
    </row>
    <row r="819" spans="1:16" x14ac:dyDescent="0.25">
      <c r="A819" s="1">
        <v>46054</v>
      </c>
      <c r="B819" t="str">
        <f>HLOOKUP(Dashboard!$I$27,results,ROW(A819),FALSE)</f>
        <v/>
      </c>
      <c r="C819" t="str">
        <f>IFERROR(VLOOKUP(A819,observations_series_id_PCU22112222112243_api_key_ecc133893ea92a842ee685c73424608[],2,FALSE),"")</f>
        <v/>
      </c>
      <c r="D819" s="2" t="str">
        <f>IFERROR(VLOOKUP(A819,observations_series_id_PCU22112222112243_api_key_ecc133893ea92a842ee685c73424608[],3,FALSE),"")</f>
        <v/>
      </c>
      <c r="E819" t="str">
        <f>IFERROR(VLOOKUP($A819,observations_series_id_WPU0613020T_api_key_ecc133893ea92a842ee685c734246086_file[],2,FALSE),"")</f>
        <v/>
      </c>
      <c r="F819" s="2" t="str">
        <f>IFERROR(VLOOKUP($A819,observations_series_id_WPU0613020T_api_key_ecc133893ea92a842ee685c734246086_file[],3,FALSE),"")</f>
        <v/>
      </c>
      <c r="G819" t="str">
        <f>IFERROR(VLOOKUP($A819,observations_series_id_PCU22122212_api_key_ecc133893ea92a842ee685c734246086_file[],2,FALSE),"")</f>
        <v/>
      </c>
      <c r="H819" s="2" t="str">
        <f>IFERROR(VLOOKUP($A819,observations_series_id_PCU22122212_api_key_ecc133893ea92a842ee685c734246086_file[],3,FALSE),"")</f>
        <v/>
      </c>
      <c r="I819" t="str">
        <f>IFERROR(VLOOKUP($A819,observations_series_id_PCU3241913241910_api_key_ecc133893ea92a842ee685c734246086[],2,FALSE),"")</f>
        <v/>
      </c>
      <c r="J819" s="2" t="str">
        <f>IFERROR(VLOOKUP($A819,observations_series_id_PCU3241913241910_api_key_ecc133893ea92a842ee685c734246086[],3,FALSE),"")</f>
        <v/>
      </c>
      <c r="K819" t="str">
        <f>IFERROR(VLOOKUP($A819,observations_series_id_EXJPUS_api_key_ecc133893ea92a842ee685c734246086_file_type[],2,FALSE),"")</f>
        <v/>
      </c>
      <c r="L819" s="2" t="str">
        <f>IFERROR(VLOOKUP($A819,observations_series_id_EXJPUS_api_key_ecc133893ea92a842ee685c734246086_file_type[],3,FALSE),"")</f>
        <v/>
      </c>
      <c r="M819" t="str">
        <f>IFERROR(AVERAGEIFS(timeseries_access_key_fqeas14oitk235763mntlb1c0brnk9w3fenzqbk313q5kvxyf52kukw1pa[Value.LME-ZNC],timeseries_access_key_fqeas14oitk235763mntlb1c0brnk9w3fenzqbk313q5kvxyf52kukw1pa[Month],MONTH(Data!$A819),timeseries_access_key_fqeas14oitk235763mntlb1c0brnk9w3fenzqbk313q5kvxyf52kukw1pa[Year],YEAR(Data!$A819)),"")</f>
        <v/>
      </c>
      <c r="N819" s="2" t="str">
        <f>IFERROR(AVERAGEIFS(timeseries_access_key_fqeas14oitk235763mntlb1c0brnk9w3fenzqbk313q5kvxyf52kukw1pa[Column1],timeseries_access_key_fqeas14oitk235763mntlb1c0brnk9w3fenzqbk313q5kvxyf52kukw1pa[Month],MONTH(Data!$A819),timeseries_access_key_fqeas14oitk235763mntlb1c0brnk9w3fenzqbk313q5kvxyf52kukw1pa[Year],YEAR(Data!$A819)),"")</f>
        <v/>
      </c>
      <c r="O819" s="8" t="str">
        <f>IFERROR(VLOOKUP($A819,Text_1_2[[Text.1.1.3]:[Text.1.3]],2,FALSE),"")</f>
        <v/>
      </c>
      <c r="P819" s="2"/>
    </row>
    <row r="820" spans="1:16" x14ac:dyDescent="0.25">
      <c r="A820" s="1">
        <v>46082</v>
      </c>
      <c r="B820" t="str">
        <f>HLOOKUP(Dashboard!$I$27,results,ROW(A820),FALSE)</f>
        <v/>
      </c>
      <c r="C820" t="str">
        <f>IFERROR(VLOOKUP(A820,observations_series_id_PCU22112222112243_api_key_ecc133893ea92a842ee685c73424608[],2,FALSE),"")</f>
        <v/>
      </c>
      <c r="D820" s="2" t="str">
        <f>IFERROR(VLOOKUP(A820,observations_series_id_PCU22112222112243_api_key_ecc133893ea92a842ee685c73424608[],3,FALSE),"")</f>
        <v/>
      </c>
      <c r="E820" t="str">
        <f>IFERROR(VLOOKUP($A820,observations_series_id_WPU0613020T_api_key_ecc133893ea92a842ee685c734246086_file[],2,FALSE),"")</f>
        <v/>
      </c>
      <c r="F820" s="2" t="str">
        <f>IFERROR(VLOOKUP($A820,observations_series_id_WPU0613020T_api_key_ecc133893ea92a842ee685c734246086_file[],3,FALSE),"")</f>
        <v/>
      </c>
      <c r="G820" t="str">
        <f>IFERROR(VLOOKUP($A820,observations_series_id_PCU22122212_api_key_ecc133893ea92a842ee685c734246086_file[],2,FALSE),"")</f>
        <v/>
      </c>
      <c r="H820" s="2" t="str">
        <f>IFERROR(VLOOKUP($A820,observations_series_id_PCU22122212_api_key_ecc133893ea92a842ee685c734246086_file[],3,FALSE),"")</f>
        <v/>
      </c>
      <c r="I820" t="str">
        <f>IFERROR(VLOOKUP($A820,observations_series_id_PCU3241913241910_api_key_ecc133893ea92a842ee685c734246086[],2,FALSE),"")</f>
        <v/>
      </c>
      <c r="J820" s="2" t="str">
        <f>IFERROR(VLOOKUP($A820,observations_series_id_PCU3241913241910_api_key_ecc133893ea92a842ee685c734246086[],3,FALSE),"")</f>
        <v/>
      </c>
      <c r="K820" t="str">
        <f>IFERROR(VLOOKUP($A820,observations_series_id_EXJPUS_api_key_ecc133893ea92a842ee685c734246086_file_type[],2,FALSE),"")</f>
        <v/>
      </c>
      <c r="L820" s="2" t="str">
        <f>IFERROR(VLOOKUP($A820,observations_series_id_EXJPUS_api_key_ecc133893ea92a842ee685c734246086_file_type[],3,FALSE),"")</f>
        <v/>
      </c>
      <c r="M820" t="str">
        <f>IFERROR(AVERAGEIFS(timeseries_access_key_fqeas14oitk235763mntlb1c0brnk9w3fenzqbk313q5kvxyf52kukw1pa[Value.LME-ZNC],timeseries_access_key_fqeas14oitk235763mntlb1c0brnk9w3fenzqbk313q5kvxyf52kukw1pa[Month],MONTH(Data!$A820),timeseries_access_key_fqeas14oitk235763mntlb1c0brnk9w3fenzqbk313q5kvxyf52kukw1pa[Year],YEAR(Data!$A820)),"")</f>
        <v/>
      </c>
      <c r="N820" s="2" t="str">
        <f>IFERROR(AVERAGEIFS(timeseries_access_key_fqeas14oitk235763mntlb1c0brnk9w3fenzqbk313q5kvxyf52kukw1pa[Column1],timeseries_access_key_fqeas14oitk235763mntlb1c0brnk9w3fenzqbk313q5kvxyf52kukw1pa[Month],MONTH(Data!$A820),timeseries_access_key_fqeas14oitk235763mntlb1c0brnk9w3fenzqbk313q5kvxyf52kukw1pa[Year],YEAR(Data!$A820)),"")</f>
        <v/>
      </c>
      <c r="O820" s="8" t="str">
        <f>IFERROR(VLOOKUP($A820,Text_1_2[[Text.1.1.3]:[Text.1.3]],2,FALSE),"")</f>
        <v/>
      </c>
      <c r="P820" s="2"/>
    </row>
    <row r="821" spans="1:16" x14ac:dyDescent="0.25">
      <c r="A821" s="1">
        <v>46113</v>
      </c>
      <c r="B821" t="str">
        <f>HLOOKUP(Dashboard!$I$27,results,ROW(A821),FALSE)</f>
        <v/>
      </c>
      <c r="C821" t="str">
        <f>IFERROR(VLOOKUP(A821,observations_series_id_PCU22112222112243_api_key_ecc133893ea92a842ee685c73424608[],2,FALSE),"")</f>
        <v/>
      </c>
      <c r="D821" s="2" t="str">
        <f>IFERROR(VLOOKUP(A821,observations_series_id_PCU22112222112243_api_key_ecc133893ea92a842ee685c73424608[],3,FALSE),"")</f>
        <v/>
      </c>
      <c r="E821" t="str">
        <f>IFERROR(VLOOKUP($A821,observations_series_id_WPU0613020T_api_key_ecc133893ea92a842ee685c734246086_file[],2,FALSE),"")</f>
        <v/>
      </c>
      <c r="F821" s="2" t="str">
        <f>IFERROR(VLOOKUP($A821,observations_series_id_WPU0613020T_api_key_ecc133893ea92a842ee685c734246086_file[],3,FALSE),"")</f>
        <v/>
      </c>
      <c r="G821" t="str">
        <f>IFERROR(VLOOKUP($A821,observations_series_id_PCU22122212_api_key_ecc133893ea92a842ee685c734246086_file[],2,FALSE),"")</f>
        <v/>
      </c>
      <c r="H821" s="2" t="str">
        <f>IFERROR(VLOOKUP($A821,observations_series_id_PCU22122212_api_key_ecc133893ea92a842ee685c734246086_file[],3,FALSE),"")</f>
        <v/>
      </c>
      <c r="I821" t="str">
        <f>IFERROR(VLOOKUP($A821,observations_series_id_PCU3241913241910_api_key_ecc133893ea92a842ee685c734246086[],2,FALSE),"")</f>
        <v/>
      </c>
      <c r="J821" s="2" t="str">
        <f>IFERROR(VLOOKUP($A821,observations_series_id_PCU3241913241910_api_key_ecc133893ea92a842ee685c734246086[],3,FALSE),"")</f>
        <v/>
      </c>
      <c r="K821" t="str">
        <f>IFERROR(VLOOKUP($A821,observations_series_id_EXJPUS_api_key_ecc133893ea92a842ee685c734246086_file_type[],2,FALSE),"")</f>
        <v/>
      </c>
      <c r="L821" s="2" t="str">
        <f>IFERROR(VLOOKUP($A821,observations_series_id_EXJPUS_api_key_ecc133893ea92a842ee685c734246086_file_type[],3,FALSE),"")</f>
        <v/>
      </c>
      <c r="M821" t="str">
        <f>IFERROR(AVERAGEIFS(timeseries_access_key_fqeas14oitk235763mntlb1c0brnk9w3fenzqbk313q5kvxyf52kukw1pa[Value.LME-ZNC],timeseries_access_key_fqeas14oitk235763mntlb1c0brnk9w3fenzqbk313q5kvxyf52kukw1pa[Month],MONTH(Data!$A821),timeseries_access_key_fqeas14oitk235763mntlb1c0brnk9w3fenzqbk313q5kvxyf52kukw1pa[Year],YEAR(Data!$A821)),"")</f>
        <v/>
      </c>
      <c r="N821" s="2" t="str">
        <f>IFERROR(AVERAGEIFS(timeseries_access_key_fqeas14oitk235763mntlb1c0brnk9w3fenzqbk313q5kvxyf52kukw1pa[Column1],timeseries_access_key_fqeas14oitk235763mntlb1c0brnk9w3fenzqbk313q5kvxyf52kukw1pa[Month],MONTH(Data!$A821),timeseries_access_key_fqeas14oitk235763mntlb1c0brnk9w3fenzqbk313q5kvxyf52kukw1pa[Year],YEAR(Data!$A821)),"")</f>
        <v/>
      </c>
      <c r="O821" s="8" t="str">
        <f>IFERROR(VLOOKUP($A821,Text_1_2[[Text.1.1.3]:[Text.1.3]],2,FALSE),"")</f>
        <v/>
      </c>
      <c r="P821" s="2"/>
    </row>
    <row r="822" spans="1:16" x14ac:dyDescent="0.25">
      <c r="A822" s="1">
        <v>46143</v>
      </c>
      <c r="B822" t="str">
        <f>HLOOKUP(Dashboard!$I$27,results,ROW(A822),FALSE)</f>
        <v/>
      </c>
      <c r="C822" t="str">
        <f>IFERROR(VLOOKUP(A822,observations_series_id_PCU22112222112243_api_key_ecc133893ea92a842ee685c73424608[],2,FALSE),"")</f>
        <v/>
      </c>
      <c r="D822" s="2" t="str">
        <f>IFERROR(VLOOKUP(A822,observations_series_id_PCU22112222112243_api_key_ecc133893ea92a842ee685c73424608[],3,FALSE),"")</f>
        <v/>
      </c>
      <c r="E822" t="str">
        <f>IFERROR(VLOOKUP($A822,observations_series_id_WPU0613020T_api_key_ecc133893ea92a842ee685c734246086_file[],2,FALSE),"")</f>
        <v/>
      </c>
      <c r="F822" s="2" t="str">
        <f>IFERROR(VLOOKUP($A822,observations_series_id_WPU0613020T_api_key_ecc133893ea92a842ee685c734246086_file[],3,FALSE),"")</f>
        <v/>
      </c>
      <c r="G822" t="str">
        <f>IFERROR(VLOOKUP($A822,observations_series_id_PCU22122212_api_key_ecc133893ea92a842ee685c734246086_file[],2,FALSE),"")</f>
        <v/>
      </c>
      <c r="H822" s="2" t="str">
        <f>IFERROR(VLOOKUP($A822,observations_series_id_PCU22122212_api_key_ecc133893ea92a842ee685c734246086_file[],3,FALSE),"")</f>
        <v/>
      </c>
      <c r="I822" t="str">
        <f>IFERROR(VLOOKUP($A822,observations_series_id_PCU3241913241910_api_key_ecc133893ea92a842ee685c734246086[],2,FALSE),"")</f>
        <v/>
      </c>
      <c r="J822" s="2" t="str">
        <f>IFERROR(VLOOKUP($A822,observations_series_id_PCU3241913241910_api_key_ecc133893ea92a842ee685c734246086[],3,FALSE),"")</f>
        <v/>
      </c>
      <c r="K822" t="str">
        <f>IFERROR(VLOOKUP($A822,observations_series_id_EXJPUS_api_key_ecc133893ea92a842ee685c734246086_file_type[],2,FALSE),"")</f>
        <v/>
      </c>
      <c r="L822" s="2" t="str">
        <f>IFERROR(VLOOKUP($A822,observations_series_id_EXJPUS_api_key_ecc133893ea92a842ee685c734246086_file_type[],3,FALSE),"")</f>
        <v/>
      </c>
      <c r="M822" t="str">
        <f>IFERROR(AVERAGEIFS(timeseries_access_key_fqeas14oitk235763mntlb1c0brnk9w3fenzqbk313q5kvxyf52kukw1pa[Value.LME-ZNC],timeseries_access_key_fqeas14oitk235763mntlb1c0brnk9w3fenzqbk313q5kvxyf52kukw1pa[Month],MONTH(Data!$A822),timeseries_access_key_fqeas14oitk235763mntlb1c0brnk9w3fenzqbk313q5kvxyf52kukw1pa[Year],YEAR(Data!$A822)),"")</f>
        <v/>
      </c>
      <c r="N822" s="2" t="str">
        <f>IFERROR(AVERAGEIFS(timeseries_access_key_fqeas14oitk235763mntlb1c0brnk9w3fenzqbk313q5kvxyf52kukw1pa[Column1],timeseries_access_key_fqeas14oitk235763mntlb1c0brnk9w3fenzqbk313q5kvxyf52kukw1pa[Month],MONTH(Data!$A822),timeseries_access_key_fqeas14oitk235763mntlb1c0brnk9w3fenzqbk313q5kvxyf52kukw1pa[Year],YEAR(Data!$A822)),"")</f>
        <v/>
      </c>
      <c r="O822" s="8" t="str">
        <f>IFERROR(VLOOKUP($A822,Text_1_2[[Text.1.1.3]:[Text.1.3]],2,FALSE),"")</f>
        <v/>
      </c>
      <c r="P822" s="2"/>
    </row>
    <row r="823" spans="1:16" x14ac:dyDescent="0.25">
      <c r="A823" s="1">
        <v>46174</v>
      </c>
      <c r="B823" t="str">
        <f>HLOOKUP(Dashboard!$I$27,results,ROW(A823),FALSE)</f>
        <v/>
      </c>
      <c r="C823" t="str">
        <f>IFERROR(VLOOKUP(A823,observations_series_id_PCU22112222112243_api_key_ecc133893ea92a842ee685c73424608[],2,FALSE),"")</f>
        <v/>
      </c>
      <c r="D823" s="2" t="str">
        <f>IFERROR(VLOOKUP(A823,observations_series_id_PCU22112222112243_api_key_ecc133893ea92a842ee685c73424608[],3,FALSE),"")</f>
        <v/>
      </c>
      <c r="E823" t="str">
        <f>IFERROR(VLOOKUP($A823,observations_series_id_WPU0613020T_api_key_ecc133893ea92a842ee685c734246086_file[],2,FALSE),"")</f>
        <v/>
      </c>
      <c r="F823" s="2" t="str">
        <f>IFERROR(VLOOKUP($A823,observations_series_id_WPU0613020T_api_key_ecc133893ea92a842ee685c734246086_file[],3,FALSE),"")</f>
        <v/>
      </c>
      <c r="G823" t="str">
        <f>IFERROR(VLOOKUP($A823,observations_series_id_PCU22122212_api_key_ecc133893ea92a842ee685c734246086_file[],2,FALSE),"")</f>
        <v/>
      </c>
      <c r="H823" s="2" t="str">
        <f>IFERROR(VLOOKUP($A823,observations_series_id_PCU22122212_api_key_ecc133893ea92a842ee685c734246086_file[],3,FALSE),"")</f>
        <v/>
      </c>
      <c r="I823" t="str">
        <f>IFERROR(VLOOKUP($A823,observations_series_id_PCU3241913241910_api_key_ecc133893ea92a842ee685c734246086[],2,FALSE),"")</f>
        <v/>
      </c>
      <c r="J823" s="2" t="str">
        <f>IFERROR(VLOOKUP($A823,observations_series_id_PCU3241913241910_api_key_ecc133893ea92a842ee685c734246086[],3,FALSE),"")</f>
        <v/>
      </c>
      <c r="K823" t="str">
        <f>IFERROR(VLOOKUP($A823,observations_series_id_EXJPUS_api_key_ecc133893ea92a842ee685c734246086_file_type[],2,FALSE),"")</f>
        <v/>
      </c>
      <c r="L823" s="2" t="str">
        <f>IFERROR(VLOOKUP($A823,observations_series_id_EXJPUS_api_key_ecc133893ea92a842ee685c734246086_file_type[],3,FALSE),"")</f>
        <v/>
      </c>
      <c r="M823" t="str">
        <f>IFERROR(AVERAGEIFS(timeseries_access_key_fqeas14oitk235763mntlb1c0brnk9w3fenzqbk313q5kvxyf52kukw1pa[Value.LME-ZNC],timeseries_access_key_fqeas14oitk235763mntlb1c0brnk9w3fenzqbk313q5kvxyf52kukw1pa[Month],MONTH(Data!$A823),timeseries_access_key_fqeas14oitk235763mntlb1c0brnk9w3fenzqbk313q5kvxyf52kukw1pa[Year],YEAR(Data!$A823)),"")</f>
        <v/>
      </c>
      <c r="N823" s="2" t="str">
        <f>IFERROR(AVERAGEIFS(timeseries_access_key_fqeas14oitk235763mntlb1c0brnk9w3fenzqbk313q5kvxyf52kukw1pa[Column1],timeseries_access_key_fqeas14oitk235763mntlb1c0brnk9w3fenzqbk313q5kvxyf52kukw1pa[Month],MONTH(Data!$A823),timeseries_access_key_fqeas14oitk235763mntlb1c0brnk9w3fenzqbk313q5kvxyf52kukw1pa[Year],YEAR(Data!$A823)),"")</f>
        <v/>
      </c>
      <c r="O823" s="8" t="str">
        <f>IFERROR(VLOOKUP($A823,Text_1_2[[Text.1.1.3]:[Text.1.3]],2,FALSE),"")</f>
        <v/>
      </c>
      <c r="P823" s="2"/>
    </row>
    <row r="824" spans="1:16" x14ac:dyDescent="0.25">
      <c r="A824" s="1">
        <v>46204</v>
      </c>
      <c r="B824" t="str">
        <f>HLOOKUP(Dashboard!$I$27,results,ROW(A824),FALSE)</f>
        <v/>
      </c>
      <c r="C824" t="str">
        <f>IFERROR(VLOOKUP(A824,observations_series_id_PCU22112222112243_api_key_ecc133893ea92a842ee685c73424608[],2,FALSE),"")</f>
        <v/>
      </c>
      <c r="D824" s="2" t="str">
        <f>IFERROR(VLOOKUP(A824,observations_series_id_PCU22112222112243_api_key_ecc133893ea92a842ee685c73424608[],3,FALSE),"")</f>
        <v/>
      </c>
      <c r="E824" t="str">
        <f>IFERROR(VLOOKUP($A824,observations_series_id_WPU0613020T_api_key_ecc133893ea92a842ee685c734246086_file[],2,FALSE),"")</f>
        <v/>
      </c>
      <c r="F824" s="2" t="str">
        <f>IFERROR(VLOOKUP($A824,observations_series_id_WPU0613020T_api_key_ecc133893ea92a842ee685c734246086_file[],3,FALSE),"")</f>
        <v/>
      </c>
      <c r="G824" t="str">
        <f>IFERROR(VLOOKUP($A824,observations_series_id_PCU22122212_api_key_ecc133893ea92a842ee685c734246086_file[],2,FALSE),"")</f>
        <v/>
      </c>
      <c r="H824" s="2" t="str">
        <f>IFERROR(VLOOKUP($A824,observations_series_id_PCU22122212_api_key_ecc133893ea92a842ee685c734246086_file[],3,FALSE),"")</f>
        <v/>
      </c>
      <c r="I824" t="str">
        <f>IFERROR(VLOOKUP($A824,observations_series_id_PCU3241913241910_api_key_ecc133893ea92a842ee685c734246086[],2,FALSE),"")</f>
        <v/>
      </c>
      <c r="J824" s="2" t="str">
        <f>IFERROR(VLOOKUP($A824,observations_series_id_PCU3241913241910_api_key_ecc133893ea92a842ee685c734246086[],3,FALSE),"")</f>
        <v/>
      </c>
      <c r="K824" t="str">
        <f>IFERROR(VLOOKUP($A824,observations_series_id_EXJPUS_api_key_ecc133893ea92a842ee685c734246086_file_type[],2,FALSE),"")</f>
        <v/>
      </c>
      <c r="L824" s="2" t="str">
        <f>IFERROR(VLOOKUP($A824,observations_series_id_EXJPUS_api_key_ecc133893ea92a842ee685c734246086_file_type[],3,FALSE),"")</f>
        <v/>
      </c>
      <c r="M824" t="str">
        <f>IFERROR(AVERAGEIFS(timeseries_access_key_fqeas14oitk235763mntlb1c0brnk9w3fenzqbk313q5kvxyf52kukw1pa[Value.LME-ZNC],timeseries_access_key_fqeas14oitk235763mntlb1c0brnk9w3fenzqbk313q5kvxyf52kukw1pa[Month],MONTH(Data!$A824),timeseries_access_key_fqeas14oitk235763mntlb1c0brnk9w3fenzqbk313q5kvxyf52kukw1pa[Year],YEAR(Data!$A824)),"")</f>
        <v/>
      </c>
      <c r="N824" s="2" t="str">
        <f>IFERROR(AVERAGEIFS(timeseries_access_key_fqeas14oitk235763mntlb1c0brnk9w3fenzqbk313q5kvxyf52kukw1pa[Column1],timeseries_access_key_fqeas14oitk235763mntlb1c0brnk9w3fenzqbk313q5kvxyf52kukw1pa[Month],MONTH(Data!$A824),timeseries_access_key_fqeas14oitk235763mntlb1c0brnk9w3fenzqbk313q5kvxyf52kukw1pa[Year],YEAR(Data!$A824)),"")</f>
        <v/>
      </c>
      <c r="O824" s="8" t="str">
        <f>IFERROR(VLOOKUP($A824,Text_1_2[[Text.1.1.3]:[Text.1.3]],2,FALSE),"")</f>
        <v/>
      </c>
      <c r="P824" s="2"/>
    </row>
    <row r="825" spans="1:16" x14ac:dyDescent="0.25">
      <c r="A825" s="1">
        <v>46235</v>
      </c>
      <c r="B825" t="str">
        <f>HLOOKUP(Dashboard!$I$27,results,ROW(A825),FALSE)</f>
        <v/>
      </c>
      <c r="C825" t="str">
        <f>IFERROR(VLOOKUP(A825,observations_series_id_PCU22112222112243_api_key_ecc133893ea92a842ee685c73424608[],2,FALSE),"")</f>
        <v/>
      </c>
      <c r="D825" s="2" t="str">
        <f>IFERROR(VLOOKUP(A825,observations_series_id_PCU22112222112243_api_key_ecc133893ea92a842ee685c73424608[],3,FALSE),"")</f>
        <v/>
      </c>
      <c r="E825" t="str">
        <f>IFERROR(VLOOKUP($A825,observations_series_id_WPU0613020T_api_key_ecc133893ea92a842ee685c734246086_file[],2,FALSE),"")</f>
        <v/>
      </c>
      <c r="F825" s="2" t="str">
        <f>IFERROR(VLOOKUP($A825,observations_series_id_WPU0613020T_api_key_ecc133893ea92a842ee685c734246086_file[],3,FALSE),"")</f>
        <v/>
      </c>
      <c r="G825" t="str">
        <f>IFERROR(VLOOKUP($A825,observations_series_id_PCU22122212_api_key_ecc133893ea92a842ee685c734246086_file[],2,FALSE),"")</f>
        <v/>
      </c>
      <c r="H825" s="2" t="str">
        <f>IFERROR(VLOOKUP($A825,observations_series_id_PCU22122212_api_key_ecc133893ea92a842ee685c734246086_file[],3,FALSE),"")</f>
        <v/>
      </c>
      <c r="I825" t="str">
        <f>IFERROR(VLOOKUP($A825,observations_series_id_PCU3241913241910_api_key_ecc133893ea92a842ee685c734246086[],2,FALSE),"")</f>
        <v/>
      </c>
      <c r="J825" s="2" t="str">
        <f>IFERROR(VLOOKUP($A825,observations_series_id_PCU3241913241910_api_key_ecc133893ea92a842ee685c734246086[],3,FALSE),"")</f>
        <v/>
      </c>
      <c r="K825" t="str">
        <f>IFERROR(VLOOKUP($A825,observations_series_id_EXJPUS_api_key_ecc133893ea92a842ee685c734246086_file_type[],2,FALSE),"")</f>
        <v/>
      </c>
      <c r="L825" s="2" t="str">
        <f>IFERROR(VLOOKUP($A825,observations_series_id_EXJPUS_api_key_ecc133893ea92a842ee685c734246086_file_type[],3,FALSE),"")</f>
        <v/>
      </c>
      <c r="M825" t="str">
        <f>IFERROR(AVERAGEIFS(timeseries_access_key_fqeas14oitk235763mntlb1c0brnk9w3fenzqbk313q5kvxyf52kukw1pa[Value.LME-ZNC],timeseries_access_key_fqeas14oitk235763mntlb1c0brnk9w3fenzqbk313q5kvxyf52kukw1pa[Month],MONTH(Data!$A825),timeseries_access_key_fqeas14oitk235763mntlb1c0brnk9w3fenzqbk313q5kvxyf52kukw1pa[Year],YEAR(Data!$A825)),"")</f>
        <v/>
      </c>
      <c r="N825" s="2" t="str">
        <f>IFERROR(AVERAGEIFS(timeseries_access_key_fqeas14oitk235763mntlb1c0brnk9w3fenzqbk313q5kvxyf52kukw1pa[Column1],timeseries_access_key_fqeas14oitk235763mntlb1c0brnk9w3fenzqbk313q5kvxyf52kukw1pa[Month],MONTH(Data!$A825),timeseries_access_key_fqeas14oitk235763mntlb1c0brnk9w3fenzqbk313q5kvxyf52kukw1pa[Year],YEAR(Data!$A825)),"")</f>
        <v/>
      </c>
      <c r="O825" s="8" t="str">
        <f>IFERROR(VLOOKUP($A825,Text_1_2[[Text.1.1.3]:[Text.1.3]],2,FALSE),"")</f>
        <v/>
      </c>
      <c r="P825" s="2"/>
    </row>
    <row r="826" spans="1:16" x14ac:dyDescent="0.25">
      <c r="A826" s="1">
        <v>46266</v>
      </c>
      <c r="B826" t="str">
        <f>HLOOKUP(Dashboard!$I$27,results,ROW(A826),FALSE)</f>
        <v/>
      </c>
      <c r="C826" t="str">
        <f>IFERROR(VLOOKUP(A826,observations_series_id_PCU22112222112243_api_key_ecc133893ea92a842ee685c73424608[],2,FALSE),"")</f>
        <v/>
      </c>
      <c r="D826" s="2" t="str">
        <f>IFERROR(VLOOKUP(A826,observations_series_id_PCU22112222112243_api_key_ecc133893ea92a842ee685c73424608[],3,FALSE),"")</f>
        <v/>
      </c>
      <c r="E826" t="str">
        <f>IFERROR(VLOOKUP($A826,observations_series_id_WPU0613020T_api_key_ecc133893ea92a842ee685c734246086_file[],2,FALSE),"")</f>
        <v/>
      </c>
      <c r="F826" s="2" t="str">
        <f>IFERROR(VLOOKUP($A826,observations_series_id_WPU0613020T_api_key_ecc133893ea92a842ee685c734246086_file[],3,FALSE),"")</f>
        <v/>
      </c>
      <c r="G826" t="str">
        <f>IFERROR(VLOOKUP($A826,observations_series_id_PCU22122212_api_key_ecc133893ea92a842ee685c734246086_file[],2,FALSE),"")</f>
        <v/>
      </c>
      <c r="H826" s="2" t="str">
        <f>IFERROR(VLOOKUP($A826,observations_series_id_PCU22122212_api_key_ecc133893ea92a842ee685c734246086_file[],3,FALSE),"")</f>
        <v/>
      </c>
      <c r="I826" t="str">
        <f>IFERROR(VLOOKUP($A826,observations_series_id_PCU3241913241910_api_key_ecc133893ea92a842ee685c734246086[],2,FALSE),"")</f>
        <v/>
      </c>
      <c r="J826" s="2" t="str">
        <f>IFERROR(VLOOKUP($A826,observations_series_id_PCU3241913241910_api_key_ecc133893ea92a842ee685c734246086[],3,FALSE),"")</f>
        <v/>
      </c>
      <c r="K826" t="str">
        <f>IFERROR(VLOOKUP($A826,observations_series_id_EXJPUS_api_key_ecc133893ea92a842ee685c734246086_file_type[],2,FALSE),"")</f>
        <v/>
      </c>
      <c r="L826" s="2" t="str">
        <f>IFERROR(VLOOKUP($A826,observations_series_id_EXJPUS_api_key_ecc133893ea92a842ee685c734246086_file_type[],3,FALSE),"")</f>
        <v/>
      </c>
      <c r="M826" t="str">
        <f>IFERROR(AVERAGEIFS(timeseries_access_key_fqeas14oitk235763mntlb1c0brnk9w3fenzqbk313q5kvxyf52kukw1pa[Value.LME-ZNC],timeseries_access_key_fqeas14oitk235763mntlb1c0brnk9w3fenzqbk313q5kvxyf52kukw1pa[Month],MONTH(Data!$A826),timeseries_access_key_fqeas14oitk235763mntlb1c0brnk9w3fenzqbk313q5kvxyf52kukw1pa[Year],YEAR(Data!$A826)),"")</f>
        <v/>
      </c>
      <c r="N826" s="2" t="str">
        <f>IFERROR(AVERAGEIFS(timeseries_access_key_fqeas14oitk235763mntlb1c0brnk9w3fenzqbk313q5kvxyf52kukw1pa[Column1],timeseries_access_key_fqeas14oitk235763mntlb1c0brnk9w3fenzqbk313q5kvxyf52kukw1pa[Month],MONTH(Data!$A826),timeseries_access_key_fqeas14oitk235763mntlb1c0brnk9w3fenzqbk313q5kvxyf52kukw1pa[Year],YEAR(Data!$A826)),"")</f>
        <v/>
      </c>
      <c r="O826" s="8" t="str">
        <f>IFERROR(VLOOKUP($A826,Text_1_2[[Text.1.1.3]:[Text.1.3]],2,FALSE),"")</f>
        <v/>
      </c>
      <c r="P826" s="2"/>
    </row>
    <row r="827" spans="1:16" x14ac:dyDescent="0.25">
      <c r="A827" s="1">
        <v>46296</v>
      </c>
      <c r="B827" t="str">
        <f>HLOOKUP(Dashboard!$I$27,results,ROW(A827),FALSE)</f>
        <v/>
      </c>
      <c r="C827" t="str">
        <f>IFERROR(VLOOKUP(A827,observations_series_id_PCU22112222112243_api_key_ecc133893ea92a842ee685c73424608[],2,FALSE),"")</f>
        <v/>
      </c>
      <c r="D827" s="2" t="str">
        <f>IFERROR(VLOOKUP(A827,observations_series_id_PCU22112222112243_api_key_ecc133893ea92a842ee685c73424608[],3,FALSE),"")</f>
        <v/>
      </c>
      <c r="E827" t="str">
        <f>IFERROR(VLOOKUP($A827,observations_series_id_WPU0613020T_api_key_ecc133893ea92a842ee685c734246086_file[],2,FALSE),"")</f>
        <v/>
      </c>
      <c r="F827" s="2" t="str">
        <f>IFERROR(VLOOKUP($A827,observations_series_id_WPU0613020T_api_key_ecc133893ea92a842ee685c734246086_file[],3,FALSE),"")</f>
        <v/>
      </c>
      <c r="G827" t="str">
        <f>IFERROR(VLOOKUP($A827,observations_series_id_PCU22122212_api_key_ecc133893ea92a842ee685c734246086_file[],2,FALSE),"")</f>
        <v/>
      </c>
      <c r="H827" s="2" t="str">
        <f>IFERROR(VLOOKUP($A827,observations_series_id_PCU22122212_api_key_ecc133893ea92a842ee685c734246086_file[],3,FALSE),"")</f>
        <v/>
      </c>
      <c r="I827" t="str">
        <f>IFERROR(VLOOKUP($A827,observations_series_id_PCU3241913241910_api_key_ecc133893ea92a842ee685c734246086[],2,FALSE),"")</f>
        <v/>
      </c>
      <c r="J827" s="2" t="str">
        <f>IFERROR(VLOOKUP($A827,observations_series_id_PCU3241913241910_api_key_ecc133893ea92a842ee685c734246086[],3,FALSE),"")</f>
        <v/>
      </c>
      <c r="K827" t="str">
        <f>IFERROR(VLOOKUP($A827,observations_series_id_EXJPUS_api_key_ecc133893ea92a842ee685c734246086_file_type[],2,FALSE),"")</f>
        <v/>
      </c>
      <c r="L827" s="2" t="str">
        <f>IFERROR(VLOOKUP($A827,observations_series_id_EXJPUS_api_key_ecc133893ea92a842ee685c734246086_file_type[],3,FALSE),"")</f>
        <v/>
      </c>
      <c r="M827" t="str">
        <f>IFERROR(AVERAGEIFS(timeseries_access_key_fqeas14oitk235763mntlb1c0brnk9w3fenzqbk313q5kvxyf52kukw1pa[Value.LME-ZNC],timeseries_access_key_fqeas14oitk235763mntlb1c0brnk9w3fenzqbk313q5kvxyf52kukw1pa[Month],MONTH(Data!$A827),timeseries_access_key_fqeas14oitk235763mntlb1c0brnk9w3fenzqbk313q5kvxyf52kukw1pa[Year],YEAR(Data!$A827)),"")</f>
        <v/>
      </c>
      <c r="N827" s="2" t="str">
        <f>IFERROR(AVERAGEIFS(timeseries_access_key_fqeas14oitk235763mntlb1c0brnk9w3fenzqbk313q5kvxyf52kukw1pa[Column1],timeseries_access_key_fqeas14oitk235763mntlb1c0brnk9w3fenzqbk313q5kvxyf52kukw1pa[Month],MONTH(Data!$A827),timeseries_access_key_fqeas14oitk235763mntlb1c0brnk9w3fenzqbk313q5kvxyf52kukw1pa[Year],YEAR(Data!$A827)),"")</f>
        <v/>
      </c>
      <c r="O827" s="8" t="str">
        <f>IFERROR(VLOOKUP($A827,Text_1_2[[Text.1.1.3]:[Text.1.3]],2,FALSE),"")</f>
        <v/>
      </c>
      <c r="P827" s="2"/>
    </row>
    <row r="828" spans="1:16" x14ac:dyDescent="0.25">
      <c r="A828" s="1">
        <v>46327</v>
      </c>
      <c r="B828" t="str">
        <f>HLOOKUP(Dashboard!$I$27,results,ROW(A828),FALSE)</f>
        <v/>
      </c>
      <c r="C828" t="str">
        <f>IFERROR(VLOOKUP(A828,observations_series_id_PCU22112222112243_api_key_ecc133893ea92a842ee685c73424608[],2,FALSE),"")</f>
        <v/>
      </c>
      <c r="D828" s="2" t="str">
        <f>IFERROR(VLOOKUP(A828,observations_series_id_PCU22112222112243_api_key_ecc133893ea92a842ee685c73424608[],3,FALSE),"")</f>
        <v/>
      </c>
      <c r="E828" t="str">
        <f>IFERROR(VLOOKUP($A828,observations_series_id_WPU0613020T_api_key_ecc133893ea92a842ee685c734246086_file[],2,FALSE),"")</f>
        <v/>
      </c>
      <c r="F828" s="2" t="str">
        <f>IFERROR(VLOOKUP($A828,observations_series_id_WPU0613020T_api_key_ecc133893ea92a842ee685c734246086_file[],3,FALSE),"")</f>
        <v/>
      </c>
      <c r="G828" t="str">
        <f>IFERROR(VLOOKUP($A828,observations_series_id_PCU22122212_api_key_ecc133893ea92a842ee685c734246086_file[],2,FALSE),"")</f>
        <v/>
      </c>
      <c r="H828" s="2" t="str">
        <f>IFERROR(VLOOKUP($A828,observations_series_id_PCU22122212_api_key_ecc133893ea92a842ee685c734246086_file[],3,FALSE),"")</f>
        <v/>
      </c>
      <c r="I828" t="str">
        <f>IFERROR(VLOOKUP($A828,observations_series_id_PCU3241913241910_api_key_ecc133893ea92a842ee685c734246086[],2,FALSE),"")</f>
        <v/>
      </c>
      <c r="J828" s="2" t="str">
        <f>IFERROR(VLOOKUP($A828,observations_series_id_PCU3241913241910_api_key_ecc133893ea92a842ee685c734246086[],3,FALSE),"")</f>
        <v/>
      </c>
      <c r="K828" t="str">
        <f>IFERROR(VLOOKUP($A828,observations_series_id_EXJPUS_api_key_ecc133893ea92a842ee685c734246086_file_type[],2,FALSE),"")</f>
        <v/>
      </c>
      <c r="L828" s="2" t="str">
        <f>IFERROR(VLOOKUP($A828,observations_series_id_EXJPUS_api_key_ecc133893ea92a842ee685c734246086_file_type[],3,FALSE),"")</f>
        <v/>
      </c>
      <c r="M828" t="str">
        <f>IFERROR(AVERAGEIFS(timeseries_access_key_fqeas14oitk235763mntlb1c0brnk9w3fenzqbk313q5kvxyf52kukw1pa[Value.LME-ZNC],timeseries_access_key_fqeas14oitk235763mntlb1c0brnk9w3fenzqbk313q5kvxyf52kukw1pa[Month],MONTH(Data!$A828),timeseries_access_key_fqeas14oitk235763mntlb1c0brnk9w3fenzqbk313q5kvxyf52kukw1pa[Year],YEAR(Data!$A828)),"")</f>
        <v/>
      </c>
      <c r="N828" s="2" t="str">
        <f>IFERROR(AVERAGEIFS(timeseries_access_key_fqeas14oitk235763mntlb1c0brnk9w3fenzqbk313q5kvxyf52kukw1pa[Column1],timeseries_access_key_fqeas14oitk235763mntlb1c0brnk9w3fenzqbk313q5kvxyf52kukw1pa[Month],MONTH(Data!$A828),timeseries_access_key_fqeas14oitk235763mntlb1c0brnk9w3fenzqbk313q5kvxyf52kukw1pa[Year],YEAR(Data!$A828)),"")</f>
        <v/>
      </c>
      <c r="O828" s="8" t="str">
        <f>IFERROR(VLOOKUP($A828,Text_1_2[[Text.1.1.3]:[Text.1.3]],2,FALSE),"")</f>
        <v/>
      </c>
      <c r="P828" s="2"/>
    </row>
    <row r="829" spans="1:16" x14ac:dyDescent="0.25">
      <c r="A829" s="1">
        <v>46357</v>
      </c>
      <c r="B829" t="str">
        <f>HLOOKUP(Dashboard!$I$27,results,ROW(A829),FALSE)</f>
        <v/>
      </c>
      <c r="C829" t="str">
        <f>IFERROR(VLOOKUP(A829,observations_series_id_PCU22112222112243_api_key_ecc133893ea92a842ee685c73424608[],2,FALSE),"")</f>
        <v/>
      </c>
      <c r="D829" s="2" t="str">
        <f>IFERROR(VLOOKUP(A829,observations_series_id_PCU22112222112243_api_key_ecc133893ea92a842ee685c73424608[],3,FALSE),"")</f>
        <v/>
      </c>
      <c r="E829" t="str">
        <f>IFERROR(VLOOKUP($A829,observations_series_id_WPU0613020T_api_key_ecc133893ea92a842ee685c734246086_file[],2,FALSE),"")</f>
        <v/>
      </c>
      <c r="F829" s="2" t="str">
        <f>IFERROR(VLOOKUP($A829,observations_series_id_WPU0613020T_api_key_ecc133893ea92a842ee685c734246086_file[],3,FALSE),"")</f>
        <v/>
      </c>
      <c r="G829" t="str">
        <f>IFERROR(VLOOKUP($A829,observations_series_id_PCU22122212_api_key_ecc133893ea92a842ee685c734246086_file[],2,FALSE),"")</f>
        <v/>
      </c>
      <c r="H829" s="2" t="str">
        <f>IFERROR(VLOOKUP($A829,observations_series_id_PCU22122212_api_key_ecc133893ea92a842ee685c734246086_file[],3,FALSE),"")</f>
        <v/>
      </c>
      <c r="I829" t="str">
        <f>IFERROR(VLOOKUP($A829,observations_series_id_PCU3241913241910_api_key_ecc133893ea92a842ee685c734246086[],2,FALSE),"")</f>
        <v/>
      </c>
      <c r="J829" s="2" t="str">
        <f>IFERROR(VLOOKUP($A829,observations_series_id_PCU3241913241910_api_key_ecc133893ea92a842ee685c734246086[],3,FALSE),"")</f>
        <v/>
      </c>
      <c r="K829" t="str">
        <f>IFERROR(VLOOKUP($A829,observations_series_id_EXJPUS_api_key_ecc133893ea92a842ee685c734246086_file_type[],2,FALSE),"")</f>
        <v/>
      </c>
      <c r="L829" s="2" t="str">
        <f>IFERROR(VLOOKUP($A829,observations_series_id_EXJPUS_api_key_ecc133893ea92a842ee685c734246086_file_type[],3,FALSE),"")</f>
        <v/>
      </c>
      <c r="M829" t="str">
        <f>IFERROR(AVERAGEIFS(timeseries_access_key_fqeas14oitk235763mntlb1c0brnk9w3fenzqbk313q5kvxyf52kukw1pa[Value.LME-ZNC],timeseries_access_key_fqeas14oitk235763mntlb1c0brnk9w3fenzqbk313q5kvxyf52kukw1pa[Month],MONTH(Data!$A829),timeseries_access_key_fqeas14oitk235763mntlb1c0brnk9w3fenzqbk313q5kvxyf52kukw1pa[Year],YEAR(Data!$A829)),"")</f>
        <v/>
      </c>
      <c r="N829" s="2" t="str">
        <f>IFERROR(AVERAGEIFS(timeseries_access_key_fqeas14oitk235763mntlb1c0brnk9w3fenzqbk313q5kvxyf52kukw1pa[Column1],timeseries_access_key_fqeas14oitk235763mntlb1c0brnk9w3fenzqbk313q5kvxyf52kukw1pa[Month],MONTH(Data!$A829),timeseries_access_key_fqeas14oitk235763mntlb1c0brnk9w3fenzqbk313q5kvxyf52kukw1pa[Year],YEAR(Data!$A829)),"")</f>
        <v/>
      </c>
      <c r="O829" s="8" t="str">
        <f>IFERROR(VLOOKUP($A829,Text_1_2[[Text.1.1.3]:[Text.1.3]],2,FALSE),"")</f>
        <v/>
      </c>
      <c r="P829" s="2"/>
    </row>
    <row r="830" spans="1:16" x14ac:dyDescent="0.25">
      <c r="A830" s="1">
        <v>46388</v>
      </c>
      <c r="B830" t="str">
        <f>HLOOKUP(Dashboard!$I$27,results,ROW(A830),FALSE)</f>
        <v/>
      </c>
      <c r="C830" t="str">
        <f>IFERROR(VLOOKUP(A830,observations_series_id_PCU22112222112243_api_key_ecc133893ea92a842ee685c73424608[],2,FALSE),"")</f>
        <v/>
      </c>
      <c r="D830" s="2" t="str">
        <f>IFERROR(VLOOKUP(A830,observations_series_id_PCU22112222112243_api_key_ecc133893ea92a842ee685c73424608[],3,FALSE),"")</f>
        <v/>
      </c>
      <c r="E830" t="str">
        <f>IFERROR(VLOOKUP($A830,observations_series_id_WPU0613020T_api_key_ecc133893ea92a842ee685c734246086_file[],2,FALSE),"")</f>
        <v/>
      </c>
      <c r="F830" s="2" t="str">
        <f>IFERROR(VLOOKUP($A830,observations_series_id_WPU0613020T_api_key_ecc133893ea92a842ee685c734246086_file[],3,FALSE),"")</f>
        <v/>
      </c>
      <c r="G830" t="str">
        <f>IFERROR(VLOOKUP($A830,observations_series_id_PCU22122212_api_key_ecc133893ea92a842ee685c734246086_file[],2,FALSE),"")</f>
        <v/>
      </c>
      <c r="H830" s="2" t="str">
        <f>IFERROR(VLOOKUP($A830,observations_series_id_PCU22122212_api_key_ecc133893ea92a842ee685c734246086_file[],3,FALSE),"")</f>
        <v/>
      </c>
      <c r="I830" t="str">
        <f>IFERROR(VLOOKUP($A830,observations_series_id_PCU3241913241910_api_key_ecc133893ea92a842ee685c734246086[],2,FALSE),"")</f>
        <v/>
      </c>
      <c r="J830" s="2" t="str">
        <f>IFERROR(VLOOKUP($A830,observations_series_id_PCU3241913241910_api_key_ecc133893ea92a842ee685c734246086[],3,FALSE),"")</f>
        <v/>
      </c>
      <c r="K830" t="str">
        <f>IFERROR(VLOOKUP($A830,observations_series_id_EXJPUS_api_key_ecc133893ea92a842ee685c734246086_file_type[],2,FALSE),"")</f>
        <v/>
      </c>
      <c r="L830" s="2" t="str">
        <f>IFERROR(VLOOKUP($A830,observations_series_id_EXJPUS_api_key_ecc133893ea92a842ee685c734246086_file_type[],3,FALSE),"")</f>
        <v/>
      </c>
      <c r="M830" t="str">
        <f>IFERROR(AVERAGEIFS(timeseries_access_key_fqeas14oitk235763mntlb1c0brnk9w3fenzqbk313q5kvxyf52kukw1pa[Value.LME-ZNC],timeseries_access_key_fqeas14oitk235763mntlb1c0brnk9w3fenzqbk313q5kvxyf52kukw1pa[Month],MONTH(Data!$A830),timeseries_access_key_fqeas14oitk235763mntlb1c0brnk9w3fenzqbk313q5kvxyf52kukw1pa[Year],YEAR(Data!$A830)),"")</f>
        <v/>
      </c>
      <c r="N830" s="2" t="str">
        <f>IFERROR(AVERAGEIFS(timeseries_access_key_fqeas14oitk235763mntlb1c0brnk9w3fenzqbk313q5kvxyf52kukw1pa[Column1],timeseries_access_key_fqeas14oitk235763mntlb1c0brnk9w3fenzqbk313q5kvxyf52kukw1pa[Month],MONTH(Data!$A830),timeseries_access_key_fqeas14oitk235763mntlb1c0brnk9w3fenzqbk313q5kvxyf52kukw1pa[Year],YEAR(Data!$A830)),"")</f>
        <v/>
      </c>
      <c r="O830" s="8" t="str">
        <f>IFERROR(VLOOKUP($A830,Text_1_2[[Text.1.1.3]:[Text.1.3]],2,FALSE),"")</f>
        <v/>
      </c>
      <c r="P830" s="2"/>
    </row>
    <row r="831" spans="1:16" x14ac:dyDescent="0.25">
      <c r="A831" s="1">
        <v>46419</v>
      </c>
      <c r="B831" t="str">
        <f>HLOOKUP(Dashboard!$I$27,results,ROW(A831),FALSE)</f>
        <v/>
      </c>
      <c r="C831" t="str">
        <f>IFERROR(VLOOKUP(A831,observations_series_id_PCU22112222112243_api_key_ecc133893ea92a842ee685c73424608[],2,FALSE),"")</f>
        <v/>
      </c>
      <c r="D831" s="2" t="str">
        <f>IFERROR(VLOOKUP(A831,observations_series_id_PCU22112222112243_api_key_ecc133893ea92a842ee685c73424608[],3,FALSE),"")</f>
        <v/>
      </c>
      <c r="E831" t="str">
        <f>IFERROR(VLOOKUP($A831,observations_series_id_WPU0613020T_api_key_ecc133893ea92a842ee685c734246086_file[],2,FALSE),"")</f>
        <v/>
      </c>
      <c r="F831" s="2" t="str">
        <f>IFERROR(VLOOKUP($A831,observations_series_id_WPU0613020T_api_key_ecc133893ea92a842ee685c734246086_file[],3,FALSE),"")</f>
        <v/>
      </c>
      <c r="G831" t="str">
        <f>IFERROR(VLOOKUP($A831,observations_series_id_PCU22122212_api_key_ecc133893ea92a842ee685c734246086_file[],2,FALSE),"")</f>
        <v/>
      </c>
      <c r="H831" s="2" t="str">
        <f>IFERROR(VLOOKUP($A831,observations_series_id_PCU22122212_api_key_ecc133893ea92a842ee685c734246086_file[],3,FALSE),"")</f>
        <v/>
      </c>
      <c r="I831" t="str">
        <f>IFERROR(VLOOKUP($A831,observations_series_id_PCU3241913241910_api_key_ecc133893ea92a842ee685c734246086[],2,FALSE),"")</f>
        <v/>
      </c>
      <c r="J831" s="2" t="str">
        <f>IFERROR(VLOOKUP($A831,observations_series_id_PCU3241913241910_api_key_ecc133893ea92a842ee685c734246086[],3,FALSE),"")</f>
        <v/>
      </c>
      <c r="K831" t="str">
        <f>IFERROR(VLOOKUP($A831,observations_series_id_EXJPUS_api_key_ecc133893ea92a842ee685c734246086_file_type[],2,FALSE),"")</f>
        <v/>
      </c>
      <c r="L831" s="2" t="str">
        <f>IFERROR(VLOOKUP($A831,observations_series_id_EXJPUS_api_key_ecc133893ea92a842ee685c734246086_file_type[],3,FALSE),"")</f>
        <v/>
      </c>
      <c r="M831" t="str">
        <f>IFERROR(AVERAGEIFS(timeseries_access_key_fqeas14oitk235763mntlb1c0brnk9w3fenzqbk313q5kvxyf52kukw1pa[Value.LME-ZNC],timeseries_access_key_fqeas14oitk235763mntlb1c0brnk9w3fenzqbk313q5kvxyf52kukw1pa[Month],MONTH(Data!$A831),timeseries_access_key_fqeas14oitk235763mntlb1c0brnk9w3fenzqbk313q5kvxyf52kukw1pa[Year],YEAR(Data!$A831)),"")</f>
        <v/>
      </c>
      <c r="N831" s="2" t="str">
        <f>IFERROR(AVERAGEIFS(timeseries_access_key_fqeas14oitk235763mntlb1c0brnk9w3fenzqbk313q5kvxyf52kukw1pa[Column1],timeseries_access_key_fqeas14oitk235763mntlb1c0brnk9w3fenzqbk313q5kvxyf52kukw1pa[Month],MONTH(Data!$A831),timeseries_access_key_fqeas14oitk235763mntlb1c0brnk9w3fenzqbk313q5kvxyf52kukw1pa[Year],YEAR(Data!$A831)),"")</f>
        <v/>
      </c>
      <c r="O831" s="8" t="str">
        <f>IFERROR(VLOOKUP($A831,Text_1_2[[Text.1.1.3]:[Text.1.3]],2,FALSE),"")</f>
        <v/>
      </c>
      <c r="P831" s="2"/>
    </row>
    <row r="832" spans="1:16" x14ac:dyDescent="0.25">
      <c r="A832" s="1">
        <v>46447</v>
      </c>
      <c r="B832" t="str">
        <f>HLOOKUP(Dashboard!$I$27,results,ROW(A832),FALSE)</f>
        <v/>
      </c>
      <c r="C832" t="str">
        <f>IFERROR(VLOOKUP(A832,observations_series_id_PCU22112222112243_api_key_ecc133893ea92a842ee685c73424608[],2,FALSE),"")</f>
        <v/>
      </c>
      <c r="D832" s="2" t="str">
        <f>IFERROR(VLOOKUP(A832,observations_series_id_PCU22112222112243_api_key_ecc133893ea92a842ee685c73424608[],3,FALSE),"")</f>
        <v/>
      </c>
      <c r="E832" t="str">
        <f>IFERROR(VLOOKUP($A832,observations_series_id_WPU0613020T_api_key_ecc133893ea92a842ee685c734246086_file[],2,FALSE),"")</f>
        <v/>
      </c>
      <c r="F832" s="2" t="str">
        <f>IFERROR(VLOOKUP($A832,observations_series_id_WPU0613020T_api_key_ecc133893ea92a842ee685c734246086_file[],3,FALSE),"")</f>
        <v/>
      </c>
      <c r="G832" t="str">
        <f>IFERROR(VLOOKUP($A832,observations_series_id_PCU22122212_api_key_ecc133893ea92a842ee685c734246086_file[],2,FALSE),"")</f>
        <v/>
      </c>
      <c r="H832" s="2" t="str">
        <f>IFERROR(VLOOKUP($A832,observations_series_id_PCU22122212_api_key_ecc133893ea92a842ee685c734246086_file[],3,FALSE),"")</f>
        <v/>
      </c>
      <c r="I832" t="str">
        <f>IFERROR(VLOOKUP($A832,observations_series_id_PCU3241913241910_api_key_ecc133893ea92a842ee685c734246086[],2,FALSE),"")</f>
        <v/>
      </c>
      <c r="J832" s="2" t="str">
        <f>IFERROR(VLOOKUP($A832,observations_series_id_PCU3241913241910_api_key_ecc133893ea92a842ee685c734246086[],3,FALSE),"")</f>
        <v/>
      </c>
      <c r="K832" t="str">
        <f>IFERROR(VLOOKUP($A832,observations_series_id_EXJPUS_api_key_ecc133893ea92a842ee685c734246086_file_type[],2,FALSE),"")</f>
        <v/>
      </c>
      <c r="L832" s="2" t="str">
        <f>IFERROR(VLOOKUP($A832,observations_series_id_EXJPUS_api_key_ecc133893ea92a842ee685c734246086_file_type[],3,FALSE),"")</f>
        <v/>
      </c>
      <c r="M832" t="str">
        <f>IFERROR(AVERAGEIFS(timeseries_access_key_fqeas14oitk235763mntlb1c0brnk9w3fenzqbk313q5kvxyf52kukw1pa[Value.LME-ZNC],timeseries_access_key_fqeas14oitk235763mntlb1c0brnk9w3fenzqbk313q5kvxyf52kukw1pa[Month],MONTH(Data!$A832),timeseries_access_key_fqeas14oitk235763mntlb1c0brnk9w3fenzqbk313q5kvxyf52kukw1pa[Year],YEAR(Data!$A832)),"")</f>
        <v/>
      </c>
      <c r="N832" s="2" t="str">
        <f>IFERROR(AVERAGEIFS(timeseries_access_key_fqeas14oitk235763mntlb1c0brnk9w3fenzqbk313q5kvxyf52kukw1pa[Column1],timeseries_access_key_fqeas14oitk235763mntlb1c0brnk9w3fenzqbk313q5kvxyf52kukw1pa[Month],MONTH(Data!$A832),timeseries_access_key_fqeas14oitk235763mntlb1c0brnk9w3fenzqbk313q5kvxyf52kukw1pa[Year],YEAR(Data!$A832)),"")</f>
        <v/>
      </c>
      <c r="O832" s="8" t="str">
        <f>IFERROR(VLOOKUP($A832,Text_1_2[[Text.1.1.3]:[Text.1.3]],2,FALSE),"")</f>
        <v/>
      </c>
      <c r="P832" s="2"/>
    </row>
    <row r="833" spans="1:16" x14ac:dyDescent="0.25">
      <c r="A833" s="1">
        <v>46478</v>
      </c>
      <c r="B833" t="str">
        <f>HLOOKUP(Dashboard!$I$27,results,ROW(A833),FALSE)</f>
        <v/>
      </c>
      <c r="C833" t="str">
        <f>IFERROR(VLOOKUP(A833,observations_series_id_PCU22112222112243_api_key_ecc133893ea92a842ee685c73424608[],2,FALSE),"")</f>
        <v/>
      </c>
      <c r="D833" s="2" t="str">
        <f>IFERROR(VLOOKUP(A833,observations_series_id_PCU22112222112243_api_key_ecc133893ea92a842ee685c73424608[],3,FALSE),"")</f>
        <v/>
      </c>
      <c r="E833" t="str">
        <f>IFERROR(VLOOKUP($A833,observations_series_id_WPU0613020T_api_key_ecc133893ea92a842ee685c734246086_file[],2,FALSE),"")</f>
        <v/>
      </c>
      <c r="F833" s="2" t="str">
        <f>IFERROR(VLOOKUP($A833,observations_series_id_WPU0613020T_api_key_ecc133893ea92a842ee685c734246086_file[],3,FALSE),"")</f>
        <v/>
      </c>
      <c r="G833" t="str">
        <f>IFERROR(VLOOKUP($A833,observations_series_id_PCU22122212_api_key_ecc133893ea92a842ee685c734246086_file[],2,FALSE),"")</f>
        <v/>
      </c>
      <c r="H833" s="2" t="str">
        <f>IFERROR(VLOOKUP($A833,observations_series_id_PCU22122212_api_key_ecc133893ea92a842ee685c734246086_file[],3,FALSE),"")</f>
        <v/>
      </c>
      <c r="I833" t="str">
        <f>IFERROR(VLOOKUP($A833,observations_series_id_PCU3241913241910_api_key_ecc133893ea92a842ee685c734246086[],2,FALSE),"")</f>
        <v/>
      </c>
      <c r="J833" s="2" t="str">
        <f>IFERROR(VLOOKUP($A833,observations_series_id_PCU3241913241910_api_key_ecc133893ea92a842ee685c734246086[],3,FALSE),"")</f>
        <v/>
      </c>
      <c r="K833" t="str">
        <f>IFERROR(VLOOKUP($A833,observations_series_id_EXJPUS_api_key_ecc133893ea92a842ee685c734246086_file_type[],2,FALSE),"")</f>
        <v/>
      </c>
      <c r="L833" s="2" t="str">
        <f>IFERROR(VLOOKUP($A833,observations_series_id_EXJPUS_api_key_ecc133893ea92a842ee685c734246086_file_type[],3,FALSE),"")</f>
        <v/>
      </c>
      <c r="M833" t="str">
        <f>IFERROR(AVERAGEIFS(timeseries_access_key_fqeas14oitk235763mntlb1c0brnk9w3fenzqbk313q5kvxyf52kukw1pa[Value.LME-ZNC],timeseries_access_key_fqeas14oitk235763mntlb1c0brnk9w3fenzqbk313q5kvxyf52kukw1pa[Month],MONTH(Data!$A833),timeseries_access_key_fqeas14oitk235763mntlb1c0brnk9w3fenzqbk313q5kvxyf52kukw1pa[Year],YEAR(Data!$A833)),"")</f>
        <v/>
      </c>
      <c r="N833" s="2" t="str">
        <f>IFERROR(AVERAGEIFS(timeseries_access_key_fqeas14oitk235763mntlb1c0brnk9w3fenzqbk313q5kvxyf52kukw1pa[Column1],timeseries_access_key_fqeas14oitk235763mntlb1c0brnk9w3fenzqbk313q5kvxyf52kukw1pa[Month],MONTH(Data!$A833),timeseries_access_key_fqeas14oitk235763mntlb1c0brnk9w3fenzqbk313q5kvxyf52kukw1pa[Year],YEAR(Data!$A833)),"")</f>
        <v/>
      </c>
      <c r="O833" s="8" t="str">
        <f>IFERROR(VLOOKUP($A833,Text_1_2[[Text.1.1.3]:[Text.1.3]],2,FALSE),"")</f>
        <v/>
      </c>
      <c r="P833" s="2"/>
    </row>
    <row r="834" spans="1:16" x14ac:dyDescent="0.25">
      <c r="A834" s="1">
        <v>46508</v>
      </c>
      <c r="B834" t="str">
        <f>HLOOKUP(Dashboard!$I$27,results,ROW(A834),FALSE)</f>
        <v/>
      </c>
      <c r="C834" t="str">
        <f>IFERROR(VLOOKUP(A834,observations_series_id_PCU22112222112243_api_key_ecc133893ea92a842ee685c73424608[],2,FALSE),"")</f>
        <v/>
      </c>
      <c r="D834" s="2" t="str">
        <f>IFERROR(VLOOKUP(A834,observations_series_id_PCU22112222112243_api_key_ecc133893ea92a842ee685c73424608[],3,FALSE),"")</f>
        <v/>
      </c>
      <c r="E834" t="str">
        <f>IFERROR(VLOOKUP($A834,observations_series_id_WPU0613020T_api_key_ecc133893ea92a842ee685c734246086_file[],2,FALSE),"")</f>
        <v/>
      </c>
      <c r="F834" s="2" t="str">
        <f>IFERROR(VLOOKUP($A834,observations_series_id_WPU0613020T_api_key_ecc133893ea92a842ee685c734246086_file[],3,FALSE),"")</f>
        <v/>
      </c>
      <c r="G834" t="str">
        <f>IFERROR(VLOOKUP($A834,observations_series_id_PCU22122212_api_key_ecc133893ea92a842ee685c734246086_file[],2,FALSE),"")</f>
        <v/>
      </c>
      <c r="H834" s="2" t="str">
        <f>IFERROR(VLOOKUP($A834,observations_series_id_PCU22122212_api_key_ecc133893ea92a842ee685c734246086_file[],3,FALSE),"")</f>
        <v/>
      </c>
      <c r="I834" t="str">
        <f>IFERROR(VLOOKUP($A834,observations_series_id_PCU3241913241910_api_key_ecc133893ea92a842ee685c734246086[],2,FALSE),"")</f>
        <v/>
      </c>
      <c r="J834" s="2" t="str">
        <f>IFERROR(VLOOKUP($A834,observations_series_id_PCU3241913241910_api_key_ecc133893ea92a842ee685c734246086[],3,FALSE),"")</f>
        <v/>
      </c>
      <c r="K834" t="str">
        <f>IFERROR(VLOOKUP($A834,observations_series_id_EXJPUS_api_key_ecc133893ea92a842ee685c734246086_file_type[],2,FALSE),"")</f>
        <v/>
      </c>
      <c r="L834" s="2" t="str">
        <f>IFERROR(VLOOKUP($A834,observations_series_id_EXJPUS_api_key_ecc133893ea92a842ee685c734246086_file_type[],3,FALSE),"")</f>
        <v/>
      </c>
      <c r="M834" t="str">
        <f>IFERROR(AVERAGEIFS(timeseries_access_key_fqeas14oitk235763mntlb1c0brnk9w3fenzqbk313q5kvxyf52kukw1pa[Value.LME-ZNC],timeseries_access_key_fqeas14oitk235763mntlb1c0brnk9w3fenzqbk313q5kvxyf52kukw1pa[Month],MONTH(Data!$A834),timeseries_access_key_fqeas14oitk235763mntlb1c0brnk9w3fenzqbk313q5kvxyf52kukw1pa[Year],YEAR(Data!$A834)),"")</f>
        <v/>
      </c>
      <c r="N834" s="2" t="str">
        <f>IFERROR(AVERAGEIFS(timeseries_access_key_fqeas14oitk235763mntlb1c0brnk9w3fenzqbk313q5kvxyf52kukw1pa[Column1],timeseries_access_key_fqeas14oitk235763mntlb1c0brnk9w3fenzqbk313q5kvxyf52kukw1pa[Month],MONTH(Data!$A834),timeseries_access_key_fqeas14oitk235763mntlb1c0brnk9w3fenzqbk313q5kvxyf52kukw1pa[Year],YEAR(Data!$A834)),"")</f>
        <v/>
      </c>
      <c r="O834" s="8" t="str">
        <f>IFERROR(VLOOKUP($A834,Text_1_2[[Text.1.1.3]:[Text.1.3]],2,FALSE),"")</f>
        <v/>
      </c>
      <c r="P834" s="2"/>
    </row>
    <row r="835" spans="1:16" x14ac:dyDescent="0.25">
      <c r="A835" s="1">
        <v>46539</v>
      </c>
      <c r="B835" t="str">
        <f>HLOOKUP(Dashboard!$I$27,results,ROW(A835),FALSE)</f>
        <v/>
      </c>
      <c r="C835" t="str">
        <f>IFERROR(VLOOKUP(A835,observations_series_id_PCU22112222112243_api_key_ecc133893ea92a842ee685c73424608[],2,FALSE),"")</f>
        <v/>
      </c>
      <c r="D835" s="2" t="str">
        <f>IFERROR(VLOOKUP(A835,observations_series_id_PCU22112222112243_api_key_ecc133893ea92a842ee685c73424608[],3,FALSE),"")</f>
        <v/>
      </c>
      <c r="E835" t="str">
        <f>IFERROR(VLOOKUP($A835,observations_series_id_WPU0613020T_api_key_ecc133893ea92a842ee685c734246086_file[],2,FALSE),"")</f>
        <v/>
      </c>
      <c r="F835" s="2" t="str">
        <f>IFERROR(VLOOKUP($A835,observations_series_id_WPU0613020T_api_key_ecc133893ea92a842ee685c734246086_file[],3,FALSE),"")</f>
        <v/>
      </c>
      <c r="G835" t="str">
        <f>IFERROR(VLOOKUP($A835,observations_series_id_PCU22122212_api_key_ecc133893ea92a842ee685c734246086_file[],2,FALSE),"")</f>
        <v/>
      </c>
      <c r="H835" s="2" t="str">
        <f>IFERROR(VLOOKUP($A835,observations_series_id_PCU22122212_api_key_ecc133893ea92a842ee685c734246086_file[],3,FALSE),"")</f>
        <v/>
      </c>
      <c r="I835" t="str">
        <f>IFERROR(VLOOKUP($A835,observations_series_id_PCU3241913241910_api_key_ecc133893ea92a842ee685c734246086[],2,FALSE),"")</f>
        <v/>
      </c>
      <c r="J835" s="2" t="str">
        <f>IFERROR(VLOOKUP($A835,observations_series_id_PCU3241913241910_api_key_ecc133893ea92a842ee685c734246086[],3,FALSE),"")</f>
        <v/>
      </c>
      <c r="K835" t="str">
        <f>IFERROR(VLOOKUP($A835,observations_series_id_EXJPUS_api_key_ecc133893ea92a842ee685c734246086_file_type[],2,FALSE),"")</f>
        <v/>
      </c>
      <c r="L835" s="2" t="str">
        <f>IFERROR(VLOOKUP($A835,observations_series_id_EXJPUS_api_key_ecc133893ea92a842ee685c734246086_file_type[],3,FALSE),"")</f>
        <v/>
      </c>
      <c r="M835" t="str">
        <f>IFERROR(AVERAGEIFS(timeseries_access_key_fqeas14oitk235763mntlb1c0brnk9w3fenzqbk313q5kvxyf52kukw1pa[Value.LME-ZNC],timeseries_access_key_fqeas14oitk235763mntlb1c0brnk9w3fenzqbk313q5kvxyf52kukw1pa[Month],MONTH(Data!$A835),timeseries_access_key_fqeas14oitk235763mntlb1c0brnk9w3fenzqbk313q5kvxyf52kukw1pa[Year],YEAR(Data!$A835)),"")</f>
        <v/>
      </c>
      <c r="N835" s="2" t="str">
        <f>IFERROR(AVERAGEIFS(timeseries_access_key_fqeas14oitk235763mntlb1c0brnk9w3fenzqbk313q5kvxyf52kukw1pa[Column1],timeseries_access_key_fqeas14oitk235763mntlb1c0brnk9w3fenzqbk313q5kvxyf52kukw1pa[Month],MONTH(Data!$A835),timeseries_access_key_fqeas14oitk235763mntlb1c0brnk9w3fenzqbk313q5kvxyf52kukw1pa[Year],YEAR(Data!$A835)),"")</f>
        <v/>
      </c>
      <c r="O835" s="8" t="str">
        <f>IFERROR(VLOOKUP($A835,Text_1_2[[Text.1.1.3]:[Text.1.3]],2,FALSE),"")</f>
        <v/>
      </c>
      <c r="P835" s="2"/>
    </row>
    <row r="836" spans="1:16" x14ac:dyDescent="0.25">
      <c r="A836" s="1">
        <v>46569</v>
      </c>
      <c r="B836" t="str">
        <f>HLOOKUP(Dashboard!$I$27,results,ROW(A836),FALSE)</f>
        <v/>
      </c>
      <c r="C836" t="str">
        <f>IFERROR(VLOOKUP(A836,observations_series_id_PCU22112222112243_api_key_ecc133893ea92a842ee685c73424608[],2,FALSE),"")</f>
        <v/>
      </c>
      <c r="D836" s="2" t="str">
        <f>IFERROR(VLOOKUP(A836,observations_series_id_PCU22112222112243_api_key_ecc133893ea92a842ee685c73424608[],3,FALSE),"")</f>
        <v/>
      </c>
      <c r="E836" t="str">
        <f>IFERROR(VLOOKUP($A836,observations_series_id_WPU0613020T_api_key_ecc133893ea92a842ee685c734246086_file[],2,FALSE),"")</f>
        <v/>
      </c>
      <c r="F836" s="2" t="str">
        <f>IFERROR(VLOOKUP($A836,observations_series_id_WPU0613020T_api_key_ecc133893ea92a842ee685c734246086_file[],3,FALSE),"")</f>
        <v/>
      </c>
      <c r="G836" t="str">
        <f>IFERROR(VLOOKUP($A836,observations_series_id_PCU22122212_api_key_ecc133893ea92a842ee685c734246086_file[],2,FALSE),"")</f>
        <v/>
      </c>
      <c r="H836" s="2" t="str">
        <f>IFERROR(VLOOKUP($A836,observations_series_id_PCU22122212_api_key_ecc133893ea92a842ee685c734246086_file[],3,FALSE),"")</f>
        <v/>
      </c>
      <c r="I836" t="str">
        <f>IFERROR(VLOOKUP($A836,observations_series_id_PCU3241913241910_api_key_ecc133893ea92a842ee685c734246086[],2,FALSE),"")</f>
        <v/>
      </c>
      <c r="J836" s="2" t="str">
        <f>IFERROR(VLOOKUP($A836,observations_series_id_PCU3241913241910_api_key_ecc133893ea92a842ee685c734246086[],3,FALSE),"")</f>
        <v/>
      </c>
      <c r="K836" t="str">
        <f>IFERROR(VLOOKUP($A836,observations_series_id_EXJPUS_api_key_ecc133893ea92a842ee685c734246086_file_type[],2,FALSE),"")</f>
        <v/>
      </c>
      <c r="L836" s="2" t="str">
        <f>IFERROR(VLOOKUP($A836,observations_series_id_EXJPUS_api_key_ecc133893ea92a842ee685c734246086_file_type[],3,FALSE),"")</f>
        <v/>
      </c>
      <c r="M836" t="str">
        <f>IFERROR(AVERAGEIFS(timeseries_access_key_fqeas14oitk235763mntlb1c0brnk9w3fenzqbk313q5kvxyf52kukw1pa[Value.LME-ZNC],timeseries_access_key_fqeas14oitk235763mntlb1c0brnk9w3fenzqbk313q5kvxyf52kukw1pa[Month],MONTH(Data!$A836),timeseries_access_key_fqeas14oitk235763mntlb1c0brnk9w3fenzqbk313q5kvxyf52kukw1pa[Year],YEAR(Data!$A836)),"")</f>
        <v/>
      </c>
      <c r="N836" s="2" t="str">
        <f>IFERROR(AVERAGEIFS(timeseries_access_key_fqeas14oitk235763mntlb1c0brnk9w3fenzqbk313q5kvxyf52kukw1pa[Column1],timeseries_access_key_fqeas14oitk235763mntlb1c0brnk9w3fenzqbk313q5kvxyf52kukw1pa[Month],MONTH(Data!$A836),timeseries_access_key_fqeas14oitk235763mntlb1c0brnk9w3fenzqbk313q5kvxyf52kukw1pa[Year],YEAR(Data!$A836)),"")</f>
        <v/>
      </c>
      <c r="O836" s="8" t="str">
        <f>IFERROR(VLOOKUP($A836,Text_1_2[[Text.1.1.3]:[Text.1.3]],2,FALSE),"")</f>
        <v/>
      </c>
      <c r="P836" s="2"/>
    </row>
    <row r="837" spans="1:16" x14ac:dyDescent="0.25">
      <c r="A837" s="1">
        <v>46600</v>
      </c>
      <c r="B837" t="str">
        <f>HLOOKUP(Dashboard!$I$27,results,ROW(A837),FALSE)</f>
        <v/>
      </c>
      <c r="C837" t="str">
        <f>IFERROR(VLOOKUP(A837,observations_series_id_PCU22112222112243_api_key_ecc133893ea92a842ee685c73424608[],2,FALSE),"")</f>
        <v/>
      </c>
      <c r="D837" s="2" t="str">
        <f>IFERROR(VLOOKUP(A837,observations_series_id_PCU22112222112243_api_key_ecc133893ea92a842ee685c73424608[],3,FALSE),"")</f>
        <v/>
      </c>
      <c r="E837" t="str">
        <f>IFERROR(VLOOKUP($A837,observations_series_id_WPU0613020T_api_key_ecc133893ea92a842ee685c734246086_file[],2,FALSE),"")</f>
        <v/>
      </c>
      <c r="F837" s="2" t="str">
        <f>IFERROR(VLOOKUP($A837,observations_series_id_WPU0613020T_api_key_ecc133893ea92a842ee685c734246086_file[],3,FALSE),"")</f>
        <v/>
      </c>
      <c r="G837" t="str">
        <f>IFERROR(VLOOKUP($A837,observations_series_id_PCU22122212_api_key_ecc133893ea92a842ee685c734246086_file[],2,FALSE),"")</f>
        <v/>
      </c>
      <c r="H837" s="2" t="str">
        <f>IFERROR(VLOOKUP($A837,observations_series_id_PCU22122212_api_key_ecc133893ea92a842ee685c734246086_file[],3,FALSE),"")</f>
        <v/>
      </c>
      <c r="I837" t="str">
        <f>IFERROR(VLOOKUP($A837,observations_series_id_PCU3241913241910_api_key_ecc133893ea92a842ee685c734246086[],2,FALSE),"")</f>
        <v/>
      </c>
      <c r="J837" s="2" t="str">
        <f>IFERROR(VLOOKUP($A837,observations_series_id_PCU3241913241910_api_key_ecc133893ea92a842ee685c734246086[],3,FALSE),"")</f>
        <v/>
      </c>
      <c r="K837" t="str">
        <f>IFERROR(VLOOKUP($A837,observations_series_id_EXJPUS_api_key_ecc133893ea92a842ee685c734246086_file_type[],2,FALSE),"")</f>
        <v/>
      </c>
      <c r="L837" s="2" t="str">
        <f>IFERROR(VLOOKUP($A837,observations_series_id_EXJPUS_api_key_ecc133893ea92a842ee685c734246086_file_type[],3,FALSE),"")</f>
        <v/>
      </c>
      <c r="M837" t="str">
        <f>IFERROR(AVERAGEIFS(timeseries_access_key_fqeas14oitk235763mntlb1c0brnk9w3fenzqbk313q5kvxyf52kukw1pa[Value.LME-ZNC],timeseries_access_key_fqeas14oitk235763mntlb1c0brnk9w3fenzqbk313q5kvxyf52kukw1pa[Month],MONTH(Data!$A837),timeseries_access_key_fqeas14oitk235763mntlb1c0brnk9w3fenzqbk313q5kvxyf52kukw1pa[Year],YEAR(Data!$A837)),"")</f>
        <v/>
      </c>
      <c r="N837" s="2" t="str">
        <f>IFERROR(AVERAGEIFS(timeseries_access_key_fqeas14oitk235763mntlb1c0brnk9w3fenzqbk313q5kvxyf52kukw1pa[Column1],timeseries_access_key_fqeas14oitk235763mntlb1c0brnk9w3fenzqbk313q5kvxyf52kukw1pa[Month],MONTH(Data!$A837),timeseries_access_key_fqeas14oitk235763mntlb1c0brnk9w3fenzqbk313q5kvxyf52kukw1pa[Year],YEAR(Data!$A837)),"")</f>
        <v/>
      </c>
      <c r="O837" s="8" t="str">
        <f>IFERROR(VLOOKUP($A837,Text_1_2[[Text.1.1.3]:[Text.1.3]],2,FALSE),"")</f>
        <v/>
      </c>
      <c r="P837" s="2"/>
    </row>
    <row r="838" spans="1:16" x14ac:dyDescent="0.25">
      <c r="A838" s="1">
        <v>46631</v>
      </c>
      <c r="B838" t="str">
        <f>HLOOKUP(Dashboard!$I$27,results,ROW(A838),FALSE)</f>
        <v/>
      </c>
      <c r="C838" t="str">
        <f>IFERROR(VLOOKUP(A838,observations_series_id_PCU22112222112243_api_key_ecc133893ea92a842ee685c73424608[],2,FALSE),"")</f>
        <v/>
      </c>
      <c r="D838" s="2" t="str">
        <f>IFERROR(VLOOKUP(A838,observations_series_id_PCU22112222112243_api_key_ecc133893ea92a842ee685c73424608[],3,FALSE),"")</f>
        <v/>
      </c>
      <c r="E838" t="str">
        <f>IFERROR(VLOOKUP($A838,observations_series_id_WPU0613020T_api_key_ecc133893ea92a842ee685c734246086_file[],2,FALSE),"")</f>
        <v/>
      </c>
      <c r="F838" s="2" t="str">
        <f>IFERROR(VLOOKUP($A838,observations_series_id_WPU0613020T_api_key_ecc133893ea92a842ee685c734246086_file[],3,FALSE),"")</f>
        <v/>
      </c>
      <c r="G838" t="str">
        <f>IFERROR(VLOOKUP($A838,observations_series_id_PCU22122212_api_key_ecc133893ea92a842ee685c734246086_file[],2,FALSE),"")</f>
        <v/>
      </c>
      <c r="H838" s="2" t="str">
        <f>IFERROR(VLOOKUP($A838,observations_series_id_PCU22122212_api_key_ecc133893ea92a842ee685c734246086_file[],3,FALSE),"")</f>
        <v/>
      </c>
      <c r="I838" t="str">
        <f>IFERROR(VLOOKUP($A838,observations_series_id_PCU3241913241910_api_key_ecc133893ea92a842ee685c734246086[],2,FALSE),"")</f>
        <v/>
      </c>
      <c r="J838" s="2" t="str">
        <f>IFERROR(VLOOKUP($A838,observations_series_id_PCU3241913241910_api_key_ecc133893ea92a842ee685c734246086[],3,FALSE),"")</f>
        <v/>
      </c>
      <c r="K838" t="str">
        <f>IFERROR(VLOOKUP($A838,observations_series_id_EXJPUS_api_key_ecc133893ea92a842ee685c734246086_file_type[],2,FALSE),"")</f>
        <v/>
      </c>
      <c r="L838" s="2" t="str">
        <f>IFERROR(VLOOKUP($A838,observations_series_id_EXJPUS_api_key_ecc133893ea92a842ee685c734246086_file_type[],3,FALSE),"")</f>
        <v/>
      </c>
      <c r="M838" t="str">
        <f>IFERROR(AVERAGEIFS(timeseries_access_key_fqeas14oitk235763mntlb1c0brnk9w3fenzqbk313q5kvxyf52kukw1pa[Value.LME-ZNC],timeseries_access_key_fqeas14oitk235763mntlb1c0brnk9w3fenzqbk313q5kvxyf52kukw1pa[Month],MONTH(Data!$A838),timeseries_access_key_fqeas14oitk235763mntlb1c0brnk9w3fenzqbk313q5kvxyf52kukw1pa[Year],YEAR(Data!$A838)),"")</f>
        <v/>
      </c>
      <c r="N838" s="2" t="str">
        <f>IFERROR(AVERAGEIFS(timeseries_access_key_fqeas14oitk235763mntlb1c0brnk9w3fenzqbk313q5kvxyf52kukw1pa[Column1],timeseries_access_key_fqeas14oitk235763mntlb1c0brnk9w3fenzqbk313q5kvxyf52kukw1pa[Month],MONTH(Data!$A838),timeseries_access_key_fqeas14oitk235763mntlb1c0brnk9w3fenzqbk313q5kvxyf52kukw1pa[Year],YEAR(Data!$A838)),"")</f>
        <v/>
      </c>
      <c r="O838" s="8" t="str">
        <f>IFERROR(VLOOKUP($A838,Text_1_2[[Text.1.1.3]:[Text.1.3]],2,FALSE),"")</f>
        <v/>
      </c>
      <c r="P838" s="2"/>
    </row>
    <row r="839" spans="1:16" x14ac:dyDescent="0.25">
      <c r="A839" s="1">
        <v>46661</v>
      </c>
      <c r="B839" t="str">
        <f>HLOOKUP(Dashboard!$I$27,results,ROW(A839),FALSE)</f>
        <v/>
      </c>
      <c r="C839" t="str">
        <f>IFERROR(VLOOKUP(A839,observations_series_id_PCU22112222112243_api_key_ecc133893ea92a842ee685c73424608[],2,FALSE),"")</f>
        <v/>
      </c>
      <c r="D839" s="2" t="str">
        <f>IFERROR(VLOOKUP(A839,observations_series_id_PCU22112222112243_api_key_ecc133893ea92a842ee685c73424608[],3,FALSE),"")</f>
        <v/>
      </c>
      <c r="E839" t="str">
        <f>IFERROR(VLOOKUP($A839,observations_series_id_WPU0613020T_api_key_ecc133893ea92a842ee685c734246086_file[],2,FALSE),"")</f>
        <v/>
      </c>
      <c r="F839" s="2" t="str">
        <f>IFERROR(VLOOKUP($A839,observations_series_id_WPU0613020T_api_key_ecc133893ea92a842ee685c734246086_file[],3,FALSE),"")</f>
        <v/>
      </c>
      <c r="G839" t="str">
        <f>IFERROR(VLOOKUP($A839,observations_series_id_PCU22122212_api_key_ecc133893ea92a842ee685c734246086_file[],2,FALSE),"")</f>
        <v/>
      </c>
      <c r="H839" s="2" t="str">
        <f>IFERROR(VLOOKUP($A839,observations_series_id_PCU22122212_api_key_ecc133893ea92a842ee685c734246086_file[],3,FALSE),"")</f>
        <v/>
      </c>
      <c r="I839" t="str">
        <f>IFERROR(VLOOKUP($A839,observations_series_id_PCU3241913241910_api_key_ecc133893ea92a842ee685c734246086[],2,FALSE),"")</f>
        <v/>
      </c>
      <c r="J839" s="2" t="str">
        <f>IFERROR(VLOOKUP($A839,observations_series_id_PCU3241913241910_api_key_ecc133893ea92a842ee685c734246086[],3,FALSE),"")</f>
        <v/>
      </c>
      <c r="K839" t="str">
        <f>IFERROR(VLOOKUP($A839,observations_series_id_EXJPUS_api_key_ecc133893ea92a842ee685c734246086_file_type[],2,FALSE),"")</f>
        <v/>
      </c>
      <c r="L839" s="2" t="str">
        <f>IFERROR(VLOOKUP($A839,observations_series_id_EXJPUS_api_key_ecc133893ea92a842ee685c734246086_file_type[],3,FALSE),"")</f>
        <v/>
      </c>
      <c r="M839" t="str">
        <f>IFERROR(AVERAGEIFS(timeseries_access_key_fqeas14oitk235763mntlb1c0brnk9w3fenzqbk313q5kvxyf52kukw1pa[Value.LME-ZNC],timeseries_access_key_fqeas14oitk235763mntlb1c0brnk9w3fenzqbk313q5kvxyf52kukw1pa[Month],MONTH(Data!$A839),timeseries_access_key_fqeas14oitk235763mntlb1c0brnk9w3fenzqbk313q5kvxyf52kukw1pa[Year],YEAR(Data!$A839)),"")</f>
        <v/>
      </c>
      <c r="N839" s="2" t="str">
        <f>IFERROR(AVERAGEIFS(timeseries_access_key_fqeas14oitk235763mntlb1c0brnk9w3fenzqbk313q5kvxyf52kukw1pa[Column1],timeseries_access_key_fqeas14oitk235763mntlb1c0brnk9w3fenzqbk313q5kvxyf52kukw1pa[Month],MONTH(Data!$A839),timeseries_access_key_fqeas14oitk235763mntlb1c0brnk9w3fenzqbk313q5kvxyf52kukw1pa[Year],YEAR(Data!$A839)),"")</f>
        <v/>
      </c>
      <c r="O839" s="8" t="str">
        <f>IFERROR(VLOOKUP($A839,Text_1_2[[Text.1.1.3]:[Text.1.3]],2,FALSE),"")</f>
        <v/>
      </c>
      <c r="P839" s="2"/>
    </row>
    <row r="840" spans="1:16" x14ac:dyDescent="0.25">
      <c r="A840" s="1">
        <v>46692</v>
      </c>
      <c r="B840" t="str">
        <f>HLOOKUP(Dashboard!$I$27,results,ROW(A840),FALSE)</f>
        <v/>
      </c>
      <c r="C840" t="str">
        <f>IFERROR(VLOOKUP(A840,observations_series_id_PCU22112222112243_api_key_ecc133893ea92a842ee685c73424608[],2,FALSE),"")</f>
        <v/>
      </c>
      <c r="D840" s="2" t="str">
        <f>IFERROR(VLOOKUP(A840,observations_series_id_PCU22112222112243_api_key_ecc133893ea92a842ee685c73424608[],3,FALSE),"")</f>
        <v/>
      </c>
      <c r="E840" t="str">
        <f>IFERROR(VLOOKUP($A840,observations_series_id_WPU0613020T_api_key_ecc133893ea92a842ee685c734246086_file[],2,FALSE),"")</f>
        <v/>
      </c>
      <c r="F840" s="2" t="str">
        <f>IFERROR(VLOOKUP($A840,observations_series_id_WPU0613020T_api_key_ecc133893ea92a842ee685c734246086_file[],3,FALSE),"")</f>
        <v/>
      </c>
      <c r="G840" t="str">
        <f>IFERROR(VLOOKUP($A840,observations_series_id_PCU22122212_api_key_ecc133893ea92a842ee685c734246086_file[],2,FALSE),"")</f>
        <v/>
      </c>
      <c r="H840" s="2" t="str">
        <f>IFERROR(VLOOKUP($A840,observations_series_id_PCU22122212_api_key_ecc133893ea92a842ee685c734246086_file[],3,FALSE),"")</f>
        <v/>
      </c>
      <c r="I840" t="str">
        <f>IFERROR(VLOOKUP($A840,observations_series_id_PCU3241913241910_api_key_ecc133893ea92a842ee685c734246086[],2,FALSE),"")</f>
        <v/>
      </c>
      <c r="J840" s="2" t="str">
        <f>IFERROR(VLOOKUP($A840,observations_series_id_PCU3241913241910_api_key_ecc133893ea92a842ee685c734246086[],3,FALSE),"")</f>
        <v/>
      </c>
      <c r="K840" t="str">
        <f>IFERROR(VLOOKUP($A840,observations_series_id_EXJPUS_api_key_ecc133893ea92a842ee685c734246086_file_type[],2,FALSE),"")</f>
        <v/>
      </c>
      <c r="L840" s="2" t="str">
        <f>IFERROR(VLOOKUP($A840,observations_series_id_EXJPUS_api_key_ecc133893ea92a842ee685c734246086_file_type[],3,FALSE),"")</f>
        <v/>
      </c>
      <c r="M840" t="str">
        <f>IFERROR(AVERAGEIFS(timeseries_access_key_fqeas14oitk235763mntlb1c0brnk9w3fenzqbk313q5kvxyf52kukw1pa[Value.LME-ZNC],timeseries_access_key_fqeas14oitk235763mntlb1c0brnk9w3fenzqbk313q5kvxyf52kukw1pa[Month],MONTH(Data!$A840),timeseries_access_key_fqeas14oitk235763mntlb1c0brnk9w3fenzqbk313q5kvxyf52kukw1pa[Year],YEAR(Data!$A840)),"")</f>
        <v/>
      </c>
      <c r="N840" s="2" t="str">
        <f>IFERROR(AVERAGEIFS(timeseries_access_key_fqeas14oitk235763mntlb1c0brnk9w3fenzqbk313q5kvxyf52kukw1pa[Column1],timeseries_access_key_fqeas14oitk235763mntlb1c0brnk9w3fenzqbk313q5kvxyf52kukw1pa[Month],MONTH(Data!$A840),timeseries_access_key_fqeas14oitk235763mntlb1c0brnk9w3fenzqbk313q5kvxyf52kukw1pa[Year],YEAR(Data!$A840)),"")</f>
        <v/>
      </c>
      <c r="O840" s="8" t="str">
        <f>IFERROR(VLOOKUP($A840,Text_1_2[[Text.1.1.3]:[Text.1.3]],2,FALSE),"")</f>
        <v/>
      </c>
      <c r="P840" s="2"/>
    </row>
    <row r="841" spans="1:16" x14ac:dyDescent="0.25">
      <c r="A841" s="1">
        <v>46722</v>
      </c>
      <c r="B841" t="str">
        <f>HLOOKUP(Dashboard!$I$27,results,ROW(A841),FALSE)</f>
        <v/>
      </c>
      <c r="C841" t="str">
        <f>IFERROR(VLOOKUP(A841,observations_series_id_PCU22112222112243_api_key_ecc133893ea92a842ee685c73424608[],2,FALSE),"")</f>
        <v/>
      </c>
      <c r="D841" s="2" t="str">
        <f>IFERROR(VLOOKUP(A841,observations_series_id_PCU22112222112243_api_key_ecc133893ea92a842ee685c73424608[],3,FALSE),"")</f>
        <v/>
      </c>
      <c r="E841" t="str">
        <f>IFERROR(VLOOKUP($A841,observations_series_id_WPU0613020T_api_key_ecc133893ea92a842ee685c734246086_file[],2,FALSE),"")</f>
        <v/>
      </c>
      <c r="F841" s="2" t="str">
        <f>IFERROR(VLOOKUP($A841,observations_series_id_WPU0613020T_api_key_ecc133893ea92a842ee685c734246086_file[],3,FALSE),"")</f>
        <v/>
      </c>
      <c r="G841" t="str">
        <f>IFERROR(VLOOKUP($A841,observations_series_id_PCU22122212_api_key_ecc133893ea92a842ee685c734246086_file[],2,FALSE),"")</f>
        <v/>
      </c>
      <c r="H841" s="2" t="str">
        <f>IFERROR(VLOOKUP($A841,observations_series_id_PCU22122212_api_key_ecc133893ea92a842ee685c734246086_file[],3,FALSE),"")</f>
        <v/>
      </c>
      <c r="I841" t="str">
        <f>IFERROR(VLOOKUP($A841,observations_series_id_PCU3241913241910_api_key_ecc133893ea92a842ee685c734246086[],2,FALSE),"")</f>
        <v/>
      </c>
      <c r="J841" s="2" t="str">
        <f>IFERROR(VLOOKUP($A841,observations_series_id_PCU3241913241910_api_key_ecc133893ea92a842ee685c734246086[],3,FALSE),"")</f>
        <v/>
      </c>
      <c r="K841" t="str">
        <f>IFERROR(VLOOKUP($A841,observations_series_id_EXJPUS_api_key_ecc133893ea92a842ee685c734246086_file_type[],2,FALSE),"")</f>
        <v/>
      </c>
      <c r="L841" s="2" t="str">
        <f>IFERROR(VLOOKUP($A841,observations_series_id_EXJPUS_api_key_ecc133893ea92a842ee685c734246086_file_type[],3,FALSE),"")</f>
        <v/>
      </c>
      <c r="M841" t="str">
        <f>IFERROR(AVERAGEIFS(timeseries_access_key_fqeas14oitk235763mntlb1c0brnk9w3fenzqbk313q5kvxyf52kukw1pa[Value.LME-ZNC],timeseries_access_key_fqeas14oitk235763mntlb1c0brnk9w3fenzqbk313q5kvxyf52kukw1pa[Month],MONTH(Data!$A841),timeseries_access_key_fqeas14oitk235763mntlb1c0brnk9w3fenzqbk313q5kvxyf52kukw1pa[Year],YEAR(Data!$A841)),"")</f>
        <v/>
      </c>
      <c r="N841" s="2" t="str">
        <f>IFERROR(AVERAGEIFS(timeseries_access_key_fqeas14oitk235763mntlb1c0brnk9w3fenzqbk313q5kvxyf52kukw1pa[Column1],timeseries_access_key_fqeas14oitk235763mntlb1c0brnk9w3fenzqbk313q5kvxyf52kukw1pa[Month],MONTH(Data!$A841),timeseries_access_key_fqeas14oitk235763mntlb1c0brnk9w3fenzqbk313q5kvxyf52kukw1pa[Year],YEAR(Data!$A841)),"")</f>
        <v/>
      </c>
      <c r="O841" s="8" t="str">
        <f>IFERROR(VLOOKUP($A841,Text_1_2[[Text.1.1.3]:[Text.1.3]],2,FALSE),"")</f>
        <v/>
      </c>
      <c r="P841" s="2"/>
    </row>
    <row r="842" spans="1:16" x14ac:dyDescent="0.25">
      <c r="A842" s="1">
        <v>46753</v>
      </c>
      <c r="B842" t="str">
        <f>HLOOKUP(Dashboard!$I$27,results,ROW(A842),FALSE)</f>
        <v/>
      </c>
      <c r="C842" t="str">
        <f>IFERROR(VLOOKUP(A842,observations_series_id_PCU22112222112243_api_key_ecc133893ea92a842ee685c73424608[],2,FALSE),"")</f>
        <v/>
      </c>
      <c r="D842" s="2" t="str">
        <f>IFERROR(VLOOKUP(A842,observations_series_id_PCU22112222112243_api_key_ecc133893ea92a842ee685c73424608[],3,FALSE),"")</f>
        <v/>
      </c>
      <c r="E842" t="str">
        <f>IFERROR(VLOOKUP($A842,observations_series_id_WPU0613020T_api_key_ecc133893ea92a842ee685c734246086_file[],2,FALSE),"")</f>
        <v/>
      </c>
      <c r="F842" s="2" t="str">
        <f>IFERROR(VLOOKUP($A842,observations_series_id_WPU0613020T_api_key_ecc133893ea92a842ee685c734246086_file[],3,FALSE),"")</f>
        <v/>
      </c>
      <c r="G842" t="str">
        <f>IFERROR(VLOOKUP($A842,observations_series_id_PCU22122212_api_key_ecc133893ea92a842ee685c734246086_file[],2,FALSE),"")</f>
        <v/>
      </c>
      <c r="H842" s="2" t="str">
        <f>IFERROR(VLOOKUP($A842,observations_series_id_PCU22122212_api_key_ecc133893ea92a842ee685c734246086_file[],3,FALSE),"")</f>
        <v/>
      </c>
      <c r="I842" t="str">
        <f>IFERROR(VLOOKUP($A842,observations_series_id_PCU3241913241910_api_key_ecc133893ea92a842ee685c734246086[],2,FALSE),"")</f>
        <v/>
      </c>
      <c r="J842" s="2" t="str">
        <f>IFERROR(VLOOKUP($A842,observations_series_id_PCU3241913241910_api_key_ecc133893ea92a842ee685c734246086[],3,FALSE),"")</f>
        <v/>
      </c>
      <c r="K842" t="str">
        <f>IFERROR(VLOOKUP($A842,observations_series_id_EXJPUS_api_key_ecc133893ea92a842ee685c734246086_file_type[],2,FALSE),"")</f>
        <v/>
      </c>
      <c r="L842" s="2" t="str">
        <f>IFERROR(VLOOKUP($A842,observations_series_id_EXJPUS_api_key_ecc133893ea92a842ee685c734246086_file_type[],3,FALSE),"")</f>
        <v/>
      </c>
      <c r="M842" t="str">
        <f>IFERROR(AVERAGEIFS(timeseries_access_key_fqeas14oitk235763mntlb1c0brnk9w3fenzqbk313q5kvxyf52kukw1pa[Value.LME-ZNC],timeseries_access_key_fqeas14oitk235763mntlb1c0brnk9w3fenzqbk313q5kvxyf52kukw1pa[Month],MONTH(Data!$A842),timeseries_access_key_fqeas14oitk235763mntlb1c0brnk9w3fenzqbk313q5kvxyf52kukw1pa[Year],YEAR(Data!$A842)),"")</f>
        <v/>
      </c>
      <c r="N842" s="2" t="str">
        <f>IFERROR(AVERAGEIFS(timeseries_access_key_fqeas14oitk235763mntlb1c0brnk9w3fenzqbk313q5kvxyf52kukw1pa[Column1],timeseries_access_key_fqeas14oitk235763mntlb1c0brnk9w3fenzqbk313q5kvxyf52kukw1pa[Month],MONTH(Data!$A842),timeseries_access_key_fqeas14oitk235763mntlb1c0brnk9w3fenzqbk313q5kvxyf52kukw1pa[Year],YEAR(Data!$A842)),"")</f>
        <v/>
      </c>
      <c r="O842" s="8" t="str">
        <f>IFERROR(VLOOKUP($A842,Text_1_2[[Text.1.1.3]:[Text.1.3]],2,FALSE),"")</f>
        <v/>
      </c>
      <c r="P842" s="2"/>
    </row>
    <row r="843" spans="1:16" x14ac:dyDescent="0.25">
      <c r="A843" s="1">
        <v>46784</v>
      </c>
      <c r="B843" t="str">
        <f>HLOOKUP(Dashboard!$I$27,results,ROW(A843),FALSE)</f>
        <v/>
      </c>
      <c r="C843" t="str">
        <f>IFERROR(VLOOKUP(A843,observations_series_id_PCU22112222112243_api_key_ecc133893ea92a842ee685c73424608[],2,FALSE),"")</f>
        <v/>
      </c>
      <c r="D843" s="2" t="str">
        <f>IFERROR(VLOOKUP(A843,observations_series_id_PCU22112222112243_api_key_ecc133893ea92a842ee685c73424608[],3,FALSE),"")</f>
        <v/>
      </c>
      <c r="E843" t="str">
        <f>IFERROR(VLOOKUP($A843,observations_series_id_WPU0613020T_api_key_ecc133893ea92a842ee685c734246086_file[],2,FALSE),"")</f>
        <v/>
      </c>
      <c r="F843" s="2" t="str">
        <f>IFERROR(VLOOKUP($A843,observations_series_id_WPU0613020T_api_key_ecc133893ea92a842ee685c734246086_file[],3,FALSE),"")</f>
        <v/>
      </c>
      <c r="G843" t="str">
        <f>IFERROR(VLOOKUP($A843,observations_series_id_PCU22122212_api_key_ecc133893ea92a842ee685c734246086_file[],2,FALSE),"")</f>
        <v/>
      </c>
      <c r="H843" s="2" t="str">
        <f>IFERROR(VLOOKUP($A843,observations_series_id_PCU22122212_api_key_ecc133893ea92a842ee685c734246086_file[],3,FALSE),"")</f>
        <v/>
      </c>
      <c r="I843" t="str">
        <f>IFERROR(VLOOKUP($A843,observations_series_id_PCU3241913241910_api_key_ecc133893ea92a842ee685c734246086[],2,FALSE),"")</f>
        <v/>
      </c>
      <c r="J843" s="2" t="str">
        <f>IFERROR(VLOOKUP($A843,observations_series_id_PCU3241913241910_api_key_ecc133893ea92a842ee685c734246086[],3,FALSE),"")</f>
        <v/>
      </c>
      <c r="K843" t="str">
        <f>IFERROR(VLOOKUP($A843,observations_series_id_EXJPUS_api_key_ecc133893ea92a842ee685c734246086_file_type[],2,FALSE),"")</f>
        <v/>
      </c>
      <c r="L843" s="2" t="str">
        <f>IFERROR(VLOOKUP($A843,observations_series_id_EXJPUS_api_key_ecc133893ea92a842ee685c734246086_file_type[],3,FALSE),"")</f>
        <v/>
      </c>
      <c r="M843" t="str">
        <f>IFERROR(AVERAGEIFS(timeseries_access_key_fqeas14oitk235763mntlb1c0brnk9w3fenzqbk313q5kvxyf52kukw1pa[Value.LME-ZNC],timeseries_access_key_fqeas14oitk235763mntlb1c0brnk9w3fenzqbk313q5kvxyf52kukw1pa[Month],MONTH(Data!$A843),timeseries_access_key_fqeas14oitk235763mntlb1c0brnk9w3fenzqbk313q5kvxyf52kukw1pa[Year],YEAR(Data!$A843)),"")</f>
        <v/>
      </c>
      <c r="N843" s="2" t="str">
        <f>IFERROR(AVERAGEIFS(timeseries_access_key_fqeas14oitk235763mntlb1c0brnk9w3fenzqbk313q5kvxyf52kukw1pa[Column1],timeseries_access_key_fqeas14oitk235763mntlb1c0brnk9w3fenzqbk313q5kvxyf52kukw1pa[Month],MONTH(Data!$A843),timeseries_access_key_fqeas14oitk235763mntlb1c0brnk9w3fenzqbk313q5kvxyf52kukw1pa[Year],YEAR(Data!$A843)),"")</f>
        <v/>
      </c>
      <c r="O843" s="8" t="str">
        <f>IFERROR(VLOOKUP($A843,Text_1_2[[Text.1.1.3]:[Text.1.3]],2,FALSE),"")</f>
        <v/>
      </c>
      <c r="P843" s="2"/>
    </row>
    <row r="844" spans="1:16" x14ac:dyDescent="0.25">
      <c r="A844" s="1">
        <v>46813</v>
      </c>
      <c r="B844" t="str">
        <f>HLOOKUP(Dashboard!$I$27,results,ROW(A844),FALSE)</f>
        <v/>
      </c>
      <c r="C844" t="str">
        <f>IFERROR(VLOOKUP(A844,observations_series_id_PCU22112222112243_api_key_ecc133893ea92a842ee685c73424608[],2,FALSE),"")</f>
        <v/>
      </c>
      <c r="D844" s="2" t="str">
        <f>IFERROR(VLOOKUP(A844,observations_series_id_PCU22112222112243_api_key_ecc133893ea92a842ee685c73424608[],3,FALSE),"")</f>
        <v/>
      </c>
      <c r="E844" t="str">
        <f>IFERROR(VLOOKUP($A844,observations_series_id_WPU0613020T_api_key_ecc133893ea92a842ee685c734246086_file[],2,FALSE),"")</f>
        <v/>
      </c>
      <c r="F844" s="2" t="str">
        <f>IFERROR(VLOOKUP($A844,observations_series_id_WPU0613020T_api_key_ecc133893ea92a842ee685c734246086_file[],3,FALSE),"")</f>
        <v/>
      </c>
      <c r="G844" t="str">
        <f>IFERROR(VLOOKUP($A844,observations_series_id_PCU22122212_api_key_ecc133893ea92a842ee685c734246086_file[],2,FALSE),"")</f>
        <v/>
      </c>
      <c r="H844" s="2" t="str">
        <f>IFERROR(VLOOKUP($A844,observations_series_id_PCU22122212_api_key_ecc133893ea92a842ee685c734246086_file[],3,FALSE),"")</f>
        <v/>
      </c>
      <c r="I844" t="str">
        <f>IFERROR(VLOOKUP($A844,observations_series_id_PCU3241913241910_api_key_ecc133893ea92a842ee685c734246086[],2,FALSE),"")</f>
        <v/>
      </c>
      <c r="J844" s="2" t="str">
        <f>IFERROR(VLOOKUP($A844,observations_series_id_PCU3241913241910_api_key_ecc133893ea92a842ee685c734246086[],3,FALSE),"")</f>
        <v/>
      </c>
      <c r="K844" t="str">
        <f>IFERROR(VLOOKUP($A844,observations_series_id_EXJPUS_api_key_ecc133893ea92a842ee685c734246086_file_type[],2,FALSE),"")</f>
        <v/>
      </c>
      <c r="L844" s="2" t="str">
        <f>IFERROR(VLOOKUP($A844,observations_series_id_EXJPUS_api_key_ecc133893ea92a842ee685c734246086_file_type[],3,FALSE),"")</f>
        <v/>
      </c>
      <c r="M844" t="str">
        <f>IFERROR(AVERAGEIFS(timeseries_access_key_fqeas14oitk235763mntlb1c0brnk9w3fenzqbk313q5kvxyf52kukw1pa[Value.LME-ZNC],timeseries_access_key_fqeas14oitk235763mntlb1c0brnk9w3fenzqbk313q5kvxyf52kukw1pa[Month],MONTH(Data!$A844),timeseries_access_key_fqeas14oitk235763mntlb1c0brnk9w3fenzqbk313q5kvxyf52kukw1pa[Year],YEAR(Data!$A844)),"")</f>
        <v/>
      </c>
      <c r="N844" s="2" t="str">
        <f>IFERROR(AVERAGEIFS(timeseries_access_key_fqeas14oitk235763mntlb1c0brnk9w3fenzqbk313q5kvxyf52kukw1pa[Column1],timeseries_access_key_fqeas14oitk235763mntlb1c0brnk9w3fenzqbk313q5kvxyf52kukw1pa[Month],MONTH(Data!$A844),timeseries_access_key_fqeas14oitk235763mntlb1c0brnk9w3fenzqbk313q5kvxyf52kukw1pa[Year],YEAR(Data!$A844)),"")</f>
        <v/>
      </c>
      <c r="O844" s="8" t="str">
        <f>IFERROR(VLOOKUP($A844,Text_1_2[[Text.1.1.3]:[Text.1.3]],2,FALSE),"")</f>
        <v/>
      </c>
      <c r="P844" s="2"/>
    </row>
    <row r="845" spans="1:16" x14ac:dyDescent="0.25">
      <c r="A845" s="1">
        <v>46844</v>
      </c>
      <c r="B845" t="str">
        <f>HLOOKUP(Dashboard!$I$27,results,ROW(A845),FALSE)</f>
        <v/>
      </c>
      <c r="C845" t="str">
        <f>IFERROR(VLOOKUP(A845,observations_series_id_PCU22112222112243_api_key_ecc133893ea92a842ee685c73424608[],2,FALSE),"")</f>
        <v/>
      </c>
      <c r="D845" s="2" t="str">
        <f>IFERROR(VLOOKUP(A845,observations_series_id_PCU22112222112243_api_key_ecc133893ea92a842ee685c73424608[],3,FALSE),"")</f>
        <v/>
      </c>
      <c r="E845" t="str">
        <f>IFERROR(VLOOKUP($A845,observations_series_id_WPU0613020T_api_key_ecc133893ea92a842ee685c734246086_file[],2,FALSE),"")</f>
        <v/>
      </c>
      <c r="F845" s="2" t="str">
        <f>IFERROR(VLOOKUP($A845,observations_series_id_WPU0613020T_api_key_ecc133893ea92a842ee685c734246086_file[],3,FALSE),"")</f>
        <v/>
      </c>
      <c r="G845" t="str">
        <f>IFERROR(VLOOKUP($A845,observations_series_id_PCU22122212_api_key_ecc133893ea92a842ee685c734246086_file[],2,FALSE),"")</f>
        <v/>
      </c>
      <c r="H845" s="2" t="str">
        <f>IFERROR(VLOOKUP($A845,observations_series_id_PCU22122212_api_key_ecc133893ea92a842ee685c734246086_file[],3,FALSE),"")</f>
        <v/>
      </c>
      <c r="I845" t="str">
        <f>IFERROR(VLOOKUP($A845,observations_series_id_PCU3241913241910_api_key_ecc133893ea92a842ee685c734246086[],2,FALSE),"")</f>
        <v/>
      </c>
      <c r="J845" s="2" t="str">
        <f>IFERROR(VLOOKUP($A845,observations_series_id_PCU3241913241910_api_key_ecc133893ea92a842ee685c734246086[],3,FALSE),"")</f>
        <v/>
      </c>
      <c r="K845" t="str">
        <f>IFERROR(VLOOKUP($A845,observations_series_id_EXJPUS_api_key_ecc133893ea92a842ee685c734246086_file_type[],2,FALSE),"")</f>
        <v/>
      </c>
      <c r="L845" s="2" t="str">
        <f>IFERROR(VLOOKUP($A845,observations_series_id_EXJPUS_api_key_ecc133893ea92a842ee685c734246086_file_type[],3,FALSE),"")</f>
        <v/>
      </c>
      <c r="M845" t="str">
        <f>IFERROR(AVERAGEIFS(timeseries_access_key_fqeas14oitk235763mntlb1c0brnk9w3fenzqbk313q5kvxyf52kukw1pa[Value.LME-ZNC],timeseries_access_key_fqeas14oitk235763mntlb1c0brnk9w3fenzqbk313q5kvxyf52kukw1pa[Month],MONTH(Data!$A845),timeseries_access_key_fqeas14oitk235763mntlb1c0brnk9w3fenzqbk313q5kvxyf52kukw1pa[Year],YEAR(Data!$A845)),"")</f>
        <v/>
      </c>
      <c r="N845" s="2" t="str">
        <f>IFERROR(AVERAGEIFS(timeseries_access_key_fqeas14oitk235763mntlb1c0brnk9w3fenzqbk313q5kvxyf52kukw1pa[Column1],timeseries_access_key_fqeas14oitk235763mntlb1c0brnk9w3fenzqbk313q5kvxyf52kukw1pa[Month],MONTH(Data!$A845),timeseries_access_key_fqeas14oitk235763mntlb1c0brnk9w3fenzqbk313q5kvxyf52kukw1pa[Year],YEAR(Data!$A845)),"")</f>
        <v/>
      </c>
      <c r="O845" s="8" t="str">
        <f>IFERROR(VLOOKUP($A845,Text_1_2[[Text.1.1.3]:[Text.1.3]],2,FALSE),"")</f>
        <v/>
      </c>
      <c r="P845" s="2"/>
    </row>
    <row r="846" spans="1:16" x14ac:dyDescent="0.25">
      <c r="A846" s="1">
        <v>46874</v>
      </c>
      <c r="B846" t="str">
        <f>HLOOKUP(Dashboard!$I$27,results,ROW(A846),FALSE)</f>
        <v/>
      </c>
      <c r="C846" t="str">
        <f>IFERROR(VLOOKUP(A846,observations_series_id_PCU22112222112243_api_key_ecc133893ea92a842ee685c73424608[],2,FALSE),"")</f>
        <v/>
      </c>
      <c r="D846" s="2" t="str">
        <f>IFERROR(VLOOKUP(A846,observations_series_id_PCU22112222112243_api_key_ecc133893ea92a842ee685c73424608[],3,FALSE),"")</f>
        <v/>
      </c>
      <c r="E846" t="str">
        <f>IFERROR(VLOOKUP($A846,observations_series_id_WPU0613020T_api_key_ecc133893ea92a842ee685c734246086_file[],2,FALSE),"")</f>
        <v/>
      </c>
      <c r="F846" s="2" t="str">
        <f>IFERROR(VLOOKUP($A846,observations_series_id_WPU0613020T_api_key_ecc133893ea92a842ee685c734246086_file[],3,FALSE),"")</f>
        <v/>
      </c>
      <c r="G846" t="str">
        <f>IFERROR(VLOOKUP($A846,observations_series_id_PCU22122212_api_key_ecc133893ea92a842ee685c734246086_file[],2,FALSE),"")</f>
        <v/>
      </c>
      <c r="H846" s="2" t="str">
        <f>IFERROR(VLOOKUP($A846,observations_series_id_PCU22122212_api_key_ecc133893ea92a842ee685c734246086_file[],3,FALSE),"")</f>
        <v/>
      </c>
      <c r="I846" t="str">
        <f>IFERROR(VLOOKUP($A846,observations_series_id_PCU3241913241910_api_key_ecc133893ea92a842ee685c734246086[],2,FALSE),"")</f>
        <v/>
      </c>
      <c r="J846" s="2" t="str">
        <f>IFERROR(VLOOKUP($A846,observations_series_id_PCU3241913241910_api_key_ecc133893ea92a842ee685c734246086[],3,FALSE),"")</f>
        <v/>
      </c>
      <c r="K846" t="str">
        <f>IFERROR(VLOOKUP($A846,observations_series_id_EXJPUS_api_key_ecc133893ea92a842ee685c734246086_file_type[],2,FALSE),"")</f>
        <v/>
      </c>
      <c r="L846" s="2" t="str">
        <f>IFERROR(VLOOKUP($A846,observations_series_id_EXJPUS_api_key_ecc133893ea92a842ee685c734246086_file_type[],3,FALSE),"")</f>
        <v/>
      </c>
      <c r="M846" t="str">
        <f>IFERROR(AVERAGEIFS(timeseries_access_key_fqeas14oitk235763mntlb1c0brnk9w3fenzqbk313q5kvxyf52kukw1pa[Value.LME-ZNC],timeseries_access_key_fqeas14oitk235763mntlb1c0brnk9w3fenzqbk313q5kvxyf52kukw1pa[Month],MONTH(Data!$A846),timeseries_access_key_fqeas14oitk235763mntlb1c0brnk9w3fenzqbk313q5kvxyf52kukw1pa[Year],YEAR(Data!$A846)),"")</f>
        <v/>
      </c>
      <c r="N846" s="2" t="str">
        <f>IFERROR(AVERAGEIFS(timeseries_access_key_fqeas14oitk235763mntlb1c0brnk9w3fenzqbk313q5kvxyf52kukw1pa[Column1],timeseries_access_key_fqeas14oitk235763mntlb1c0brnk9w3fenzqbk313q5kvxyf52kukw1pa[Month],MONTH(Data!$A846),timeseries_access_key_fqeas14oitk235763mntlb1c0brnk9w3fenzqbk313q5kvxyf52kukw1pa[Year],YEAR(Data!$A846)),"")</f>
        <v/>
      </c>
      <c r="O846" s="8" t="str">
        <f>IFERROR(VLOOKUP($A846,Text_1_2[[Text.1.1.3]:[Text.1.3]],2,FALSE),"")</f>
        <v/>
      </c>
      <c r="P846" s="2"/>
    </row>
    <row r="847" spans="1:16" x14ac:dyDescent="0.25">
      <c r="A847" s="1">
        <v>46905</v>
      </c>
      <c r="B847" t="str">
        <f>HLOOKUP(Dashboard!$I$27,results,ROW(A847),FALSE)</f>
        <v/>
      </c>
      <c r="C847" t="str">
        <f>IFERROR(VLOOKUP(A847,observations_series_id_PCU22112222112243_api_key_ecc133893ea92a842ee685c73424608[],2,FALSE),"")</f>
        <v/>
      </c>
      <c r="D847" s="2" t="str">
        <f>IFERROR(VLOOKUP(A847,observations_series_id_PCU22112222112243_api_key_ecc133893ea92a842ee685c73424608[],3,FALSE),"")</f>
        <v/>
      </c>
      <c r="E847" t="str">
        <f>IFERROR(VLOOKUP($A847,observations_series_id_WPU0613020T_api_key_ecc133893ea92a842ee685c734246086_file[],2,FALSE),"")</f>
        <v/>
      </c>
      <c r="F847" s="2" t="str">
        <f>IFERROR(VLOOKUP($A847,observations_series_id_WPU0613020T_api_key_ecc133893ea92a842ee685c734246086_file[],3,FALSE),"")</f>
        <v/>
      </c>
      <c r="G847" t="str">
        <f>IFERROR(VLOOKUP($A847,observations_series_id_PCU22122212_api_key_ecc133893ea92a842ee685c734246086_file[],2,FALSE),"")</f>
        <v/>
      </c>
      <c r="H847" s="2" t="str">
        <f>IFERROR(VLOOKUP($A847,observations_series_id_PCU22122212_api_key_ecc133893ea92a842ee685c734246086_file[],3,FALSE),"")</f>
        <v/>
      </c>
      <c r="I847" t="str">
        <f>IFERROR(VLOOKUP($A847,observations_series_id_PCU3241913241910_api_key_ecc133893ea92a842ee685c734246086[],2,FALSE),"")</f>
        <v/>
      </c>
      <c r="J847" s="2" t="str">
        <f>IFERROR(VLOOKUP($A847,observations_series_id_PCU3241913241910_api_key_ecc133893ea92a842ee685c734246086[],3,FALSE),"")</f>
        <v/>
      </c>
      <c r="K847" t="str">
        <f>IFERROR(VLOOKUP($A847,observations_series_id_EXJPUS_api_key_ecc133893ea92a842ee685c734246086_file_type[],2,FALSE),"")</f>
        <v/>
      </c>
      <c r="L847" s="2" t="str">
        <f>IFERROR(VLOOKUP($A847,observations_series_id_EXJPUS_api_key_ecc133893ea92a842ee685c734246086_file_type[],3,FALSE),"")</f>
        <v/>
      </c>
      <c r="M847" t="str">
        <f>IFERROR(AVERAGEIFS(timeseries_access_key_fqeas14oitk235763mntlb1c0brnk9w3fenzqbk313q5kvxyf52kukw1pa[Value.LME-ZNC],timeseries_access_key_fqeas14oitk235763mntlb1c0brnk9w3fenzqbk313q5kvxyf52kukw1pa[Month],MONTH(Data!$A847),timeseries_access_key_fqeas14oitk235763mntlb1c0brnk9w3fenzqbk313q5kvxyf52kukw1pa[Year],YEAR(Data!$A847)),"")</f>
        <v/>
      </c>
      <c r="N847" s="2" t="str">
        <f>IFERROR(AVERAGEIFS(timeseries_access_key_fqeas14oitk235763mntlb1c0brnk9w3fenzqbk313q5kvxyf52kukw1pa[Column1],timeseries_access_key_fqeas14oitk235763mntlb1c0brnk9w3fenzqbk313q5kvxyf52kukw1pa[Month],MONTH(Data!$A847),timeseries_access_key_fqeas14oitk235763mntlb1c0brnk9w3fenzqbk313q5kvxyf52kukw1pa[Year],YEAR(Data!$A847)),"")</f>
        <v/>
      </c>
      <c r="O847" s="8" t="str">
        <f>IFERROR(VLOOKUP($A847,Text_1_2[[Text.1.1.3]:[Text.1.3]],2,FALSE),"")</f>
        <v/>
      </c>
      <c r="P847" s="2"/>
    </row>
    <row r="848" spans="1:16" x14ac:dyDescent="0.25">
      <c r="A848" s="1">
        <v>46935</v>
      </c>
      <c r="B848" t="str">
        <f>HLOOKUP(Dashboard!$I$27,results,ROW(A848),FALSE)</f>
        <v/>
      </c>
      <c r="C848" t="str">
        <f>IFERROR(VLOOKUP(A848,observations_series_id_PCU22112222112243_api_key_ecc133893ea92a842ee685c73424608[],2,FALSE),"")</f>
        <v/>
      </c>
      <c r="D848" s="2" t="str">
        <f>IFERROR(VLOOKUP(A848,observations_series_id_PCU22112222112243_api_key_ecc133893ea92a842ee685c73424608[],3,FALSE),"")</f>
        <v/>
      </c>
      <c r="E848" t="str">
        <f>IFERROR(VLOOKUP($A848,observations_series_id_WPU0613020T_api_key_ecc133893ea92a842ee685c734246086_file[],2,FALSE),"")</f>
        <v/>
      </c>
      <c r="F848" s="2" t="str">
        <f>IFERROR(VLOOKUP($A848,observations_series_id_WPU0613020T_api_key_ecc133893ea92a842ee685c734246086_file[],3,FALSE),"")</f>
        <v/>
      </c>
      <c r="G848" t="str">
        <f>IFERROR(VLOOKUP($A848,observations_series_id_PCU22122212_api_key_ecc133893ea92a842ee685c734246086_file[],2,FALSE),"")</f>
        <v/>
      </c>
      <c r="H848" s="2" t="str">
        <f>IFERROR(VLOOKUP($A848,observations_series_id_PCU22122212_api_key_ecc133893ea92a842ee685c734246086_file[],3,FALSE),"")</f>
        <v/>
      </c>
      <c r="I848" t="str">
        <f>IFERROR(VLOOKUP($A848,observations_series_id_PCU3241913241910_api_key_ecc133893ea92a842ee685c734246086[],2,FALSE),"")</f>
        <v/>
      </c>
      <c r="J848" s="2" t="str">
        <f>IFERROR(VLOOKUP($A848,observations_series_id_PCU3241913241910_api_key_ecc133893ea92a842ee685c734246086[],3,FALSE),"")</f>
        <v/>
      </c>
      <c r="K848" t="str">
        <f>IFERROR(VLOOKUP($A848,observations_series_id_EXJPUS_api_key_ecc133893ea92a842ee685c734246086_file_type[],2,FALSE),"")</f>
        <v/>
      </c>
      <c r="L848" s="2" t="str">
        <f>IFERROR(VLOOKUP($A848,observations_series_id_EXJPUS_api_key_ecc133893ea92a842ee685c734246086_file_type[],3,FALSE),"")</f>
        <v/>
      </c>
      <c r="M848" t="str">
        <f>IFERROR(AVERAGEIFS(timeseries_access_key_fqeas14oitk235763mntlb1c0brnk9w3fenzqbk313q5kvxyf52kukw1pa[Value.LME-ZNC],timeseries_access_key_fqeas14oitk235763mntlb1c0brnk9w3fenzqbk313q5kvxyf52kukw1pa[Month],MONTH(Data!$A848),timeseries_access_key_fqeas14oitk235763mntlb1c0brnk9w3fenzqbk313q5kvxyf52kukw1pa[Year],YEAR(Data!$A848)),"")</f>
        <v/>
      </c>
      <c r="N848" s="2" t="str">
        <f>IFERROR(AVERAGEIFS(timeseries_access_key_fqeas14oitk235763mntlb1c0brnk9w3fenzqbk313q5kvxyf52kukw1pa[Column1],timeseries_access_key_fqeas14oitk235763mntlb1c0brnk9w3fenzqbk313q5kvxyf52kukw1pa[Month],MONTH(Data!$A848),timeseries_access_key_fqeas14oitk235763mntlb1c0brnk9w3fenzqbk313q5kvxyf52kukw1pa[Year],YEAR(Data!$A848)),"")</f>
        <v/>
      </c>
      <c r="O848" s="8" t="str">
        <f>IFERROR(VLOOKUP($A848,Text_1_2[[Text.1.1.3]:[Text.1.3]],2,FALSE),"")</f>
        <v/>
      </c>
      <c r="P848" s="2"/>
    </row>
    <row r="849" spans="1:16" x14ac:dyDescent="0.25">
      <c r="A849" s="1">
        <v>46966</v>
      </c>
      <c r="B849" t="str">
        <f>HLOOKUP(Dashboard!$I$27,results,ROW(A849),FALSE)</f>
        <v/>
      </c>
      <c r="C849" t="str">
        <f>IFERROR(VLOOKUP(A849,observations_series_id_PCU22112222112243_api_key_ecc133893ea92a842ee685c73424608[],2,FALSE),"")</f>
        <v/>
      </c>
      <c r="D849" s="2" t="str">
        <f>IFERROR(VLOOKUP(A849,observations_series_id_PCU22112222112243_api_key_ecc133893ea92a842ee685c73424608[],3,FALSE),"")</f>
        <v/>
      </c>
      <c r="E849" t="str">
        <f>IFERROR(VLOOKUP($A849,observations_series_id_WPU0613020T_api_key_ecc133893ea92a842ee685c734246086_file[],2,FALSE),"")</f>
        <v/>
      </c>
      <c r="F849" s="2" t="str">
        <f>IFERROR(VLOOKUP($A849,observations_series_id_WPU0613020T_api_key_ecc133893ea92a842ee685c734246086_file[],3,FALSE),"")</f>
        <v/>
      </c>
      <c r="G849" t="str">
        <f>IFERROR(VLOOKUP($A849,observations_series_id_PCU22122212_api_key_ecc133893ea92a842ee685c734246086_file[],2,FALSE),"")</f>
        <v/>
      </c>
      <c r="H849" s="2" t="str">
        <f>IFERROR(VLOOKUP($A849,observations_series_id_PCU22122212_api_key_ecc133893ea92a842ee685c734246086_file[],3,FALSE),"")</f>
        <v/>
      </c>
      <c r="I849" t="str">
        <f>IFERROR(VLOOKUP($A849,observations_series_id_PCU3241913241910_api_key_ecc133893ea92a842ee685c734246086[],2,FALSE),"")</f>
        <v/>
      </c>
      <c r="J849" s="2" t="str">
        <f>IFERROR(VLOOKUP($A849,observations_series_id_PCU3241913241910_api_key_ecc133893ea92a842ee685c734246086[],3,FALSE),"")</f>
        <v/>
      </c>
      <c r="K849" t="str">
        <f>IFERROR(VLOOKUP($A849,observations_series_id_EXJPUS_api_key_ecc133893ea92a842ee685c734246086_file_type[],2,FALSE),"")</f>
        <v/>
      </c>
      <c r="L849" s="2" t="str">
        <f>IFERROR(VLOOKUP($A849,observations_series_id_EXJPUS_api_key_ecc133893ea92a842ee685c734246086_file_type[],3,FALSE),"")</f>
        <v/>
      </c>
      <c r="M849" t="str">
        <f>IFERROR(AVERAGEIFS(timeseries_access_key_fqeas14oitk235763mntlb1c0brnk9w3fenzqbk313q5kvxyf52kukw1pa[Value.LME-ZNC],timeseries_access_key_fqeas14oitk235763mntlb1c0brnk9w3fenzqbk313q5kvxyf52kukw1pa[Month],MONTH(Data!$A849),timeseries_access_key_fqeas14oitk235763mntlb1c0brnk9w3fenzqbk313q5kvxyf52kukw1pa[Year],YEAR(Data!$A849)),"")</f>
        <v/>
      </c>
      <c r="N849" s="2" t="str">
        <f>IFERROR(AVERAGEIFS(timeseries_access_key_fqeas14oitk235763mntlb1c0brnk9w3fenzqbk313q5kvxyf52kukw1pa[Column1],timeseries_access_key_fqeas14oitk235763mntlb1c0brnk9w3fenzqbk313q5kvxyf52kukw1pa[Month],MONTH(Data!$A849),timeseries_access_key_fqeas14oitk235763mntlb1c0brnk9w3fenzqbk313q5kvxyf52kukw1pa[Year],YEAR(Data!$A849)),"")</f>
        <v/>
      </c>
      <c r="O849" s="8" t="str">
        <f>IFERROR(VLOOKUP($A849,Text_1_2[[Text.1.1.3]:[Text.1.3]],2,FALSE),"")</f>
        <v/>
      </c>
      <c r="P849" s="2"/>
    </row>
    <row r="850" spans="1:16" x14ac:dyDescent="0.25">
      <c r="A850" s="1">
        <v>46997</v>
      </c>
      <c r="B850" t="str">
        <f>HLOOKUP(Dashboard!$I$27,results,ROW(A850),FALSE)</f>
        <v/>
      </c>
      <c r="C850" t="str">
        <f>IFERROR(VLOOKUP(A850,observations_series_id_PCU22112222112243_api_key_ecc133893ea92a842ee685c73424608[],2,FALSE),"")</f>
        <v/>
      </c>
      <c r="D850" s="2" t="str">
        <f>IFERROR(VLOOKUP(A850,observations_series_id_PCU22112222112243_api_key_ecc133893ea92a842ee685c73424608[],3,FALSE),"")</f>
        <v/>
      </c>
      <c r="E850" t="str">
        <f>IFERROR(VLOOKUP($A850,observations_series_id_WPU0613020T_api_key_ecc133893ea92a842ee685c734246086_file[],2,FALSE),"")</f>
        <v/>
      </c>
      <c r="F850" s="2" t="str">
        <f>IFERROR(VLOOKUP($A850,observations_series_id_WPU0613020T_api_key_ecc133893ea92a842ee685c734246086_file[],3,FALSE),"")</f>
        <v/>
      </c>
      <c r="G850" t="str">
        <f>IFERROR(VLOOKUP($A850,observations_series_id_PCU22122212_api_key_ecc133893ea92a842ee685c734246086_file[],2,FALSE),"")</f>
        <v/>
      </c>
      <c r="H850" s="2" t="str">
        <f>IFERROR(VLOOKUP($A850,observations_series_id_PCU22122212_api_key_ecc133893ea92a842ee685c734246086_file[],3,FALSE),"")</f>
        <v/>
      </c>
      <c r="I850" t="str">
        <f>IFERROR(VLOOKUP($A850,observations_series_id_PCU3241913241910_api_key_ecc133893ea92a842ee685c734246086[],2,FALSE),"")</f>
        <v/>
      </c>
      <c r="J850" s="2" t="str">
        <f>IFERROR(VLOOKUP($A850,observations_series_id_PCU3241913241910_api_key_ecc133893ea92a842ee685c734246086[],3,FALSE),"")</f>
        <v/>
      </c>
      <c r="K850" t="str">
        <f>IFERROR(VLOOKUP($A850,observations_series_id_EXJPUS_api_key_ecc133893ea92a842ee685c734246086_file_type[],2,FALSE),"")</f>
        <v/>
      </c>
      <c r="L850" s="2" t="str">
        <f>IFERROR(VLOOKUP($A850,observations_series_id_EXJPUS_api_key_ecc133893ea92a842ee685c734246086_file_type[],3,FALSE),"")</f>
        <v/>
      </c>
      <c r="M850" t="str">
        <f>IFERROR(AVERAGEIFS(timeseries_access_key_fqeas14oitk235763mntlb1c0brnk9w3fenzqbk313q5kvxyf52kukw1pa[Value.LME-ZNC],timeseries_access_key_fqeas14oitk235763mntlb1c0brnk9w3fenzqbk313q5kvxyf52kukw1pa[Month],MONTH(Data!$A850),timeseries_access_key_fqeas14oitk235763mntlb1c0brnk9w3fenzqbk313q5kvxyf52kukw1pa[Year],YEAR(Data!$A850)),"")</f>
        <v/>
      </c>
      <c r="N850" s="2" t="str">
        <f>IFERROR(AVERAGEIFS(timeseries_access_key_fqeas14oitk235763mntlb1c0brnk9w3fenzqbk313q5kvxyf52kukw1pa[Column1],timeseries_access_key_fqeas14oitk235763mntlb1c0brnk9w3fenzqbk313q5kvxyf52kukw1pa[Month],MONTH(Data!$A850),timeseries_access_key_fqeas14oitk235763mntlb1c0brnk9w3fenzqbk313q5kvxyf52kukw1pa[Year],YEAR(Data!$A850)),"")</f>
        <v/>
      </c>
      <c r="O850" s="8" t="str">
        <f>IFERROR(VLOOKUP($A850,Text_1_2[[Text.1.1.3]:[Text.1.3]],2,FALSE),"")</f>
        <v/>
      </c>
      <c r="P850" s="2"/>
    </row>
    <row r="851" spans="1:16" x14ac:dyDescent="0.25">
      <c r="A851" s="1">
        <v>47027</v>
      </c>
      <c r="B851" t="str">
        <f>HLOOKUP(Dashboard!$I$27,results,ROW(A851),FALSE)</f>
        <v/>
      </c>
      <c r="C851" t="str">
        <f>IFERROR(VLOOKUP(A851,observations_series_id_PCU22112222112243_api_key_ecc133893ea92a842ee685c73424608[],2,FALSE),"")</f>
        <v/>
      </c>
      <c r="D851" s="2" t="str">
        <f>IFERROR(VLOOKUP(A851,observations_series_id_PCU22112222112243_api_key_ecc133893ea92a842ee685c73424608[],3,FALSE),"")</f>
        <v/>
      </c>
      <c r="E851" t="str">
        <f>IFERROR(VLOOKUP($A851,observations_series_id_WPU0613020T_api_key_ecc133893ea92a842ee685c734246086_file[],2,FALSE),"")</f>
        <v/>
      </c>
      <c r="F851" s="2" t="str">
        <f>IFERROR(VLOOKUP($A851,observations_series_id_WPU0613020T_api_key_ecc133893ea92a842ee685c734246086_file[],3,FALSE),"")</f>
        <v/>
      </c>
      <c r="G851" t="str">
        <f>IFERROR(VLOOKUP($A851,observations_series_id_PCU22122212_api_key_ecc133893ea92a842ee685c734246086_file[],2,FALSE),"")</f>
        <v/>
      </c>
      <c r="H851" s="2" t="str">
        <f>IFERROR(VLOOKUP($A851,observations_series_id_PCU22122212_api_key_ecc133893ea92a842ee685c734246086_file[],3,FALSE),"")</f>
        <v/>
      </c>
      <c r="I851" t="str">
        <f>IFERROR(VLOOKUP($A851,observations_series_id_PCU3241913241910_api_key_ecc133893ea92a842ee685c734246086[],2,FALSE),"")</f>
        <v/>
      </c>
      <c r="J851" s="2" t="str">
        <f>IFERROR(VLOOKUP($A851,observations_series_id_PCU3241913241910_api_key_ecc133893ea92a842ee685c734246086[],3,FALSE),"")</f>
        <v/>
      </c>
      <c r="K851" t="str">
        <f>IFERROR(VLOOKUP($A851,observations_series_id_EXJPUS_api_key_ecc133893ea92a842ee685c734246086_file_type[],2,FALSE),"")</f>
        <v/>
      </c>
      <c r="L851" s="2" t="str">
        <f>IFERROR(VLOOKUP($A851,observations_series_id_EXJPUS_api_key_ecc133893ea92a842ee685c734246086_file_type[],3,FALSE),"")</f>
        <v/>
      </c>
      <c r="M851" t="str">
        <f>IFERROR(AVERAGEIFS(timeseries_access_key_fqeas14oitk235763mntlb1c0brnk9w3fenzqbk313q5kvxyf52kukw1pa[Value.LME-ZNC],timeseries_access_key_fqeas14oitk235763mntlb1c0brnk9w3fenzqbk313q5kvxyf52kukw1pa[Month],MONTH(Data!$A851),timeseries_access_key_fqeas14oitk235763mntlb1c0brnk9w3fenzqbk313q5kvxyf52kukw1pa[Year],YEAR(Data!$A851)),"")</f>
        <v/>
      </c>
      <c r="N851" s="2" t="str">
        <f>IFERROR(AVERAGEIFS(timeseries_access_key_fqeas14oitk235763mntlb1c0brnk9w3fenzqbk313q5kvxyf52kukw1pa[Column1],timeseries_access_key_fqeas14oitk235763mntlb1c0brnk9w3fenzqbk313q5kvxyf52kukw1pa[Month],MONTH(Data!$A851),timeseries_access_key_fqeas14oitk235763mntlb1c0brnk9w3fenzqbk313q5kvxyf52kukw1pa[Year],YEAR(Data!$A851)),"")</f>
        <v/>
      </c>
      <c r="O851" s="8" t="str">
        <f>IFERROR(VLOOKUP($A851,Text_1_2[[Text.1.1.3]:[Text.1.3]],2,FALSE),"")</f>
        <v/>
      </c>
      <c r="P851" s="2"/>
    </row>
    <row r="852" spans="1:16" x14ac:dyDescent="0.25">
      <c r="A852" s="1">
        <v>47058</v>
      </c>
      <c r="B852" t="str">
        <f>HLOOKUP(Dashboard!$I$27,results,ROW(A852),FALSE)</f>
        <v/>
      </c>
      <c r="C852" t="str">
        <f>IFERROR(VLOOKUP(A852,observations_series_id_PCU22112222112243_api_key_ecc133893ea92a842ee685c73424608[],2,FALSE),"")</f>
        <v/>
      </c>
      <c r="D852" s="2" t="str">
        <f>IFERROR(VLOOKUP(A852,observations_series_id_PCU22112222112243_api_key_ecc133893ea92a842ee685c73424608[],3,FALSE),"")</f>
        <v/>
      </c>
      <c r="E852" t="str">
        <f>IFERROR(VLOOKUP($A852,observations_series_id_WPU0613020T_api_key_ecc133893ea92a842ee685c734246086_file[],2,FALSE),"")</f>
        <v/>
      </c>
      <c r="F852" s="2" t="str">
        <f>IFERROR(VLOOKUP($A852,observations_series_id_WPU0613020T_api_key_ecc133893ea92a842ee685c734246086_file[],3,FALSE),"")</f>
        <v/>
      </c>
      <c r="G852" t="str">
        <f>IFERROR(VLOOKUP($A852,observations_series_id_PCU22122212_api_key_ecc133893ea92a842ee685c734246086_file[],2,FALSE),"")</f>
        <v/>
      </c>
      <c r="H852" s="2" t="str">
        <f>IFERROR(VLOOKUP($A852,observations_series_id_PCU22122212_api_key_ecc133893ea92a842ee685c734246086_file[],3,FALSE),"")</f>
        <v/>
      </c>
      <c r="I852" t="str">
        <f>IFERROR(VLOOKUP($A852,observations_series_id_PCU3241913241910_api_key_ecc133893ea92a842ee685c734246086[],2,FALSE),"")</f>
        <v/>
      </c>
      <c r="J852" s="2" t="str">
        <f>IFERROR(VLOOKUP($A852,observations_series_id_PCU3241913241910_api_key_ecc133893ea92a842ee685c734246086[],3,FALSE),"")</f>
        <v/>
      </c>
      <c r="K852" t="str">
        <f>IFERROR(VLOOKUP($A852,observations_series_id_EXJPUS_api_key_ecc133893ea92a842ee685c734246086_file_type[],2,FALSE),"")</f>
        <v/>
      </c>
      <c r="L852" s="2" t="str">
        <f>IFERROR(VLOOKUP($A852,observations_series_id_EXJPUS_api_key_ecc133893ea92a842ee685c734246086_file_type[],3,FALSE),"")</f>
        <v/>
      </c>
      <c r="M852" t="str">
        <f>IFERROR(AVERAGEIFS(timeseries_access_key_fqeas14oitk235763mntlb1c0brnk9w3fenzqbk313q5kvxyf52kukw1pa[Value.LME-ZNC],timeseries_access_key_fqeas14oitk235763mntlb1c0brnk9w3fenzqbk313q5kvxyf52kukw1pa[Month],MONTH(Data!$A852),timeseries_access_key_fqeas14oitk235763mntlb1c0brnk9w3fenzqbk313q5kvxyf52kukw1pa[Year],YEAR(Data!$A852)),"")</f>
        <v/>
      </c>
      <c r="N852" s="2" t="str">
        <f>IFERROR(AVERAGEIFS(timeseries_access_key_fqeas14oitk235763mntlb1c0brnk9w3fenzqbk313q5kvxyf52kukw1pa[Column1],timeseries_access_key_fqeas14oitk235763mntlb1c0brnk9w3fenzqbk313q5kvxyf52kukw1pa[Month],MONTH(Data!$A852),timeseries_access_key_fqeas14oitk235763mntlb1c0brnk9w3fenzqbk313q5kvxyf52kukw1pa[Year],YEAR(Data!$A852)),"")</f>
        <v/>
      </c>
      <c r="O852" s="8" t="str">
        <f>IFERROR(VLOOKUP($A852,Text_1_2[[Text.1.1.3]:[Text.1.3]],2,FALSE),"")</f>
        <v/>
      </c>
      <c r="P852" s="2"/>
    </row>
    <row r="853" spans="1:16" x14ac:dyDescent="0.25">
      <c r="A853" s="1">
        <v>47088</v>
      </c>
      <c r="B853" t="str">
        <f>HLOOKUP(Dashboard!$I$27,results,ROW(A853),FALSE)</f>
        <v/>
      </c>
      <c r="C853" t="str">
        <f>IFERROR(VLOOKUP(A853,observations_series_id_PCU22112222112243_api_key_ecc133893ea92a842ee685c73424608[],2,FALSE),"")</f>
        <v/>
      </c>
      <c r="D853" s="2" t="str">
        <f>IFERROR(VLOOKUP(A853,observations_series_id_PCU22112222112243_api_key_ecc133893ea92a842ee685c73424608[],3,FALSE),"")</f>
        <v/>
      </c>
      <c r="E853" t="str">
        <f>IFERROR(VLOOKUP($A853,observations_series_id_WPU0613020T_api_key_ecc133893ea92a842ee685c734246086_file[],2,FALSE),"")</f>
        <v/>
      </c>
      <c r="F853" s="2" t="str">
        <f>IFERROR(VLOOKUP($A853,observations_series_id_WPU0613020T_api_key_ecc133893ea92a842ee685c734246086_file[],3,FALSE),"")</f>
        <v/>
      </c>
      <c r="G853" t="str">
        <f>IFERROR(VLOOKUP($A853,observations_series_id_PCU22122212_api_key_ecc133893ea92a842ee685c734246086_file[],2,FALSE),"")</f>
        <v/>
      </c>
      <c r="H853" s="2" t="str">
        <f>IFERROR(VLOOKUP($A853,observations_series_id_PCU22122212_api_key_ecc133893ea92a842ee685c734246086_file[],3,FALSE),"")</f>
        <v/>
      </c>
      <c r="I853" t="str">
        <f>IFERROR(VLOOKUP($A853,observations_series_id_PCU3241913241910_api_key_ecc133893ea92a842ee685c734246086[],2,FALSE),"")</f>
        <v/>
      </c>
      <c r="J853" s="2" t="str">
        <f>IFERROR(VLOOKUP($A853,observations_series_id_PCU3241913241910_api_key_ecc133893ea92a842ee685c734246086[],3,FALSE),"")</f>
        <v/>
      </c>
      <c r="K853" t="str">
        <f>IFERROR(VLOOKUP($A853,observations_series_id_EXJPUS_api_key_ecc133893ea92a842ee685c734246086_file_type[],2,FALSE),"")</f>
        <v/>
      </c>
      <c r="L853" s="2" t="str">
        <f>IFERROR(VLOOKUP($A853,observations_series_id_EXJPUS_api_key_ecc133893ea92a842ee685c734246086_file_type[],3,FALSE),"")</f>
        <v/>
      </c>
      <c r="M853" t="str">
        <f>IFERROR(AVERAGEIFS(timeseries_access_key_fqeas14oitk235763mntlb1c0brnk9w3fenzqbk313q5kvxyf52kukw1pa[Value.LME-ZNC],timeseries_access_key_fqeas14oitk235763mntlb1c0brnk9w3fenzqbk313q5kvxyf52kukw1pa[Month],MONTH(Data!$A853),timeseries_access_key_fqeas14oitk235763mntlb1c0brnk9w3fenzqbk313q5kvxyf52kukw1pa[Year],YEAR(Data!$A853)),"")</f>
        <v/>
      </c>
      <c r="N853" s="2" t="str">
        <f>IFERROR(AVERAGEIFS(timeseries_access_key_fqeas14oitk235763mntlb1c0brnk9w3fenzqbk313q5kvxyf52kukw1pa[Column1],timeseries_access_key_fqeas14oitk235763mntlb1c0brnk9w3fenzqbk313q5kvxyf52kukw1pa[Month],MONTH(Data!$A853),timeseries_access_key_fqeas14oitk235763mntlb1c0brnk9w3fenzqbk313q5kvxyf52kukw1pa[Year],YEAR(Data!$A853)),"")</f>
        <v/>
      </c>
      <c r="O853" s="8" t="str">
        <f>IFERROR(VLOOKUP($A853,Text_1_2[[Text.1.1.3]:[Text.1.3]],2,FALSE),"")</f>
        <v/>
      </c>
      <c r="P853" s="2"/>
    </row>
    <row r="854" spans="1:16" x14ac:dyDescent="0.25">
      <c r="A854" s="1">
        <v>47119</v>
      </c>
      <c r="B854" t="str">
        <f>HLOOKUP(Dashboard!$I$27,results,ROW(A854),FALSE)</f>
        <v/>
      </c>
      <c r="C854" t="str">
        <f>IFERROR(VLOOKUP(A854,observations_series_id_PCU22112222112243_api_key_ecc133893ea92a842ee685c73424608[],2,FALSE),"")</f>
        <v/>
      </c>
      <c r="D854" s="2" t="str">
        <f>IFERROR(VLOOKUP(A854,observations_series_id_PCU22112222112243_api_key_ecc133893ea92a842ee685c73424608[],3,FALSE),"")</f>
        <v/>
      </c>
      <c r="E854" t="str">
        <f>IFERROR(VLOOKUP($A854,observations_series_id_WPU0613020T_api_key_ecc133893ea92a842ee685c734246086_file[],2,FALSE),"")</f>
        <v/>
      </c>
      <c r="F854" s="2" t="str">
        <f>IFERROR(VLOOKUP($A854,observations_series_id_WPU0613020T_api_key_ecc133893ea92a842ee685c734246086_file[],3,FALSE),"")</f>
        <v/>
      </c>
      <c r="G854" t="str">
        <f>IFERROR(VLOOKUP($A854,observations_series_id_PCU22122212_api_key_ecc133893ea92a842ee685c734246086_file[],2,FALSE),"")</f>
        <v/>
      </c>
      <c r="H854" s="2" t="str">
        <f>IFERROR(VLOOKUP($A854,observations_series_id_PCU22122212_api_key_ecc133893ea92a842ee685c734246086_file[],3,FALSE),"")</f>
        <v/>
      </c>
      <c r="I854" t="str">
        <f>IFERROR(VLOOKUP($A854,observations_series_id_PCU3241913241910_api_key_ecc133893ea92a842ee685c734246086[],2,FALSE),"")</f>
        <v/>
      </c>
      <c r="J854" s="2" t="str">
        <f>IFERROR(VLOOKUP($A854,observations_series_id_PCU3241913241910_api_key_ecc133893ea92a842ee685c734246086[],3,FALSE),"")</f>
        <v/>
      </c>
      <c r="K854" t="str">
        <f>IFERROR(VLOOKUP($A854,observations_series_id_EXJPUS_api_key_ecc133893ea92a842ee685c734246086_file_type[],2,FALSE),"")</f>
        <v/>
      </c>
      <c r="L854" s="2" t="str">
        <f>IFERROR(VLOOKUP($A854,observations_series_id_EXJPUS_api_key_ecc133893ea92a842ee685c734246086_file_type[],3,FALSE),"")</f>
        <v/>
      </c>
      <c r="M854" t="str">
        <f>IFERROR(AVERAGEIFS(timeseries_access_key_fqeas14oitk235763mntlb1c0brnk9w3fenzqbk313q5kvxyf52kukw1pa[Value.LME-ZNC],timeseries_access_key_fqeas14oitk235763mntlb1c0brnk9w3fenzqbk313q5kvxyf52kukw1pa[Month],MONTH(Data!$A854),timeseries_access_key_fqeas14oitk235763mntlb1c0brnk9w3fenzqbk313q5kvxyf52kukw1pa[Year],YEAR(Data!$A854)),"")</f>
        <v/>
      </c>
      <c r="N854" s="2" t="str">
        <f>IFERROR(AVERAGEIFS(timeseries_access_key_fqeas14oitk235763mntlb1c0brnk9w3fenzqbk313q5kvxyf52kukw1pa[Column1],timeseries_access_key_fqeas14oitk235763mntlb1c0brnk9w3fenzqbk313q5kvxyf52kukw1pa[Month],MONTH(Data!$A854),timeseries_access_key_fqeas14oitk235763mntlb1c0brnk9w3fenzqbk313q5kvxyf52kukw1pa[Year],YEAR(Data!$A854)),"")</f>
        <v/>
      </c>
      <c r="O854" s="8" t="str">
        <f>IFERROR(VLOOKUP($A854,Text_1_2[[Text.1.1.3]:[Text.1.3]],2,FALSE),"")</f>
        <v/>
      </c>
      <c r="P854" s="2"/>
    </row>
    <row r="855" spans="1:16" x14ac:dyDescent="0.25">
      <c r="A855" s="1">
        <v>47150</v>
      </c>
      <c r="B855" t="str">
        <f>HLOOKUP(Dashboard!$I$27,results,ROW(A855),FALSE)</f>
        <v/>
      </c>
      <c r="C855" t="str">
        <f>IFERROR(VLOOKUP(A855,observations_series_id_PCU22112222112243_api_key_ecc133893ea92a842ee685c73424608[],2,FALSE),"")</f>
        <v/>
      </c>
      <c r="D855" s="2" t="str">
        <f>IFERROR(VLOOKUP(A855,observations_series_id_PCU22112222112243_api_key_ecc133893ea92a842ee685c73424608[],3,FALSE),"")</f>
        <v/>
      </c>
      <c r="E855" t="str">
        <f>IFERROR(VLOOKUP($A855,observations_series_id_WPU0613020T_api_key_ecc133893ea92a842ee685c734246086_file[],2,FALSE),"")</f>
        <v/>
      </c>
      <c r="F855" s="2" t="str">
        <f>IFERROR(VLOOKUP($A855,observations_series_id_WPU0613020T_api_key_ecc133893ea92a842ee685c734246086_file[],3,FALSE),"")</f>
        <v/>
      </c>
      <c r="G855" t="str">
        <f>IFERROR(VLOOKUP($A855,observations_series_id_PCU22122212_api_key_ecc133893ea92a842ee685c734246086_file[],2,FALSE),"")</f>
        <v/>
      </c>
      <c r="H855" s="2" t="str">
        <f>IFERROR(VLOOKUP($A855,observations_series_id_PCU22122212_api_key_ecc133893ea92a842ee685c734246086_file[],3,FALSE),"")</f>
        <v/>
      </c>
      <c r="I855" t="str">
        <f>IFERROR(VLOOKUP($A855,observations_series_id_PCU3241913241910_api_key_ecc133893ea92a842ee685c734246086[],2,FALSE),"")</f>
        <v/>
      </c>
      <c r="J855" s="2" t="str">
        <f>IFERROR(VLOOKUP($A855,observations_series_id_PCU3241913241910_api_key_ecc133893ea92a842ee685c734246086[],3,FALSE),"")</f>
        <v/>
      </c>
      <c r="K855" t="str">
        <f>IFERROR(VLOOKUP($A855,observations_series_id_EXJPUS_api_key_ecc133893ea92a842ee685c734246086_file_type[],2,FALSE),"")</f>
        <v/>
      </c>
      <c r="L855" s="2" t="str">
        <f>IFERROR(VLOOKUP($A855,observations_series_id_EXJPUS_api_key_ecc133893ea92a842ee685c734246086_file_type[],3,FALSE),"")</f>
        <v/>
      </c>
      <c r="M855" t="str">
        <f>IFERROR(AVERAGEIFS(timeseries_access_key_fqeas14oitk235763mntlb1c0brnk9w3fenzqbk313q5kvxyf52kukw1pa[Value.LME-ZNC],timeseries_access_key_fqeas14oitk235763mntlb1c0brnk9w3fenzqbk313q5kvxyf52kukw1pa[Month],MONTH(Data!$A855),timeseries_access_key_fqeas14oitk235763mntlb1c0brnk9w3fenzqbk313q5kvxyf52kukw1pa[Year],YEAR(Data!$A855)),"")</f>
        <v/>
      </c>
      <c r="N855" s="2" t="str">
        <f>IFERROR(AVERAGEIFS(timeseries_access_key_fqeas14oitk235763mntlb1c0brnk9w3fenzqbk313q5kvxyf52kukw1pa[Column1],timeseries_access_key_fqeas14oitk235763mntlb1c0brnk9w3fenzqbk313q5kvxyf52kukw1pa[Month],MONTH(Data!$A855),timeseries_access_key_fqeas14oitk235763mntlb1c0brnk9w3fenzqbk313q5kvxyf52kukw1pa[Year],YEAR(Data!$A855)),"")</f>
        <v/>
      </c>
      <c r="O855" s="8" t="str">
        <f>IFERROR(VLOOKUP($A855,Text_1_2[[Text.1.1.3]:[Text.1.3]],2,FALSE),"")</f>
        <v/>
      </c>
      <c r="P855" s="2"/>
    </row>
    <row r="856" spans="1:16" x14ac:dyDescent="0.25">
      <c r="A856" s="1">
        <v>47178</v>
      </c>
      <c r="B856" t="str">
        <f>HLOOKUP(Dashboard!$I$27,results,ROW(A856),FALSE)</f>
        <v/>
      </c>
      <c r="C856" t="str">
        <f>IFERROR(VLOOKUP(A856,observations_series_id_PCU22112222112243_api_key_ecc133893ea92a842ee685c73424608[],2,FALSE),"")</f>
        <v/>
      </c>
      <c r="D856" s="2" t="str">
        <f>IFERROR(VLOOKUP(A856,observations_series_id_PCU22112222112243_api_key_ecc133893ea92a842ee685c73424608[],3,FALSE),"")</f>
        <v/>
      </c>
      <c r="E856" t="str">
        <f>IFERROR(VLOOKUP($A856,observations_series_id_WPU0613020T_api_key_ecc133893ea92a842ee685c734246086_file[],2,FALSE),"")</f>
        <v/>
      </c>
      <c r="F856" s="2" t="str">
        <f>IFERROR(VLOOKUP($A856,observations_series_id_WPU0613020T_api_key_ecc133893ea92a842ee685c734246086_file[],3,FALSE),"")</f>
        <v/>
      </c>
      <c r="G856" t="str">
        <f>IFERROR(VLOOKUP($A856,observations_series_id_PCU22122212_api_key_ecc133893ea92a842ee685c734246086_file[],2,FALSE),"")</f>
        <v/>
      </c>
      <c r="H856" s="2" t="str">
        <f>IFERROR(VLOOKUP($A856,observations_series_id_PCU22122212_api_key_ecc133893ea92a842ee685c734246086_file[],3,FALSE),"")</f>
        <v/>
      </c>
      <c r="I856" t="str">
        <f>IFERROR(VLOOKUP($A856,observations_series_id_PCU3241913241910_api_key_ecc133893ea92a842ee685c734246086[],2,FALSE),"")</f>
        <v/>
      </c>
      <c r="J856" s="2" t="str">
        <f>IFERROR(VLOOKUP($A856,observations_series_id_PCU3241913241910_api_key_ecc133893ea92a842ee685c734246086[],3,FALSE),"")</f>
        <v/>
      </c>
      <c r="K856" t="str">
        <f>IFERROR(VLOOKUP($A856,observations_series_id_EXJPUS_api_key_ecc133893ea92a842ee685c734246086_file_type[],2,FALSE),"")</f>
        <v/>
      </c>
      <c r="L856" s="2" t="str">
        <f>IFERROR(VLOOKUP($A856,observations_series_id_EXJPUS_api_key_ecc133893ea92a842ee685c734246086_file_type[],3,FALSE),"")</f>
        <v/>
      </c>
      <c r="M856" t="str">
        <f>IFERROR(AVERAGEIFS(timeseries_access_key_fqeas14oitk235763mntlb1c0brnk9w3fenzqbk313q5kvxyf52kukw1pa[Value.LME-ZNC],timeseries_access_key_fqeas14oitk235763mntlb1c0brnk9w3fenzqbk313q5kvxyf52kukw1pa[Month],MONTH(Data!$A856),timeseries_access_key_fqeas14oitk235763mntlb1c0brnk9w3fenzqbk313q5kvxyf52kukw1pa[Year],YEAR(Data!$A856)),"")</f>
        <v/>
      </c>
      <c r="N856" s="2" t="str">
        <f>IFERROR(AVERAGEIFS(timeseries_access_key_fqeas14oitk235763mntlb1c0brnk9w3fenzqbk313q5kvxyf52kukw1pa[Column1],timeseries_access_key_fqeas14oitk235763mntlb1c0brnk9w3fenzqbk313q5kvxyf52kukw1pa[Month],MONTH(Data!$A856),timeseries_access_key_fqeas14oitk235763mntlb1c0brnk9w3fenzqbk313q5kvxyf52kukw1pa[Year],YEAR(Data!$A856)),"")</f>
        <v/>
      </c>
      <c r="O856" s="8" t="str">
        <f>IFERROR(VLOOKUP($A856,Text_1_2[[Text.1.1.3]:[Text.1.3]],2,FALSE),"")</f>
        <v/>
      </c>
      <c r="P856" s="2"/>
    </row>
    <row r="857" spans="1:16" x14ac:dyDescent="0.25">
      <c r="A857" s="1">
        <v>47209</v>
      </c>
      <c r="B857" t="str">
        <f>HLOOKUP(Dashboard!$I$27,results,ROW(A857),FALSE)</f>
        <v/>
      </c>
      <c r="C857" t="str">
        <f>IFERROR(VLOOKUP(A857,observations_series_id_PCU22112222112243_api_key_ecc133893ea92a842ee685c73424608[],2,FALSE),"")</f>
        <v/>
      </c>
      <c r="D857" s="2" t="str">
        <f>IFERROR(VLOOKUP(A857,observations_series_id_PCU22112222112243_api_key_ecc133893ea92a842ee685c73424608[],3,FALSE),"")</f>
        <v/>
      </c>
      <c r="E857" t="str">
        <f>IFERROR(VLOOKUP($A857,observations_series_id_WPU0613020T_api_key_ecc133893ea92a842ee685c734246086_file[],2,FALSE),"")</f>
        <v/>
      </c>
      <c r="F857" s="2" t="str">
        <f>IFERROR(VLOOKUP($A857,observations_series_id_WPU0613020T_api_key_ecc133893ea92a842ee685c734246086_file[],3,FALSE),"")</f>
        <v/>
      </c>
      <c r="G857" t="str">
        <f>IFERROR(VLOOKUP($A857,observations_series_id_PCU22122212_api_key_ecc133893ea92a842ee685c734246086_file[],2,FALSE),"")</f>
        <v/>
      </c>
      <c r="H857" s="2" t="str">
        <f>IFERROR(VLOOKUP($A857,observations_series_id_PCU22122212_api_key_ecc133893ea92a842ee685c734246086_file[],3,FALSE),"")</f>
        <v/>
      </c>
      <c r="I857" t="str">
        <f>IFERROR(VLOOKUP($A857,observations_series_id_PCU3241913241910_api_key_ecc133893ea92a842ee685c734246086[],2,FALSE),"")</f>
        <v/>
      </c>
      <c r="J857" s="2" t="str">
        <f>IFERROR(VLOOKUP($A857,observations_series_id_PCU3241913241910_api_key_ecc133893ea92a842ee685c734246086[],3,FALSE),"")</f>
        <v/>
      </c>
      <c r="K857" t="str">
        <f>IFERROR(VLOOKUP($A857,observations_series_id_EXJPUS_api_key_ecc133893ea92a842ee685c734246086_file_type[],2,FALSE),"")</f>
        <v/>
      </c>
      <c r="L857" s="2" t="str">
        <f>IFERROR(VLOOKUP($A857,observations_series_id_EXJPUS_api_key_ecc133893ea92a842ee685c734246086_file_type[],3,FALSE),"")</f>
        <v/>
      </c>
      <c r="M857" t="str">
        <f>IFERROR(AVERAGEIFS(timeseries_access_key_fqeas14oitk235763mntlb1c0brnk9w3fenzqbk313q5kvxyf52kukw1pa[Value.LME-ZNC],timeseries_access_key_fqeas14oitk235763mntlb1c0brnk9w3fenzqbk313q5kvxyf52kukw1pa[Month],MONTH(Data!$A857),timeseries_access_key_fqeas14oitk235763mntlb1c0brnk9w3fenzqbk313q5kvxyf52kukw1pa[Year],YEAR(Data!$A857)),"")</f>
        <v/>
      </c>
      <c r="N857" s="2" t="str">
        <f>IFERROR(AVERAGEIFS(timeseries_access_key_fqeas14oitk235763mntlb1c0brnk9w3fenzqbk313q5kvxyf52kukw1pa[Column1],timeseries_access_key_fqeas14oitk235763mntlb1c0brnk9w3fenzqbk313q5kvxyf52kukw1pa[Month],MONTH(Data!$A857),timeseries_access_key_fqeas14oitk235763mntlb1c0brnk9w3fenzqbk313q5kvxyf52kukw1pa[Year],YEAR(Data!$A857)),"")</f>
        <v/>
      </c>
      <c r="O857" s="8" t="str">
        <f>IFERROR(VLOOKUP($A857,Text_1_2[[Text.1.1.3]:[Text.1.3]],2,FALSE),"")</f>
        <v/>
      </c>
      <c r="P857" s="2"/>
    </row>
    <row r="858" spans="1:16" x14ac:dyDescent="0.25">
      <c r="A858" s="1">
        <v>47239</v>
      </c>
      <c r="B858" t="str">
        <f>HLOOKUP(Dashboard!$I$27,results,ROW(A858),FALSE)</f>
        <v/>
      </c>
      <c r="C858" t="str">
        <f>IFERROR(VLOOKUP(A858,observations_series_id_PCU22112222112243_api_key_ecc133893ea92a842ee685c73424608[],2,FALSE),"")</f>
        <v/>
      </c>
      <c r="D858" s="2" t="str">
        <f>IFERROR(VLOOKUP(A858,observations_series_id_PCU22112222112243_api_key_ecc133893ea92a842ee685c73424608[],3,FALSE),"")</f>
        <v/>
      </c>
      <c r="E858" t="str">
        <f>IFERROR(VLOOKUP($A858,observations_series_id_WPU0613020T_api_key_ecc133893ea92a842ee685c734246086_file[],2,FALSE),"")</f>
        <v/>
      </c>
      <c r="F858" s="2" t="str">
        <f>IFERROR(VLOOKUP($A858,observations_series_id_WPU0613020T_api_key_ecc133893ea92a842ee685c734246086_file[],3,FALSE),"")</f>
        <v/>
      </c>
      <c r="G858" t="str">
        <f>IFERROR(VLOOKUP($A858,observations_series_id_PCU22122212_api_key_ecc133893ea92a842ee685c734246086_file[],2,FALSE),"")</f>
        <v/>
      </c>
      <c r="H858" s="2" t="str">
        <f>IFERROR(VLOOKUP($A858,observations_series_id_PCU22122212_api_key_ecc133893ea92a842ee685c734246086_file[],3,FALSE),"")</f>
        <v/>
      </c>
      <c r="I858" t="str">
        <f>IFERROR(VLOOKUP($A858,observations_series_id_PCU3241913241910_api_key_ecc133893ea92a842ee685c734246086[],2,FALSE),"")</f>
        <v/>
      </c>
      <c r="J858" s="2" t="str">
        <f>IFERROR(VLOOKUP($A858,observations_series_id_PCU3241913241910_api_key_ecc133893ea92a842ee685c734246086[],3,FALSE),"")</f>
        <v/>
      </c>
      <c r="K858" t="str">
        <f>IFERROR(VLOOKUP($A858,observations_series_id_EXJPUS_api_key_ecc133893ea92a842ee685c734246086_file_type[],2,FALSE),"")</f>
        <v/>
      </c>
      <c r="L858" s="2" t="str">
        <f>IFERROR(VLOOKUP($A858,observations_series_id_EXJPUS_api_key_ecc133893ea92a842ee685c734246086_file_type[],3,FALSE),"")</f>
        <v/>
      </c>
      <c r="M858" t="str">
        <f>IFERROR(AVERAGEIFS(timeseries_access_key_fqeas14oitk235763mntlb1c0brnk9w3fenzqbk313q5kvxyf52kukw1pa[Value.LME-ZNC],timeseries_access_key_fqeas14oitk235763mntlb1c0brnk9w3fenzqbk313q5kvxyf52kukw1pa[Month],MONTH(Data!$A858),timeseries_access_key_fqeas14oitk235763mntlb1c0brnk9w3fenzqbk313q5kvxyf52kukw1pa[Year],YEAR(Data!$A858)),"")</f>
        <v/>
      </c>
      <c r="N858" s="2" t="str">
        <f>IFERROR(AVERAGEIFS(timeseries_access_key_fqeas14oitk235763mntlb1c0brnk9w3fenzqbk313q5kvxyf52kukw1pa[Column1],timeseries_access_key_fqeas14oitk235763mntlb1c0brnk9w3fenzqbk313q5kvxyf52kukw1pa[Month],MONTH(Data!$A858),timeseries_access_key_fqeas14oitk235763mntlb1c0brnk9w3fenzqbk313q5kvxyf52kukw1pa[Year],YEAR(Data!$A858)),"")</f>
        <v/>
      </c>
      <c r="O858" s="8" t="str">
        <f>IFERROR(VLOOKUP($A858,Text_1_2[[Text.1.1.3]:[Text.1.3]],2,FALSE),"")</f>
        <v/>
      </c>
      <c r="P858" s="2"/>
    </row>
    <row r="859" spans="1:16" x14ac:dyDescent="0.25">
      <c r="A859" s="1">
        <v>47270</v>
      </c>
      <c r="B859" t="str">
        <f>HLOOKUP(Dashboard!$I$27,results,ROW(A859),FALSE)</f>
        <v/>
      </c>
      <c r="C859" t="str">
        <f>IFERROR(VLOOKUP(A859,observations_series_id_PCU22112222112243_api_key_ecc133893ea92a842ee685c73424608[],2,FALSE),"")</f>
        <v/>
      </c>
      <c r="D859" s="2" t="str">
        <f>IFERROR(VLOOKUP(A859,observations_series_id_PCU22112222112243_api_key_ecc133893ea92a842ee685c73424608[],3,FALSE),"")</f>
        <v/>
      </c>
      <c r="E859" t="str">
        <f>IFERROR(VLOOKUP($A859,observations_series_id_WPU0613020T_api_key_ecc133893ea92a842ee685c734246086_file[],2,FALSE),"")</f>
        <v/>
      </c>
      <c r="F859" s="2" t="str">
        <f>IFERROR(VLOOKUP($A859,observations_series_id_WPU0613020T_api_key_ecc133893ea92a842ee685c734246086_file[],3,FALSE),"")</f>
        <v/>
      </c>
      <c r="G859" t="str">
        <f>IFERROR(VLOOKUP($A859,observations_series_id_PCU22122212_api_key_ecc133893ea92a842ee685c734246086_file[],2,FALSE),"")</f>
        <v/>
      </c>
      <c r="H859" s="2" t="str">
        <f>IFERROR(VLOOKUP($A859,observations_series_id_PCU22122212_api_key_ecc133893ea92a842ee685c734246086_file[],3,FALSE),"")</f>
        <v/>
      </c>
      <c r="I859" t="str">
        <f>IFERROR(VLOOKUP($A859,observations_series_id_PCU3241913241910_api_key_ecc133893ea92a842ee685c734246086[],2,FALSE),"")</f>
        <v/>
      </c>
      <c r="J859" s="2" t="str">
        <f>IFERROR(VLOOKUP($A859,observations_series_id_PCU3241913241910_api_key_ecc133893ea92a842ee685c734246086[],3,FALSE),"")</f>
        <v/>
      </c>
      <c r="K859" t="str">
        <f>IFERROR(VLOOKUP($A859,observations_series_id_EXJPUS_api_key_ecc133893ea92a842ee685c734246086_file_type[],2,FALSE),"")</f>
        <v/>
      </c>
      <c r="L859" s="2" t="str">
        <f>IFERROR(VLOOKUP($A859,observations_series_id_EXJPUS_api_key_ecc133893ea92a842ee685c734246086_file_type[],3,FALSE),"")</f>
        <v/>
      </c>
      <c r="M859" t="str">
        <f>IFERROR(AVERAGEIFS(timeseries_access_key_fqeas14oitk235763mntlb1c0brnk9w3fenzqbk313q5kvxyf52kukw1pa[Value.LME-ZNC],timeseries_access_key_fqeas14oitk235763mntlb1c0brnk9w3fenzqbk313q5kvxyf52kukw1pa[Month],MONTH(Data!$A859),timeseries_access_key_fqeas14oitk235763mntlb1c0brnk9w3fenzqbk313q5kvxyf52kukw1pa[Year],YEAR(Data!$A859)),"")</f>
        <v/>
      </c>
      <c r="N859" s="2" t="str">
        <f>IFERROR(AVERAGEIFS(timeseries_access_key_fqeas14oitk235763mntlb1c0brnk9w3fenzqbk313q5kvxyf52kukw1pa[Column1],timeseries_access_key_fqeas14oitk235763mntlb1c0brnk9w3fenzqbk313q5kvxyf52kukw1pa[Month],MONTH(Data!$A859),timeseries_access_key_fqeas14oitk235763mntlb1c0brnk9w3fenzqbk313q5kvxyf52kukw1pa[Year],YEAR(Data!$A859)),"")</f>
        <v/>
      </c>
      <c r="O859" s="8" t="str">
        <f>IFERROR(VLOOKUP($A859,Text_1_2[[Text.1.1.3]:[Text.1.3]],2,FALSE),"")</f>
        <v/>
      </c>
      <c r="P859" s="2"/>
    </row>
    <row r="860" spans="1:16" x14ac:dyDescent="0.25">
      <c r="A860" s="1">
        <v>47300</v>
      </c>
      <c r="B860" t="str">
        <f>HLOOKUP(Dashboard!$I$27,results,ROW(A860),FALSE)</f>
        <v/>
      </c>
      <c r="C860" t="str">
        <f>IFERROR(VLOOKUP(A860,observations_series_id_PCU22112222112243_api_key_ecc133893ea92a842ee685c73424608[],2,FALSE),"")</f>
        <v/>
      </c>
      <c r="D860" s="2" t="str">
        <f>IFERROR(VLOOKUP(A860,observations_series_id_PCU22112222112243_api_key_ecc133893ea92a842ee685c73424608[],3,FALSE),"")</f>
        <v/>
      </c>
      <c r="E860" t="str">
        <f>IFERROR(VLOOKUP($A860,observations_series_id_WPU0613020T_api_key_ecc133893ea92a842ee685c734246086_file[],2,FALSE),"")</f>
        <v/>
      </c>
      <c r="F860" s="2" t="str">
        <f>IFERROR(VLOOKUP($A860,observations_series_id_WPU0613020T_api_key_ecc133893ea92a842ee685c734246086_file[],3,FALSE),"")</f>
        <v/>
      </c>
      <c r="G860" t="str">
        <f>IFERROR(VLOOKUP($A860,observations_series_id_PCU22122212_api_key_ecc133893ea92a842ee685c734246086_file[],2,FALSE),"")</f>
        <v/>
      </c>
      <c r="H860" s="2" t="str">
        <f>IFERROR(VLOOKUP($A860,observations_series_id_PCU22122212_api_key_ecc133893ea92a842ee685c734246086_file[],3,FALSE),"")</f>
        <v/>
      </c>
      <c r="I860" t="str">
        <f>IFERROR(VLOOKUP($A860,observations_series_id_PCU3241913241910_api_key_ecc133893ea92a842ee685c734246086[],2,FALSE),"")</f>
        <v/>
      </c>
      <c r="J860" s="2" t="str">
        <f>IFERROR(VLOOKUP($A860,observations_series_id_PCU3241913241910_api_key_ecc133893ea92a842ee685c734246086[],3,FALSE),"")</f>
        <v/>
      </c>
      <c r="K860" t="str">
        <f>IFERROR(VLOOKUP($A860,observations_series_id_EXJPUS_api_key_ecc133893ea92a842ee685c734246086_file_type[],2,FALSE),"")</f>
        <v/>
      </c>
      <c r="L860" s="2" t="str">
        <f>IFERROR(VLOOKUP($A860,observations_series_id_EXJPUS_api_key_ecc133893ea92a842ee685c734246086_file_type[],3,FALSE),"")</f>
        <v/>
      </c>
      <c r="M860" t="str">
        <f>IFERROR(AVERAGEIFS(timeseries_access_key_fqeas14oitk235763mntlb1c0brnk9w3fenzqbk313q5kvxyf52kukw1pa[Value.LME-ZNC],timeseries_access_key_fqeas14oitk235763mntlb1c0brnk9w3fenzqbk313q5kvxyf52kukw1pa[Month],MONTH(Data!$A860),timeseries_access_key_fqeas14oitk235763mntlb1c0brnk9w3fenzqbk313q5kvxyf52kukw1pa[Year],YEAR(Data!$A860)),"")</f>
        <v/>
      </c>
      <c r="N860" s="2" t="str">
        <f>IFERROR(AVERAGEIFS(timeseries_access_key_fqeas14oitk235763mntlb1c0brnk9w3fenzqbk313q5kvxyf52kukw1pa[Column1],timeseries_access_key_fqeas14oitk235763mntlb1c0brnk9w3fenzqbk313q5kvxyf52kukw1pa[Month],MONTH(Data!$A860),timeseries_access_key_fqeas14oitk235763mntlb1c0brnk9w3fenzqbk313q5kvxyf52kukw1pa[Year],YEAR(Data!$A860)),"")</f>
        <v/>
      </c>
      <c r="O860" s="8" t="str">
        <f>IFERROR(VLOOKUP($A860,Text_1_2[[Text.1.1.3]:[Text.1.3]],2,FALSE),"")</f>
        <v/>
      </c>
      <c r="P860" s="2"/>
    </row>
    <row r="861" spans="1:16" x14ac:dyDescent="0.25">
      <c r="A861" s="1">
        <v>47331</v>
      </c>
      <c r="B861" t="str">
        <f>HLOOKUP(Dashboard!$I$27,results,ROW(A861),FALSE)</f>
        <v/>
      </c>
      <c r="C861" t="str">
        <f>IFERROR(VLOOKUP(A861,observations_series_id_PCU22112222112243_api_key_ecc133893ea92a842ee685c73424608[],2,FALSE),"")</f>
        <v/>
      </c>
      <c r="D861" s="2" t="str">
        <f>IFERROR(VLOOKUP(A861,observations_series_id_PCU22112222112243_api_key_ecc133893ea92a842ee685c73424608[],3,FALSE),"")</f>
        <v/>
      </c>
      <c r="E861" t="str">
        <f>IFERROR(VLOOKUP($A861,observations_series_id_WPU0613020T_api_key_ecc133893ea92a842ee685c734246086_file[],2,FALSE),"")</f>
        <v/>
      </c>
      <c r="F861" s="2" t="str">
        <f>IFERROR(VLOOKUP($A861,observations_series_id_WPU0613020T_api_key_ecc133893ea92a842ee685c734246086_file[],3,FALSE),"")</f>
        <v/>
      </c>
      <c r="G861" t="str">
        <f>IFERROR(VLOOKUP($A861,observations_series_id_PCU22122212_api_key_ecc133893ea92a842ee685c734246086_file[],2,FALSE),"")</f>
        <v/>
      </c>
      <c r="H861" s="2" t="str">
        <f>IFERROR(VLOOKUP($A861,observations_series_id_PCU22122212_api_key_ecc133893ea92a842ee685c734246086_file[],3,FALSE),"")</f>
        <v/>
      </c>
      <c r="I861" t="str">
        <f>IFERROR(VLOOKUP($A861,observations_series_id_PCU3241913241910_api_key_ecc133893ea92a842ee685c734246086[],2,FALSE),"")</f>
        <v/>
      </c>
      <c r="J861" s="2" t="str">
        <f>IFERROR(VLOOKUP($A861,observations_series_id_PCU3241913241910_api_key_ecc133893ea92a842ee685c734246086[],3,FALSE),"")</f>
        <v/>
      </c>
      <c r="K861" t="str">
        <f>IFERROR(VLOOKUP($A861,observations_series_id_EXJPUS_api_key_ecc133893ea92a842ee685c734246086_file_type[],2,FALSE),"")</f>
        <v/>
      </c>
      <c r="L861" s="2" t="str">
        <f>IFERROR(VLOOKUP($A861,observations_series_id_EXJPUS_api_key_ecc133893ea92a842ee685c734246086_file_type[],3,FALSE),"")</f>
        <v/>
      </c>
      <c r="M861" t="str">
        <f>IFERROR(AVERAGEIFS(timeseries_access_key_fqeas14oitk235763mntlb1c0brnk9w3fenzqbk313q5kvxyf52kukw1pa[Value.LME-ZNC],timeseries_access_key_fqeas14oitk235763mntlb1c0brnk9w3fenzqbk313q5kvxyf52kukw1pa[Month],MONTH(Data!$A861),timeseries_access_key_fqeas14oitk235763mntlb1c0brnk9w3fenzqbk313q5kvxyf52kukw1pa[Year],YEAR(Data!$A861)),"")</f>
        <v/>
      </c>
      <c r="N861" s="2" t="str">
        <f>IFERROR(AVERAGEIFS(timeseries_access_key_fqeas14oitk235763mntlb1c0brnk9w3fenzqbk313q5kvxyf52kukw1pa[Column1],timeseries_access_key_fqeas14oitk235763mntlb1c0brnk9w3fenzqbk313q5kvxyf52kukw1pa[Month],MONTH(Data!$A861),timeseries_access_key_fqeas14oitk235763mntlb1c0brnk9w3fenzqbk313q5kvxyf52kukw1pa[Year],YEAR(Data!$A861)),"")</f>
        <v/>
      </c>
      <c r="O861" s="8" t="str">
        <f>IFERROR(VLOOKUP($A861,Text_1_2[[Text.1.1.3]:[Text.1.3]],2,FALSE),"")</f>
        <v/>
      </c>
      <c r="P861" s="2"/>
    </row>
    <row r="862" spans="1:16" x14ac:dyDescent="0.25">
      <c r="A862" s="1">
        <v>47362</v>
      </c>
      <c r="B862" t="str">
        <f>HLOOKUP(Dashboard!$I$27,results,ROW(A862),FALSE)</f>
        <v/>
      </c>
      <c r="C862" t="str">
        <f>IFERROR(VLOOKUP(A862,observations_series_id_PCU22112222112243_api_key_ecc133893ea92a842ee685c73424608[],2,FALSE),"")</f>
        <v/>
      </c>
      <c r="D862" s="2" t="str">
        <f>IFERROR(VLOOKUP(A862,observations_series_id_PCU22112222112243_api_key_ecc133893ea92a842ee685c73424608[],3,FALSE),"")</f>
        <v/>
      </c>
      <c r="E862" t="str">
        <f>IFERROR(VLOOKUP($A862,observations_series_id_WPU0613020T_api_key_ecc133893ea92a842ee685c734246086_file[],2,FALSE),"")</f>
        <v/>
      </c>
      <c r="F862" s="2" t="str">
        <f>IFERROR(VLOOKUP($A862,observations_series_id_WPU0613020T_api_key_ecc133893ea92a842ee685c734246086_file[],3,FALSE),"")</f>
        <v/>
      </c>
      <c r="G862" t="str">
        <f>IFERROR(VLOOKUP($A862,observations_series_id_PCU22122212_api_key_ecc133893ea92a842ee685c734246086_file[],2,FALSE),"")</f>
        <v/>
      </c>
      <c r="H862" s="2" t="str">
        <f>IFERROR(VLOOKUP($A862,observations_series_id_PCU22122212_api_key_ecc133893ea92a842ee685c734246086_file[],3,FALSE),"")</f>
        <v/>
      </c>
      <c r="I862" t="str">
        <f>IFERROR(VLOOKUP($A862,observations_series_id_PCU3241913241910_api_key_ecc133893ea92a842ee685c734246086[],2,FALSE),"")</f>
        <v/>
      </c>
      <c r="J862" s="2" t="str">
        <f>IFERROR(VLOOKUP($A862,observations_series_id_PCU3241913241910_api_key_ecc133893ea92a842ee685c734246086[],3,FALSE),"")</f>
        <v/>
      </c>
      <c r="K862" t="str">
        <f>IFERROR(VLOOKUP($A862,observations_series_id_EXJPUS_api_key_ecc133893ea92a842ee685c734246086_file_type[],2,FALSE),"")</f>
        <v/>
      </c>
      <c r="L862" s="2" t="str">
        <f>IFERROR(VLOOKUP($A862,observations_series_id_EXJPUS_api_key_ecc133893ea92a842ee685c734246086_file_type[],3,FALSE),"")</f>
        <v/>
      </c>
      <c r="M862" t="str">
        <f>IFERROR(AVERAGEIFS(timeseries_access_key_fqeas14oitk235763mntlb1c0brnk9w3fenzqbk313q5kvxyf52kukw1pa[Value.LME-ZNC],timeseries_access_key_fqeas14oitk235763mntlb1c0brnk9w3fenzqbk313q5kvxyf52kukw1pa[Month],MONTH(Data!$A862),timeseries_access_key_fqeas14oitk235763mntlb1c0brnk9w3fenzqbk313q5kvxyf52kukw1pa[Year],YEAR(Data!$A862)),"")</f>
        <v/>
      </c>
      <c r="N862" s="2" t="str">
        <f>IFERROR(AVERAGEIFS(timeseries_access_key_fqeas14oitk235763mntlb1c0brnk9w3fenzqbk313q5kvxyf52kukw1pa[Column1],timeseries_access_key_fqeas14oitk235763mntlb1c0brnk9w3fenzqbk313q5kvxyf52kukw1pa[Month],MONTH(Data!$A862),timeseries_access_key_fqeas14oitk235763mntlb1c0brnk9w3fenzqbk313q5kvxyf52kukw1pa[Year],YEAR(Data!$A862)),"")</f>
        <v/>
      </c>
      <c r="O862" s="8" t="str">
        <f>IFERROR(VLOOKUP($A862,Text_1_2[[Text.1.1.3]:[Text.1.3]],2,FALSE),"")</f>
        <v/>
      </c>
      <c r="P862" s="2"/>
    </row>
    <row r="863" spans="1:16" x14ac:dyDescent="0.25">
      <c r="A863" s="1">
        <v>47392</v>
      </c>
      <c r="B863" t="str">
        <f>HLOOKUP(Dashboard!$I$27,results,ROW(A863),FALSE)</f>
        <v/>
      </c>
      <c r="C863" t="str">
        <f>IFERROR(VLOOKUP(A863,observations_series_id_PCU22112222112243_api_key_ecc133893ea92a842ee685c73424608[],2,FALSE),"")</f>
        <v/>
      </c>
      <c r="D863" s="2" t="str">
        <f>IFERROR(VLOOKUP(A863,observations_series_id_PCU22112222112243_api_key_ecc133893ea92a842ee685c73424608[],3,FALSE),"")</f>
        <v/>
      </c>
      <c r="E863" t="str">
        <f>IFERROR(VLOOKUP($A863,observations_series_id_WPU0613020T_api_key_ecc133893ea92a842ee685c734246086_file[],2,FALSE),"")</f>
        <v/>
      </c>
      <c r="F863" s="2" t="str">
        <f>IFERROR(VLOOKUP($A863,observations_series_id_WPU0613020T_api_key_ecc133893ea92a842ee685c734246086_file[],3,FALSE),"")</f>
        <v/>
      </c>
      <c r="G863" t="str">
        <f>IFERROR(VLOOKUP($A863,observations_series_id_PCU22122212_api_key_ecc133893ea92a842ee685c734246086_file[],2,FALSE),"")</f>
        <v/>
      </c>
      <c r="H863" s="2" t="str">
        <f>IFERROR(VLOOKUP($A863,observations_series_id_PCU22122212_api_key_ecc133893ea92a842ee685c734246086_file[],3,FALSE),"")</f>
        <v/>
      </c>
      <c r="I863" t="str">
        <f>IFERROR(VLOOKUP($A863,observations_series_id_PCU3241913241910_api_key_ecc133893ea92a842ee685c734246086[],2,FALSE),"")</f>
        <v/>
      </c>
      <c r="J863" s="2" t="str">
        <f>IFERROR(VLOOKUP($A863,observations_series_id_PCU3241913241910_api_key_ecc133893ea92a842ee685c734246086[],3,FALSE),"")</f>
        <v/>
      </c>
      <c r="K863" t="str">
        <f>IFERROR(VLOOKUP($A863,observations_series_id_EXJPUS_api_key_ecc133893ea92a842ee685c734246086_file_type[],2,FALSE),"")</f>
        <v/>
      </c>
      <c r="L863" s="2" t="str">
        <f>IFERROR(VLOOKUP($A863,observations_series_id_EXJPUS_api_key_ecc133893ea92a842ee685c734246086_file_type[],3,FALSE),"")</f>
        <v/>
      </c>
      <c r="M863" t="str">
        <f>IFERROR(AVERAGEIFS(timeseries_access_key_fqeas14oitk235763mntlb1c0brnk9w3fenzqbk313q5kvxyf52kukw1pa[Value.LME-ZNC],timeseries_access_key_fqeas14oitk235763mntlb1c0brnk9w3fenzqbk313q5kvxyf52kukw1pa[Month],MONTH(Data!$A863),timeseries_access_key_fqeas14oitk235763mntlb1c0brnk9w3fenzqbk313q5kvxyf52kukw1pa[Year],YEAR(Data!$A863)),"")</f>
        <v/>
      </c>
      <c r="N863" s="2" t="str">
        <f>IFERROR(AVERAGEIFS(timeseries_access_key_fqeas14oitk235763mntlb1c0brnk9w3fenzqbk313q5kvxyf52kukw1pa[Column1],timeseries_access_key_fqeas14oitk235763mntlb1c0brnk9w3fenzqbk313q5kvxyf52kukw1pa[Month],MONTH(Data!$A863),timeseries_access_key_fqeas14oitk235763mntlb1c0brnk9w3fenzqbk313q5kvxyf52kukw1pa[Year],YEAR(Data!$A863)),"")</f>
        <v/>
      </c>
      <c r="O863" s="8" t="str">
        <f>IFERROR(VLOOKUP($A863,Text_1_2[[Text.1.1.3]:[Text.1.3]],2,FALSE),"")</f>
        <v/>
      </c>
      <c r="P863" s="2"/>
    </row>
    <row r="864" spans="1:16" x14ac:dyDescent="0.25">
      <c r="A864" s="1">
        <v>47423</v>
      </c>
      <c r="B864" t="str">
        <f>HLOOKUP(Dashboard!$I$27,results,ROW(A864),FALSE)</f>
        <v/>
      </c>
      <c r="C864" t="str">
        <f>IFERROR(VLOOKUP(A864,observations_series_id_PCU22112222112243_api_key_ecc133893ea92a842ee685c73424608[],2,FALSE),"")</f>
        <v/>
      </c>
      <c r="D864" s="2" t="str">
        <f>IFERROR(VLOOKUP(A864,observations_series_id_PCU22112222112243_api_key_ecc133893ea92a842ee685c73424608[],3,FALSE),"")</f>
        <v/>
      </c>
      <c r="E864" t="str">
        <f>IFERROR(VLOOKUP($A864,observations_series_id_WPU0613020T_api_key_ecc133893ea92a842ee685c734246086_file[],2,FALSE),"")</f>
        <v/>
      </c>
      <c r="F864" s="2" t="str">
        <f>IFERROR(VLOOKUP($A864,observations_series_id_WPU0613020T_api_key_ecc133893ea92a842ee685c734246086_file[],3,FALSE),"")</f>
        <v/>
      </c>
      <c r="G864" t="str">
        <f>IFERROR(VLOOKUP($A864,observations_series_id_PCU22122212_api_key_ecc133893ea92a842ee685c734246086_file[],2,FALSE),"")</f>
        <v/>
      </c>
      <c r="H864" s="2" t="str">
        <f>IFERROR(VLOOKUP($A864,observations_series_id_PCU22122212_api_key_ecc133893ea92a842ee685c734246086_file[],3,FALSE),"")</f>
        <v/>
      </c>
      <c r="I864" t="str">
        <f>IFERROR(VLOOKUP($A864,observations_series_id_PCU3241913241910_api_key_ecc133893ea92a842ee685c734246086[],2,FALSE),"")</f>
        <v/>
      </c>
      <c r="J864" s="2" t="str">
        <f>IFERROR(VLOOKUP($A864,observations_series_id_PCU3241913241910_api_key_ecc133893ea92a842ee685c734246086[],3,FALSE),"")</f>
        <v/>
      </c>
      <c r="K864" t="str">
        <f>IFERROR(VLOOKUP($A864,observations_series_id_EXJPUS_api_key_ecc133893ea92a842ee685c734246086_file_type[],2,FALSE),"")</f>
        <v/>
      </c>
      <c r="L864" s="2" t="str">
        <f>IFERROR(VLOOKUP($A864,observations_series_id_EXJPUS_api_key_ecc133893ea92a842ee685c734246086_file_type[],3,FALSE),"")</f>
        <v/>
      </c>
      <c r="M864" t="str">
        <f>IFERROR(AVERAGEIFS(timeseries_access_key_fqeas14oitk235763mntlb1c0brnk9w3fenzqbk313q5kvxyf52kukw1pa[Value.LME-ZNC],timeseries_access_key_fqeas14oitk235763mntlb1c0brnk9w3fenzqbk313q5kvxyf52kukw1pa[Month],MONTH(Data!$A864),timeseries_access_key_fqeas14oitk235763mntlb1c0brnk9w3fenzqbk313q5kvxyf52kukw1pa[Year],YEAR(Data!$A864)),"")</f>
        <v/>
      </c>
      <c r="N864" s="2" t="str">
        <f>IFERROR(AVERAGEIFS(timeseries_access_key_fqeas14oitk235763mntlb1c0brnk9w3fenzqbk313q5kvxyf52kukw1pa[Column1],timeseries_access_key_fqeas14oitk235763mntlb1c0brnk9w3fenzqbk313q5kvxyf52kukw1pa[Month],MONTH(Data!$A864),timeseries_access_key_fqeas14oitk235763mntlb1c0brnk9w3fenzqbk313q5kvxyf52kukw1pa[Year],YEAR(Data!$A864)),"")</f>
        <v/>
      </c>
      <c r="O864" s="8" t="str">
        <f>IFERROR(VLOOKUP($A864,Text_1_2[[Text.1.1.3]:[Text.1.3]],2,FALSE),"")</f>
        <v/>
      </c>
      <c r="P864" s="2"/>
    </row>
    <row r="865" spans="1:16" x14ac:dyDescent="0.25">
      <c r="A865" s="1">
        <v>47453</v>
      </c>
      <c r="B865" t="str">
        <f>HLOOKUP(Dashboard!$I$27,results,ROW(A865),FALSE)</f>
        <v/>
      </c>
      <c r="C865" t="str">
        <f>IFERROR(VLOOKUP(A865,observations_series_id_PCU22112222112243_api_key_ecc133893ea92a842ee685c73424608[],2,FALSE),"")</f>
        <v/>
      </c>
      <c r="D865" s="2" t="str">
        <f>IFERROR(VLOOKUP(A865,observations_series_id_PCU22112222112243_api_key_ecc133893ea92a842ee685c73424608[],3,FALSE),"")</f>
        <v/>
      </c>
      <c r="E865" t="str">
        <f>IFERROR(VLOOKUP($A865,observations_series_id_WPU0613020T_api_key_ecc133893ea92a842ee685c734246086_file[],2,FALSE),"")</f>
        <v/>
      </c>
      <c r="F865" s="2" t="str">
        <f>IFERROR(VLOOKUP($A865,observations_series_id_WPU0613020T_api_key_ecc133893ea92a842ee685c734246086_file[],3,FALSE),"")</f>
        <v/>
      </c>
      <c r="G865" t="str">
        <f>IFERROR(VLOOKUP($A865,observations_series_id_PCU22122212_api_key_ecc133893ea92a842ee685c734246086_file[],2,FALSE),"")</f>
        <v/>
      </c>
      <c r="H865" s="2" t="str">
        <f>IFERROR(VLOOKUP($A865,observations_series_id_PCU22122212_api_key_ecc133893ea92a842ee685c734246086_file[],3,FALSE),"")</f>
        <v/>
      </c>
      <c r="I865" t="str">
        <f>IFERROR(VLOOKUP($A865,observations_series_id_PCU3241913241910_api_key_ecc133893ea92a842ee685c734246086[],2,FALSE),"")</f>
        <v/>
      </c>
      <c r="J865" s="2" t="str">
        <f>IFERROR(VLOOKUP($A865,observations_series_id_PCU3241913241910_api_key_ecc133893ea92a842ee685c734246086[],3,FALSE),"")</f>
        <v/>
      </c>
      <c r="K865" t="str">
        <f>IFERROR(VLOOKUP($A865,observations_series_id_EXJPUS_api_key_ecc133893ea92a842ee685c734246086_file_type[],2,FALSE),"")</f>
        <v/>
      </c>
      <c r="L865" s="2" t="str">
        <f>IFERROR(VLOOKUP($A865,observations_series_id_EXJPUS_api_key_ecc133893ea92a842ee685c734246086_file_type[],3,FALSE),"")</f>
        <v/>
      </c>
      <c r="M865" t="str">
        <f>IFERROR(AVERAGEIFS(timeseries_access_key_fqeas14oitk235763mntlb1c0brnk9w3fenzqbk313q5kvxyf52kukw1pa[Value.LME-ZNC],timeseries_access_key_fqeas14oitk235763mntlb1c0brnk9w3fenzqbk313q5kvxyf52kukw1pa[Month],MONTH(Data!$A865),timeseries_access_key_fqeas14oitk235763mntlb1c0brnk9w3fenzqbk313q5kvxyf52kukw1pa[Year],YEAR(Data!$A865)),"")</f>
        <v/>
      </c>
      <c r="N865" s="2" t="str">
        <f>IFERROR(AVERAGEIFS(timeseries_access_key_fqeas14oitk235763mntlb1c0brnk9w3fenzqbk313q5kvxyf52kukw1pa[Column1],timeseries_access_key_fqeas14oitk235763mntlb1c0brnk9w3fenzqbk313q5kvxyf52kukw1pa[Month],MONTH(Data!$A865),timeseries_access_key_fqeas14oitk235763mntlb1c0brnk9w3fenzqbk313q5kvxyf52kukw1pa[Year],YEAR(Data!$A865)),"")</f>
        <v/>
      </c>
      <c r="O865" s="8" t="str">
        <f>IFERROR(VLOOKUP($A865,Text_1_2[[Text.1.1.3]:[Text.1.3]],2,FALSE),"")</f>
        <v/>
      </c>
      <c r="P865" s="2"/>
    </row>
    <row r="866" spans="1:16" x14ac:dyDescent="0.25">
      <c r="A866" s="1">
        <v>47484</v>
      </c>
      <c r="B866" t="str">
        <f>HLOOKUP(Dashboard!$I$27,results,ROW(A866),FALSE)</f>
        <v/>
      </c>
      <c r="C866" t="str">
        <f>IFERROR(VLOOKUP(A866,observations_series_id_PCU22112222112243_api_key_ecc133893ea92a842ee685c73424608[],2,FALSE),"")</f>
        <v/>
      </c>
      <c r="D866" s="2" t="str">
        <f>IFERROR(VLOOKUP(A866,observations_series_id_PCU22112222112243_api_key_ecc133893ea92a842ee685c73424608[],3,FALSE),"")</f>
        <v/>
      </c>
      <c r="E866" t="str">
        <f>IFERROR(VLOOKUP($A866,observations_series_id_WPU0613020T_api_key_ecc133893ea92a842ee685c734246086_file[],2,FALSE),"")</f>
        <v/>
      </c>
      <c r="F866" s="2" t="str">
        <f>IFERROR(VLOOKUP($A866,observations_series_id_WPU0613020T_api_key_ecc133893ea92a842ee685c734246086_file[],3,FALSE),"")</f>
        <v/>
      </c>
      <c r="G866" t="str">
        <f>IFERROR(VLOOKUP($A866,observations_series_id_PCU22122212_api_key_ecc133893ea92a842ee685c734246086_file[],2,FALSE),"")</f>
        <v/>
      </c>
      <c r="H866" s="2" t="str">
        <f>IFERROR(VLOOKUP($A866,observations_series_id_PCU22122212_api_key_ecc133893ea92a842ee685c734246086_file[],3,FALSE),"")</f>
        <v/>
      </c>
      <c r="I866" t="str">
        <f>IFERROR(VLOOKUP($A866,observations_series_id_PCU3241913241910_api_key_ecc133893ea92a842ee685c734246086[],2,FALSE),"")</f>
        <v/>
      </c>
      <c r="J866" s="2" t="str">
        <f>IFERROR(VLOOKUP($A866,observations_series_id_PCU3241913241910_api_key_ecc133893ea92a842ee685c734246086[],3,FALSE),"")</f>
        <v/>
      </c>
      <c r="K866" t="str">
        <f>IFERROR(VLOOKUP($A866,observations_series_id_EXJPUS_api_key_ecc133893ea92a842ee685c734246086_file_type[],2,FALSE),"")</f>
        <v/>
      </c>
      <c r="L866" s="2" t="str">
        <f>IFERROR(VLOOKUP($A866,observations_series_id_EXJPUS_api_key_ecc133893ea92a842ee685c734246086_file_type[],3,FALSE),"")</f>
        <v/>
      </c>
      <c r="M866" t="str">
        <f>IFERROR(AVERAGEIFS(timeseries_access_key_fqeas14oitk235763mntlb1c0brnk9w3fenzqbk313q5kvxyf52kukw1pa[Value.LME-ZNC],timeseries_access_key_fqeas14oitk235763mntlb1c0brnk9w3fenzqbk313q5kvxyf52kukw1pa[Month],MONTH(Data!$A866),timeseries_access_key_fqeas14oitk235763mntlb1c0brnk9w3fenzqbk313q5kvxyf52kukw1pa[Year],YEAR(Data!$A866)),"")</f>
        <v/>
      </c>
      <c r="N866" s="2" t="str">
        <f>IFERROR(AVERAGEIFS(timeseries_access_key_fqeas14oitk235763mntlb1c0brnk9w3fenzqbk313q5kvxyf52kukw1pa[Column1],timeseries_access_key_fqeas14oitk235763mntlb1c0brnk9w3fenzqbk313q5kvxyf52kukw1pa[Month],MONTH(Data!$A866),timeseries_access_key_fqeas14oitk235763mntlb1c0brnk9w3fenzqbk313q5kvxyf52kukw1pa[Year],YEAR(Data!$A866)),"")</f>
        <v/>
      </c>
      <c r="O866" s="8" t="str">
        <f>IFERROR(VLOOKUP($A866,Text_1_2[[Text.1.1.3]:[Text.1.3]],2,FALSE),"")</f>
        <v/>
      </c>
      <c r="P866" s="2"/>
    </row>
    <row r="867" spans="1:16" x14ac:dyDescent="0.25">
      <c r="A867" s="1">
        <v>47515</v>
      </c>
      <c r="B867" t="str">
        <f>HLOOKUP(Dashboard!$I$27,results,ROW(A867),FALSE)</f>
        <v/>
      </c>
      <c r="C867" t="str">
        <f>IFERROR(VLOOKUP(A867,observations_series_id_PCU22112222112243_api_key_ecc133893ea92a842ee685c73424608[],2,FALSE),"")</f>
        <v/>
      </c>
      <c r="D867" s="2" t="str">
        <f>IFERROR(VLOOKUP(A867,observations_series_id_PCU22112222112243_api_key_ecc133893ea92a842ee685c73424608[],3,FALSE),"")</f>
        <v/>
      </c>
      <c r="E867" t="str">
        <f>IFERROR(VLOOKUP($A867,observations_series_id_WPU0613020T_api_key_ecc133893ea92a842ee685c734246086_file[],2,FALSE),"")</f>
        <v/>
      </c>
      <c r="F867" s="2" t="str">
        <f>IFERROR(VLOOKUP($A867,observations_series_id_WPU0613020T_api_key_ecc133893ea92a842ee685c734246086_file[],3,FALSE),"")</f>
        <v/>
      </c>
      <c r="G867" t="str">
        <f>IFERROR(VLOOKUP($A867,observations_series_id_PCU22122212_api_key_ecc133893ea92a842ee685c734246086_file[],2,FALSE),"")</f>
        <v/>
      </c>
      <c r="H867" s="2" t="str">
        <f>IFERROR(VLOOKUP($A867,observations_series_id_PCU22122212_api_key_ecc133893ea92a842ee685c734246086_file[],3,FALSE),"")</f>
        <v/>
      </c>
      <c r="I867" t="str">
        <f>IFERROR(VLOOKUP($A867,observations_series_id_PCU3241913241910_api_key_ecc133893ea92a842ee685c734246086[],2,FALSE),"")</f>
        <v/>
      </c>
      <c r="J867" s="2" t="str">
        <f>IFERROR(VLOOKUP($A867,observations_series_id_PCU3241913241910_api_key_ecc133893ea92a842ee685c734246086[],3,FALSE),"")</f>
        <v/>
      </c>
      <c r="K867" t="str">
        <f>IFERROR(VLOOKUP($A867,observations_series_id_EXJPUS_api_key_ecc133893ea92a842ee685c734246086_file_type[],2,FALSE),"")</f>
        <v/>
      </c>
      <c r="L867" s="2" t="str">
        <f>IFERROR(VLOOKUP($A867,observations_series_id_EXJPUS_api_key_ecc133893ea92a842ee685c734246086_file_type[],3,FALSE),"")</f>
        <v/>
      </c>
      <c r="M867" t="str">
        <f>IFERROR(AVERAGEIFS(timeseries_access_key_fqeas14oitk235763mntlb1c0brnk9w3fenzqbk313q5kvxyf52kukw1pa[Value.LME-ZNC],timeseries_access_key_fqeas14oitk235763mntlb1c0brnk9w3fenzqbk313q5kvxyf52kukw1pa[Month],MONTH(Data!$A867),timeseries_access_key_fqeas14oitk235763mntlb1c0brnk9w3fenzqbk313q5kvxyf52kukw1pa[Year],YEAR(Data!$A867)),"")</f>
        <v/>
      </c>
      <c r="N867" s="2" t="str">
        <f>IFERROR(AVERAGEIFS(timeseries_access_key_fqeas14oitk235763mntlb1c0brnk9w3fenzqbk313q5kvxyf52kukw1pa[Column1],timeseries_access_key_fqeas14oitk235763mntlb1c0brnk9w3fenzqbk313q5kvxyf52kukw1pa[Month],MONTH(Data!$A867),timeseries_access_key_fqeas14oitk235763mntlb1c0brnk9w3fenzqbk313q5kvxyf52kukw1pa[Year],YEAR(Data!$A867)),"")</f>
        <v/>
      </c>
      <c r="O867" s="8" t="str">
        <f>IFERROR(VLOOKUP($A867,Text_1_2[[Text.1.1.3]:[Text.1.3]],2,FALSE),"")</f>
        <v/>
      </c>
      <c r="P867" s="2"/>
    </row>
    <row r="868" spans="1:16" x14ac:dyDescent="0.25">
      <c r="A868" s="1">
        <v>47543</v>
      </c>
      <c r="B868" t="str">
        <f>HLOOKUP(Dashboard!$I$27,results,ROW(A868),FALSE)</f>
        <v/>
      </c>
      <c r="C868" t="str">
        <f>IFERROR(VLOOKUP(A868,observations_series_id_PCU22112222112243_api_key_ecc133893ea92a842ee685c73424608[],2,FALSE),"")</f>
        <v/>
      </c>
      <c r="D868" s="2" t="str">
        <f>IFERROR(VLOOKUP(A868,observations_series_id_PCU22112222112243_api_key_ecc133893ea92a842ee685c73424608[],3,FALSE),"")</f>
        <v/>
      </c>
      <c r="E868" t="str">
        <f>IFERROR(VLOOKUP($A868,observations_series_id_WPU0613020T_api_key_ecc133893ea92a842ee685c734246086_file[],2,FALSE),"")</f>
        <v/>
      </c>
      <c r="F868" s="2" t="str">
        <f>IFERROR(VLOOKUP($A868,observations_series_id_WPU0613020T_api_key_ecc133893ea92a842ee685c734246086_file[],3,FALSE),"")</f>
        <v/>
      </c>
      <c r="G868" t="str">
        <f>IFERROR(VLOOKUP($A868,observations_series_id_PCU22122212_api_key_ecc133893ea92a842ee685c734246086_file[],2,FALSE),"")</f>
        <v/>
      </c>
      <c r="H868" s="2" t="str">
        <f>IFERROR(VLOOKUP($A868,observations_series_id_PCU22122212_api_key_ecc133893ea92a842ee685c734246086_file[],3,FALSE),"")</f>
        <v/>
      </c>
      <c r="I868" t="str">
        <f>IFERROR(VLOOKUP($A868,observations_series_id_PCU3241913241910_api_key_ecc133893ea92a842ee685c734246086[],2,FALSE),"")</f>
        <v/>
      </c>
      <c r="J868" s="2" t="str">
        <f>IFERROR(VLOOKUP($A868,observations_series_id_PCU3241913241910_api_key_ecc133893ea92a842ee685c734246086[],3,FALSE),"")</f>
        <v/>
      </c>
      <c r="K868" t="str">
        <f>IFERROR(VLOOKUP($A868,observations_series_id_EXJPUS_api_key_ecc133893ea92a842ee685c734246086_file_type[],2,FALSE),"")</f>
        <v/>
      </c>
      <c r="L868" s="2" t="str">
        <f>IFERROR(VLOOKUP($A868,observations_series_id_EXJPUS_api_key_ecc133893ea92a842ee685c734246086_file_type[],3,FALSE),"")</f>
        <v/>
      </c>
      <c r="M868" t="str">
        <f>IFERROR(AVERAGEIFS(timeseries_access_key_fqeas14oitk235763mntlb1c0brnk9w3fenzqbk313q5kvxyf52kukw1pa[Value.LME-ZNC],timeseries_access_key_fqeas14oitk235763mntlb1c0brnk9w3fenzqbk313q5kvxyf52kukw1pa[Month],MONTH(Data!$A868),timeseries_access_key_fqeas14oitk235763mntlb1c0brnk9w3fenzqbk313q5kvxyf52kukw1pa[Year],YEAR(Data!$A868)),"")</f>
        <v/>
      </c>
      <c r="N868" s="2" t="str">
        <f>IFERROR(AVERAGEIFS(timeseries_access_key_fqeas14oitk235763mntlb1c0brnk9w3fenzqbk313q5kvxyf52kukw1pa[Column1],timeseries_access_key_fqeas14oitk235763mntlb1c0brnk9w3fenzqbk313q5kvxyf52kukw1pa[Month],MONTH(Data!$A868),timeseries_access_key_fqeas14oitk235763mntlb1c0brnk9w3fenzqbk313q5kvxyf52kukw1pa[Year],YEAR(Data!$A868)),"")</f>
        <v/>
      </c>
      <c r="O868" s="8" t="str">
        <f>IFERROR(VLOOKUP($A868,Text_1_2[[Text.1.1.3]:[Text.1.3]],2,FALSE),"")</f>
        <v/>
      </c>
      <c r="P868" s="2"/>
    </row>
    <row r="869" spans="1:16" x14ac:dyDescent="0.25">
      <c r="A869" s="1">
        <v>47574</v>
      </c>
      <c r="B869" t="str">
        <f>HLOOKUP(Dashboard!$I$27,results,ROW(A869),FALSE)</f>
        <v/>
      </c>
      <c r="C869" t="str">
        <f>IFERROR(VLOOKUP(A869,observations_series_id_PCU22112222112243_api_key_ecc133893ea92a842ee685c73424608[],2,FALSE),"")</f>
        <v/>
      </c>
      <c r="D869" s="2" t="str">
        <f>IFERROR(VLOOKUP(A869,observations_series_id_PCU22112222112243_api_key_ecc133893ea92a842ee685c73424608[],3,FALSE),"")</f>
        <v/>
      </c>
      <c r="E869" t="str">
        <f>IFERROR(VLOOKUP($A869,observations_series_id_WPU0613020T_api_key_ecc133893ea92a842ee685c734246086_file[],2,FALSE),"")</f>
        <v/>
      </c>
      <c r="F869" s="2" t="str">
        <f>IFERROR(VLOOKUP($A869,observations_series_id_WPU0613020T_api_key_ecc133893ea92a842ee685c734246086_file[],3,FALSE),"")</f>
        <v/>
      </c>
      <c r="G869" t="str">
        <f>IFERROR(VLOOKUP($A869,observations_series_id_PCU22122212_api_key_ecc133893ea92a842ee685c734246086_file[],2,FALSE),"")</f>
        <v/>
      </c>
      <c r="H869" s="2" t="str">
        <f>IFERROR(VLOOKUP($A869,observations_series_id_PCU22122212_api_key_ecc133893ea92a842ee685c734246086_file[],3,FALSE),"")</f>
        <v/>
      </c>
      <c r="I869" t="str">
        <f>IFERROR(VLOOKUP($A869,observations_series_id_PCU3241913241910_api_key_ecc133893ea92a842ee685c734246086[],2,FALSE),"")</f>
        <v/>
      </c>
      <c r="J869" s="2" t="str">
        <f>IFERROR(VLOOKUP($A869,observations_series_id_PCU3241913241910_api_key_ecc133893ea92a842ee685c734246086[],3,FALSE),"")</f>
        <v/>
      </c>
      <c r="K869" t="str">
        <f>IFERROR(VLOOKUP($A869,observations_series_id_EXJPUS_api_key_ecc133893ea92a842ee685c734246086_file_type[],2,FALSE),"")</f>
        <v/>
      </c>
      <c r="L869" s="2" t="str">
        <f>IFERROR(VLOOKUP($A869,observations_series_id_EXJPUS_api_key_ecc133893ea92a842ee685c734246086_file_type[],3,FALSE),"")</f>
        <v/>
      </c>
      <c r="M869" t="str">
        <f>IFERROR(AVERAGEIFS(timeseries_access_key_fqeas14oitk235763mntlb1c0brnk9w3fenzqbk313q5kvxyf52kukw1pa[Value.LME-ZNC],timeseries_access_key_fqeas14oitk235763mntlb1c0brnk9w3fenzqbk313q5kvxyf52kukw1pa[Month],MONTH(Data!$A869),timeseries_access_key_fqeas14oitk235763mntlb1c0brnk9w3fenzqbk313q5kvxyf52kukw1pa[Year],YEAR(Data!$A869)),"")</f>
        <v/>
      </c>
      <c r="N869" s="2" t="str">
        <f>IFERROR(AVERAGEIFS(timeseries_access_key_fqeas14oitk235763mntlb1c0brnk9w3fenzqbk313q5kvxyf52kukw1pa[Column1],timeseries_access_key_fqeas14oitk235763mntlb1c0brnk9w3fenzqbk313q5kvxyf52kukw1pa[Month],MONTH(Data!$A869),timeseries_access_key_fqeas14oitk235763mntlb1c0brnk9w3fenzqbk313q5kvxyf52kukw1pa[Year],YEAR(Data!$A869)),"")</f>
        <v/>
      </c>
      <c r="O869" s="8" t="str">
        <f>IFERROR(VLOOKUP($A869,Text_1_2[[Text.1.1.3]:[Text.1.3]],2,FALSE),"")</f>
        <v/>
      </c>
      <c r="P869" s="2"/>
    </row>
    <row r="870" spans="1:16" x14ac:dyDescent="0.25">
      <c r="A870" s="1">
        <v>47604</v>
      </c>
      <c r="B870" t="str">
        <f>HLOOKUP(Dashboard!$I$27,results,ROW(A870),FALSE)</f>
        <v/>
      </c>
      <c r="C870" t="str">
        <f>IFERROR(VLOOKUP(A870,observations_series_id_PCU22112222112243_api_key_ecc133893ea92a842ee685c73424608[],2,FALSE),"")</f>
        <v/>
      </c>
      <c r="D870" s="2" t="str">
        <f>IFERROR(VLOOKUP(A870,observations_series_id_PCU22112222112243_api_key_ecc133893ea92a842ee685c73424608[],3,FALSE),"")</f>
        <v/>
      </c>
      <c r="E870" t="str">
        <f>IFERROR(VLOOKUP($A870,observations_series_id_WPU0613020T_api_key_ecc133893ea92a842ee685c734246086_file[],2,FALSE),"")</f>
        <v/>
      </c>
      <c r="F870" s="2" t="str">
        <f>IFERROR(VLOOKUP($A870,observations_series_id_WPU0613020T_api_key_ecc133893ea92a842ee685c734246086_file[],3,FALSE),"")</f>
        <v/>
      </c>
      <c r="G870" t="str">
        <f>IFERROR(VLOOKUP($A870,observations_series_id_PCU22122212_api_key_ecc133893ea92a842ee685c734246086_file[],2,FALSE),"")</f>
        <v/>
      </c>
      <c r="H870" s="2" t="str">
        <f>IFERROR(VLOOKUP($A870,observations_series_id_PCU22122212_api_key_ecc133893ea92a842ee685c734246086_file[],3,FALSE),"")</f>
        <v/>
      </c>
      <c r="I870" t="str">
        <f>IFERROR(VLOOKUP($A870,observations_series_id_PCU3241913241910_api_key_ecc133893ea92a842ee685c734246086[],2,FALSE),"")</f>
        <v/>
      </c>
      <c r="J870" s="2" t="str">
        <f>IFERROR(VLOOKUP($A870,observations_series_id_PCU3241913241910_api_key_ecc133893ea92a842ee685c734246086[],3,FALSE),"")</f>
        <v/>
      </c>
      <c r="K870" t="str">
        <f>IFERROR(VLOOKUP($A870,observations_series_id_EXJPUS_api_key_ecc133893ea92a842ee685c734246086_file_type[],2,FALSE),"")</f>
        <v/>
      </c>
      <c r="L870" s="2" t="str">
        <f>IFERROR(VLOOKUP($A870,observations_series_id_EXJPUS_api_key_ecc133893ea92a842ee685c734246086_file_type[],3,FALSE),"")</f>
        <v/>
      </c>
      <c r="M870" t="str">
        <f>IFERROR(AVERAGEIFS(timeseries_access_key_fqeas14oitk235763mntlb1c0brnk9w3fenzqbk313q5kvxyf52kukw1pa[Value.LME-ZNC],timeseries_access_key_fqeas14oitk235763mntlb1c0brnk9w3fenzqbk313q5kvxyf52kukw1pa[Month],MONTH(Data!$A870),timeseries_access_key_fqeas14oitk235763mntlb1c0brnk9w3fenzqbk313q5kvxyf52kukw1pa[Year],YEAR(Data!$A870)),"")</f>
        <v/>
      </c>
      <c r="N870" s="2" t="str">
        <f>IFERROR(AVERAGEIFS(timeseries_access_key_fqeas14oitk235763mntlb1c0brnk9w3fenzqbk313q5kvxyf52kukw1pa[Column1],timeseries_access_key_fqeas14oitk235763mntlb1c0brnk9w3fenzqbk313q5kvxyf52kukw1pa[Month],MONTH(Data!$A870),timeseries_access_key_fqeas14oitk235763mntlb1c0brnk9w3fenzqbk313q5kvxyf52kukw1pa[Year],YEAR(Data!$A870)),"")</f>
        <v/>
      </c>
      <c r="O870" s="8" t="str">
        <f>IFERROR(VLOOKUP($A870,Text_1_2[[Text.1.1.3]:[Text.1.3]],2,FALSE),"")</f>
        <v/>
      </c>
      <c r="P870" s="2"/>
    </row>
    <row r="871" spans="1:16" x14ac:dyDescent="0.25">
      <c r="A871" s="1">
        <v>47635</v>
      </c>
      <c r="B871" t="str">
        <f>HLOOKUP(Dashboard!$I$27,results,ROW(A871),FALSE)</f>
        <v/>
      </c>
      <c r="C871" t="str">
        <f>IFERROR(VLOOKUP(A871,observations_series_id_PCU22112222112243_api_key_ecc133893ea92a842ee685c73424608[],2,FALSE),"")</f>
        <v/>
      </c>
      <c r="D871" s="2" t="str">
        <f>IFERROR(VLOOKUP(A871,observations_series_id_PCU22112222112243_api_key_ecc133893ea92a842ee685c73424608[],3,FALSE),"")</f>
        <v/>
      </c>
      <c r="E871" t="str">
        <f>IFERROR(VLOOKUP($A871,observations_series_id_WPU0613020T_api_key_ecc133893ea92a842ee685c734246086_file[],2,FALSE),"")</f>
        <v/>
      </c>
      <c r="F871" s="2" t="str">
        <f>IFERROR(VLOOKUP($A871,observations_series_id_WPU0613020T_api_key_ecc133893ea92a842ee685c734246086_file[],3,FALSE),"")</f>
        <v/>
      </c>
      <c r="G871" t="str">
        <f>IFERROR(VLOOKUP($A871,observations_series_id_PCU22122212_api_key_ecc133893ea92a842ee685c734246086_file[],2,FALSE),"")</f>
        <v/>
      </c>
      <c r="H871" s="2" t="str">
        <f>IFERROR(VLOOKUP($A871,observations_series_id_PCU22122212_api_key_ecc133893ea92a842ee685c734246086_file[],3,FALSE),"")</f>
        <v/>
      </c>
      <c r="I871" t="str">
        <f>IFERROR(VLOOKUP($A871,observations_series_id_PCU3241913241910_api_key_ecc133893ea92a842ee685c734246086[],2,FALSE),"")</f>
        <v/>
      </c>
      <c r="J871" s="2" t="str">
        <f>IFERROR(VLOOKUP($A871,observations_series_id_PCU3241913241910_api_key_ecc133893ea92a842ee685c734246086[],3,FALSE),"")</f>
        <v/>
      </c>
      <c r="K871" t="str">
        <f>IFERROR(VLOOKUP($A871,observations_series_id_EXJPUS_api_key_ecc133893ea92a842ee685c734246086_file_type[],2,FALSE),"")</f>
        <v/>
      </c>
      <c r="L871" s="2" t="str">
        <f>IFERROR(VLOOKUP($A871,observations_series_id_EXJPUS_api_key_ecc133893ea92a842ee685c734246086_file_type[],3,FALSE),"")</f>
        <v/>
      </c>
      <c r="M871" t="str">
        <f>IFERROR(AVERAGEIFS(timeseries_access_key_fqeas14oitk235763mntlb1c0brnk9w3fenzqbk313q5kvxyf52kukw1pa[Value.LME-ZNC],timeseries_access_key_fqeas14oitk235763mntlb1c0brnk9w3fenzqbk313q5kvxyf52kukw1pa[Month],MONTH(Data!$A871),timeseries_access_key_fqeas14oitk235763mntlb1c0brnk9w3fenzqbk313q5kvxyf52kukw1pa[Year],YEAR(Data!$A871)),"")</f>
        <v/>
      </c>
      <c r="N871" s="2" t="str">
        <f>IFERROR(AVERAGEIFS(timeseries_access_key_fqeas14oitk235763mntlb1c0brnk9w3fenzqbk313q5kvxyf52kukw1pa[Column1],timeseries_access_key_fqeas14oitk235763mntlb1c0brnk9w3fenzqbk313q5kvxyf52kukw1pa[Month],MONTH(Data!$A871),timeseries_access_key_fqeas14oitk235763mntlb1c0brnk9w3fenzqbk313q5kvxyf52kukw1pa[Year],YEAR(Data!$A871)),"")</f>
        <v/>
      </c>
      <c r="O871" s="8" t="str">
        <f>IFERROR(VLOOKUP($A871,Text_1_2[[Text.1.1.3]:[Text.1.3]],2,FALSE),"")</f>
        <v/>
      </c>
      <c r="P871" s="2"/>
    </row>
    <row r="872" spans="1:16" x14ac:dyDescent="0.25">
      <c r="A872" s="1">
        <v>47665</v>
      </c>
      <c r="B872" t="str">
        <f>HLOOKUP(Dashboard!$I$27,results,ROW(A872),FALSE)</f>
        <v/>
      </c>
      <c r="C872" t="str">
        <f>IFERROR(VLOOKUP(A872,observations_series_id_PCU22112222112243_api_key_ecc133893ea92a842ee685c73424608[],2,FALSE),"")</f>
        <v/>
      </c>
      <c r="D872" s="2" t="str">
        <f>IFERROR(VLOOKUP(A872,observations_series_id_PCU22112222112243_api_key_ecc133893ea92a842ee685c73424608[],3,FALSE),"")</f>
        <v/>
      </c>
      <c r="E872" t="str">
        <f>IFERROR(VLOOKUP($A872,observations_series_id_WPU0613020T_api_key_ecc133893ea92a842ee685c734246086_file[],2,FALSE),"")</f>
        <v/>
      </c>
      <c r="F872" s="2" t="str">
        <f>IFERROR(VLOOKUP($A872,observations_series_id_WPU0613020T_api_key_ecc133893ea92a842ee685c734246086_file[],3,FALSE),"")</f>
        <v/>
      </c>
      <c r="G872" t="str">
        <f>IFERROR(VLOOKUP($A872,observations_series_id_PCU22122212_api_key_ecc133893ea92a842ee685c734246086_file[],2,FALSE),"")</f>
        <v/>
      </c>
      <c r="H872" s="2" t="str">
        <f>IFERROR(VLOOKUP($A872,observations_series_id_PCU22122212_api_key_ecc133893ea92a842ee685c734246086_file[],3,FALSE),"")</f>
        <v/>
      </c>
      <c r="I872" t="str">
        <f>IFERROR(VLOOKUP($A872,observations_series_id_PCU3241913241910_api_key_ecc133893ea92a842ee685c734246086[],2,FALSE),"")</f>
        <v/>
      </c>
      <c r="J872" s="2" t="str">
        <f>IFERROR(VLOOKUP($A872,observations_series_id_PCU3241913241910_api_key_ecc133893ea92a842ee685c734246086[],3,FALSE),"")</f>
        <v/>
      </c>
      <c r="K872" t="str">
        <f>IFERROR(VLOOKUP($A872,observations_series_id_EXJPUS_api_key_ecc133893ea92a842ee685c734246086_file_type[],2,FALSE),"")</f>
        <v/>
      </c>
      <c r="L872" s="2" t="str">
        <f>IFERROR(VLOOKUP($A872,observations_series_id_EXJPUS_api_key_ecc133893ea92a842ee685c734246086_file_type[],3,FALSE),"")</f>
        <v/>
      </c>
      <c r="M872" t="str">
        <f>IFERROR(AVERAGEIFS(timeseries_access_key_fqeas14oitk235763mntlb1c0brnk9w3fenzqbk313q5kvxyf52kukw1pa[Value.LME-ZNC],timeseries_access_key_fqeas14oitk235763mntlb1c0brnk9w3fenzqbk313q5kvxyf52kukw1pa[Month],MONTH(Data!$A872),timeseries_access_key_fqeas14oitk235763mntlb1c0brnk9w3fenzqbk313q5kvxyf52kukw1pa[Year],YEAR(Data!$A872)),"")</f>
        <v/>
      </c>
      <c r="N872" s="2" t="str">
        <f>IFERROR(AVERAGEIFS(timeseries_access_key_fqeas14oitk235763mntlb1c0brnk9w3fenzqbk313q5kvxyf52kukw1pa[Column1],timeseries_access_key_fqeas14oitk235763mntlb1c0brnk9w3fenzqbk313q5kvxyf52kukw1pa[Month],MONTH(Data!$A872),timeseries_access_key_fqeas14oitk235763mntlb1c0brnk9w3fenzqbk313q5kvxyf52kukw1pa[Year],YEAR(Data!$A872)),"")</f>
        <v/>
      </c>
      <c r="O872" s="8" t="str">
        <f>IFERROR(VLOOKUP($A872,Text_1_2[[Text.1.1.3]:[Text.1.3]],2,FALSE),"")</f>
        <v/>
      </c>
      <c r="P872" s="2"/>
    </row>
    <row r="873" spans="1:16" x14ac:dyDescent="0.25">
      <c r="A873" s="1">
        <v>47696</v>
      </c>
      <c r="B873" t="str">
        <f>HLOOKUP(Dashboard!$I$27,results,ROW(A873),FALSE)</f>
        <v/>
      </c>
      <c r="C873" t="str">
        <f>IFERROR(VLOOKUP(A873,observations_series_id_PCU22112222112243_api_key_ecc133893ea92a842ee685c73424608[],2,FALSE),"")</f>
        <v/>
      </c>
      <c r="D873" s="2" t="str">
        <f>IFERROR(VLOOKUP(A873,observations_series_id_PCU22112222112243_api_key_ecc133893ea92a842ee685c73424608[],3,FALSE),"")</f>
        <v/>
      </c>
      <c r="E873" t="str">
        <f>IFERROR(VLOOKUP($A873,observations_series_id_WPU0613020T_api_key_ecc133893ea92a842ee685c734246086_file[],2,FALSE),"")</f>
        <v/>
      </c>
      <c r="F873" s="2" t="str">
        <f>IFERROR(VLOOKUP($A873,observations_series_id_WPU0613020T_api_key_ecc133893ea92a842ee685c734246086_file[],3,FALSE),"")</f>
        <v/>
      </c>
      <c r="G873" t="str">
        <f>IFERROR(VLOOKUP($A873,observations_series_id_PCU22122212_api_key_ecc133893ea92a842ee685c734246086_file[],2,FALSE),"")</f>
        <v/>
      </c>
      <c r="H873" s="2" t="str">
        <f>IFERROR(VLOOKUP($A873,observations_series_id_PCU22122212_api_key_ecc133893ea92a842ee685c734246086_file[],3,FALSE),"")</f>
        <v/>
      </c>
      <c r="I873" t="str">
        <f>IFERROR(VLOOKUP($A873,observations_series_id_PCU3241913241910_api_key_ecc133893ea92a842ee685c734246086[],2,FALSE),"")</f>
        <v/>
      </c>
      <c r="J873" s="2" t="str">
        <f>IFERROR(VLOOKUP($A873,observations_series_id_PCU3241913241910_api_key_ecc133893ea92a842ee685c734246086[],3,FALSE),"")</f>
        <v/>
      </c>
      <c r="K873" t="str">
        <f>IFERROR(VLOOKUP($A873,observations_series_id_EXJPUS_api_key_ecc133893ea92a842ee685c734246086_file_type[],2,FALSE),"")</f>
        <v/>
      </c>
      <c r="L873" s="2" t="str">
        <f>IFERROR(VLOOKUP($A873,observations_series_id_EXJPUS_api_key_ecc133893ea92a842ee685c734246086_file_type[],3,FALSE),"")</f>
        <v/>
      </c>
      <c r="M873" t="str">
        <f>IFERROR(AVERAGEIFS(timeseries_access_key_fqeas14oitk235763mntlb1c0brnk9w3fenzqbk313q5kvxyf52kukw1pa[Value.LME-ZNC],timeseries_access_key_fqeas14oitk235763mntlb1c0brnk9w3fenzqbk313q5kvxyf52kukw1pa[Month],MONTH(Data!$A873),timeseries_access_key_fqeas14oitk235763mntlb1c0brnk9w3fenzqbk313q5kvxyf52kukw1pa[Year],YEAR(Data!$A873)),"")</f>
        <v/>
      </c>
      <c r="N873" s="2" t="str">
        <f>IFERROR(AVERAGEIFS(timeseries_access_key_fqeas14oitk235763mntlb1c0brnk9w3fenzqbk313q5kvxyf52kukw1pa[Column1],timeseries_access_key_fqeas14oitk235763mntlb1c0brnk9w3fenzqbk313q5kvxyf52kukw1pa[Month],MONTH(Data!$A873),timeseries_access_key_fqeas14oitk235763mntlb1c0brnk9w3fenzqbk313q5kvxyf52kukw1pa[Year],YEAR(Data!$A873)),"")</f>
        <v/>
      </c>
      <c r="O873" s="8" t="str">
        <f>IFERROR(VLOOKUP($A873,Text_1_2[[Text.1.1.3]:[Text.1.3]],2,FALSE),"")</f>
        <v/>
      </c>
      <c r="P873" s="2"/>
    </row>
    <row r="874" spans="1:16" x14ac:dyDescent="0.25">
      <c r="A874" s="1">
        <v>47727</v>
      </c>
      <c r="B874" t="str">
        <f>HLOOKUP(Dashboard!$I$27,results,ROW(A874),FALSE)</f>
        <v/>
      </c>
      <c r="C874" t="str">
        <f>IFERROR(VLOOKUP(A874,observations_series_id_PCU22112222112243_api_key_ecc133893ea92a842ee685c73424608[],2,FALSE),"")</f>
        <v/>
      </c>
      <c r="D874" s="2" t="str">
        <f>IFERROR(VLOOKUP(A874,observations_series_id_PCU22112222112243_api_key_ecc133893ea92a842ee685c73424608[],3,FALSE),"")</f>
        <v/>
      </c>
      <c r="E874" t="str">
        <f>IFERROR(VLOOKUP($A874,observations_series_id_WPU0613020T_api_key_ecc133893ea92a842ee685c734246086_file[],2,FALSE),"")</f>
        <v/>
      </c>
      <c r="F874" s="2" t="str">
        <f>IFERROR(VLOOKUP($A874,observations_series_id_WPU0613020T_api_key_ecc133893ea92a842ee685c734246086_file[],3,FALSE),"")</f>
        <v/>
      </c>
      <c r="G874" t="str">
        <f>IFERROR(VLOOKUP($A874,observations_series_id_PCU22122212_api_key_ecc133893ea92a842ee685c734246086_file[],2,FALSE),"")</f>
        <v/>
      </c>
      <c r="H874" s="2" t="str">
        <f>IFERROR(VLOOKUP($A874,observations_series_id_PCU22122212_api_key_ecc133893ea92a842ee685c734246086_file[],3,FALSE),"")</f>
        <v/>
      </c>
      <c r="I874" t="str">
        <f>IFERROR(VLOOKUP($A874,observations_series_id_PCU3241913241910_api_key_ecc133893ea92a842ee685c734246086[],2,FALSE),"")</f>
        <v/>
      </c>
      <c r="J874" s="2" t="str">
        <f>IFERROR(VLOOKUP($A874,observations_series_id_PCU3241913241910_api_key_ecc133893ea92a842ee685c734246086[],3,FALSE),"")</f>
        <v/>
      </c>
      <c r="K874" t="str">
        <f>IFERROR(VLOOKUP($A874,observations_series_id_EXJPUS_api_key_ecc133893ea92a842ee685c734246086_file_type[],2,FALSE),"")</f>
        <v/>
      </c>
      <c r="L874" s="2" t="str">
        <f>IFERROR(VLOOKUP($A874,observations_series_id_EXJPUS_api_key_ecc133893ea92a842ee685c734246086_file_type[],3,FALSE),"")</f>
        <v/>
      </c>
      <c r="M874" t="str">
        <f>IFERROR(AVERAGEIFS(timeseries_access_key_fqeas14oitk235763mntlb1c0brnk9w3fenzqbk313q5kvxyf52kukw1pa[Value.LME-ZNC],timeseries_access_key_fqeas14oitk235763mntlb1c0brnk9w3fenzqbk313q5kvxyf52kukw1pa[Month],MONTH(Data!$A874),timeseries_access_key_fqeas14oitk235763mntlb1c0brnk9w3fenzqbk313q5kvxyf52kukw1pa[Year],YEAR(Data!$A874)),"")</f>
        <v/>
      </c>
      <c r="N874" s="2" t="str">
        <f>IFERROR(AVERAGEIFS(timeseries_access_key_fqeas14oitk235763mntlb1c0brnk9w3fenzqbk313q5kvxyf52kukw1pa[Column1],timeseries_access_key_fqeas14oitk235763mntlb1c0brnk9w3fenzqbk313q5kvxyf52kukw1pa[Month],MONTH(Data!$A874),timeseries_access_key_fqeas14oitk235763mntlb1c0brnk9w3fenzqbk313q5kvxyf52kukw1pa[Year],YEAR(Data!$A874)),"")</f>
        <v/>
      </c>
      <c r="O874" s="8" t="str">
        <f>IFERROR(VLOOKUP($A874,Text_1_2[[Text.1.1.3]:[Text.1.3]],2,FALSE),"")</f>
        <v/>
      </c>
      <c r="P874" s="2"/>
    </row>
    <row r="875" spans="1:16" x14ac:dyDescent="0.25">
      <c r="A875" s="1">
        <v>47757</v>
      </c>
      <c r="B875" t="str">
        <f>HLOOKUP(Dashboard!$I$27,results,ROW(A875),FALSE)</f>
        <v/>
      </c>
      <c r="C875" t="str">
        <f>IFERROR(VLOOKUP(A875,observations_series_id_PCU22112222112243_api_key_ecc133893ea92a842ee685c73424608[],2,FALSE),"")</f>
        <v/>
      </c>
      <c r="D875" s="2" t="str">
        <f>IFERROR(VLOOKUP(A875,observations_series_id_PCU22112222112243_api_key_ecc133893ea92a842ee685c73424608[],3,FALSE),"")</f>
        <v/>
      </c>
      <c r="E875" t="str">
        <f>IFERROR(VLOOKUP($A875,observations_series_id_WPU0613020T_api_key_ecc133893ea92a842ee685c734246086_file[],2,FALSE),"")</f>
        <v/>
      </c>
      <c r="F875" s="2" t="str">
        <f>IFERROR(VLOOKUP($A875,observations_series_id_WPU0613020T_api_key_ecc133893ea92a842ee685c734246086_file[],3,FALSE),"")</f>
        <v/>
      </c>
      <c r="G875" t="str">
        <f>IFERROR(VLOOKUP($A875,observations_series_id_PCU22122212_api_key_ecc133893ea92a842ee685c734246086_file[],2,FALSE),"")</f>
        <v/>
      </c>
      <c r="H875" s="2" t="str">
        <f>IFERROR(VLOOKUP($A875,observations_series_id_PCU22122212_api_key_ecc133893ea92a842ee685c734246086_file[],3,FALSE),"")</f>
        <v/>
      </c>
      <c r="I875" t="str">
        <f>IFERROR(VLOOKUP($A875,observations_series_id_PCU3241913241910_api_key_ecc133893ea92a842ee685c734246086[],2,FALSE),"")</f>
        <v/>
      </c>
      <c r="J875" s="2" t="str">
        <f>IFERROR(VLOOKUP($A875,observations_series_id_PCU3241913241910_api_key_ecc133893ea92a842ee685c734246086[],3,FALSE),"")</f>
        <v/>
      </c>
      <c r="K875" t="str">
        <f>IFERROR(VLOOKUP($A875,observations_series_id_EXJPUS_api_key_ecc133893ea92a842ee685c734246086_file_type[],2,FALSE),"")</f>
        <v/>
      </c>
      <c r="L875" s="2" t="str">
        <f>IFERROR(VLOOKUP($A875,observations_series_id_EXJPUS_api_key_ecc133893ea92a842ee685c734246086_file_type[],3,FALSE),"")</f>
        <v/>
      </c>
      <c r="M875" t="str">
        <f>IFERROR(AVERAGEIFS(timeseries_access_key_fqeas14oitk235763mntlb1c0brnk9w3fenzqbk313q5kvxyf52kukw1pa[Value.LME-ZNC],timeseries_access_key_fqeas14oitk235763mntlb1c0brnk9w3fenzqbk313q5kvxyf52kukw1pa[Month],MONTH(Data!$A875),timeseries_access_key_fqeas14oitk235763mntlb1c0brnk9w3fenzqbk313q5kvxyf52kukw1pa[Year],YEAR(Data!$A875)),"")</f>
        <v/>
      </c>
      <c r="N875" s="2" t="str">
        <f>IFERROR(AVERAGEIFS(timeseries_access_key_fqeas14oitk235763mntlb1c0brnk9w3fenzqbk313q5kvxyf52kukw1pa[Column1],timeseries_access_key_fqeas14oitk235763mntlb1c0brnk9w3fenzqbk313q5kvxyf52kukw1pa[Month],MONTH(Data!$A875),timeseries_access_key_fqeas14oitk235763mntlb1c0brnk9w3fenzqbk313q5kvxyf52kukw1pa[Year],YEAR(Data!$A875)),"")</f>
        <v/>
      </c>
      <c r="O875" s="8" t="str">
        <f>IFERROR(VLOOKUP($A875,Text_1_2[[Text.1.1.3]:[Text.1.3]],2,FALSE),"")</f>
        <v/>
      </c>
      <c r="P875" s="2"/>
    </row>
    <row r="876" spans="1:16" x14ac:dyDescent="0.25">
      <c r="A876" s="1">
        <v>47788</v>
      </c>
      <c r="B876" t="str">
        <f>HLOOKUP(Dashboard!$I$27,results,ROW(A876),FALSE)</f>
        <v/>
      </c>
      <c r="C876" t="str">
        <f>IFERROR(VLOOKUP(A876,observations_series_id_PCU22112222112243_api_key_ecc133893ea92a842ee685c73424608[],2,FALSE),"")</f>
        <v/>
      </c>
      <c r="D876" s="2" t="str">
        <f>IFERROR(VLOOKUP(A876,observations_series_id_PCU22112222112243_api_key_ecc133893ea92a842ee685c73424608[],3,FALSE),"")</f>
        <v/>
      </c>
      <c r="E876" t="str">
        <f>IFERROR(VLOOKUP($A876,observations_series_id_WPU0613020T_api_key_ecc133893ea92a842ee685c734246086_file[],2,FALSE),"")</f>
        <v/>
      </c>
      <c r="F876" s="2" t="str">
        <f>IFERROR(VLOOKUP($A876,observations_series_id_WPU0613020T_api_key_ecc133893ea92a842ee685c734246086_file[],3,FALSE),"")</f>
        <v/>
      </c>
      <c r="G876" t="str">
        <f>IFERROR(VLOOKUP($A876,observations_series_id_PCU22122212_api_key_ecc133893ea92a842ee685c734246086_file[],2,FALSE),"")</f>
        <v/>
      </c>
      <c r="H876" s="2" t="str">
        <f>IFERROR(VLOOKUP($A876,observations_series_id_PCU22122212_api_key_ecc133893ea92a842ee685c734246086_file[],3,FALSE),"")</f>
        <v/>
      </c>
      <c r="I876" t="str">
        <f>IFERROR(VLOOKUP($A876,observations_series_id_PCU3241913241910_api_key_ecc133893ea92a842ee685c734246086[],2,FALSE),"")</f>
        <v/>
      </c>
      <c r="J876" s="2" t="str">
        <f>IFERROR(VLOOKUP($A876,observations_series_id_PCU3241913241910_api_key_ecc133893ea92a842ee685c734246086[],3,FALSE),"")</f>
        <v/>
      </c>
      <c r="K876" t="str">
        <f>IFERROR(VLOOKUP($A876,observations_series_id_EXJPUS_api_key_ecc133893ea92a842ee685c734246086_file_type[],2,FALSE),"")</f>
        <v/>
      </c>
      <c r="L876" s="2" t="str">
        <f>IFERROR(VLOOKUP($A876,observations_series_id_EXJPUS_api_key_ecc133893ea92a842ee685c734246086_file_type[],3,FALSE),"")</f>
        <v/>
      </c>
      <c r="M876" t="str">
        <f>IFERROR(AVERAGEIFS(timeseries_access_key_fqeas14oitk235763mntlb1c0brnk9w3fenzqbk313q5kvxyf52kukw1pa[Value.LME-ZNC],timeseries_access_key_fqeas14oitk235763mntlb1c0brnk9w3fenzqbk313q5kvxyf52kukw1pa[Month],MONTH(Data!$A876),timeseries_access_key_fqeas14oitk235763mntlb1c0brnk9w3fenzqbk313q5kvxyf52kukw1pa[Year],YEAR(Data!$A876)),"")</f>
        <v/>
      </c>
      <c r="N876" s="2" t="str">
        <f>IFERROR(AVERAGEIFS(timeseries_access_key_fqeas14oitk235763mntlb1c0brnk9w3fenzqbk313q5kvxyf52kukw1pa[Column1],timeseries_access_key_fqeas14oitk235763mntlb1c0brnk9w3fenzqbk313q5kvxyf52kukw1pa[Month],MONTH(Data!$A876),timeseries_access_key_fqeas14oitk235763mntlb1c0brnk9w3fenzqbk313q5kvxyf52kukw1pa[Year],YEAR(Data!$A876)),"")</f>
        <v/>
      </c>
      <c r="O876" s="8" t="str">
        <f>IFERROR(VLOOKUP($A876,Text_1_2[[Text.1.1.3]:[Text.1.3]],2,FALSE),"")</f>
        <v/>
      </c>
      <c r="P876" s="2"/>
    </row>
    <row r="877" spans="1:16" x14ac:dyDescent="0.25">
      <c r="A877" s="1">
        <v>47818</v>
      </c>
      <c r="B877" t="str">
        <f>HLOOKUP(Dashboard!$I$27,results,ROW(A877),FALSE)</f>
        <v/>
      </c>
      <c r="C877" t="str">
        <f>IFERROR(VLOOKUP(A877,observations_series_id_PCU22112222112243_api_key_ecc133893ea92a842ee685c73424608[],2,FALSE),"")</f>
        <v/>
      </c>
      <c r="D877" s="2" t="str">
        <f>IFERROR(VLOOKUP(A877,observations_series_id_PCU22112222112243_api_key_ecc133893ea92a842ee685c73424608[],3,FALSE),"")</f>
        <v/>
      </c>
      <c r="E877" t="str">
        <f>IFERROR(VLOOKUP($A877,observations_series_id_WPU0613020T_api_key_ecc133893ea92a842ee685c734246086_file[],2,FALSE),"")</f>
        <v/>
      </c>
      <c r="F877" s="2" t="str">
        <f>IFERROR(VLOOKUP($A877,observations_series_id_WPU0613020T_api_key_ecc133893ea92a842ee685c734246086_file[],3,FALSE),"")</f>
        <v/>
      </c>
      <c r="G877" t="str">
        <f>IFERROR(VLOOKUP($A877,observations_series_id_PCU22122212_api_key_ecc133893ea92a842ee685c734246086_file[],2,FALSE),"")</f>
        <v/>
      </c>
      <c r="H877" s="2" t="str">
        <f>IFERROR(VLOOKUP($A877,observations_series_id_PCU22122212_api_key_ecc133893ea92a842ee685c734246086_file[],3,FALSE),"")</f>
        <v/>
      </c>
      <c r="I877" t="str">
        <f>IFERROR(VLOOKUP($A877,observations_series_id_PCU3241913241910_api_key_ecc133893ea92a842ee685c734246086[],2,FALSE),"")</f>
        <v/>
      </c>
      <c r="J877" s="2" t="str">
        <f>IFERROR(VLOOKUP($A877,observations_series_id_PCU3241913241910_api_key_ecc133893ea92a842ee685c734246086[],3,FALSE),"")</f>
        <v/>
      </c>
      <c r="K877" t="str">
        <f>IFERROR(VLOOKUP($A877,observations_series_id_EXJPUS_api_key_ecc133893ea92a842ee685c734246086_file_type[],2,FALSE),"")</f>
        <v/>
      </c>
      <c r="L877" s="2" t="str">
        <f>IFERROR(VLOOKUP($A877,observations_series_id_EXJPUS_api_key_ecc133893ea92a842ee685c734246086_file_type[],3,FALSE),"")</f>
        <v/>
      </c>
      <c r="M877" t="str">
        <f>IFERROR(AVERAGEIFS(timeseries_access_key_fqeas14oitk235763mntlb1c0brnk9w3fenzqbk313q5kvxyf52kukw1pa[Value.LME-ZNC],timeseries_access_key_fqeas14oitk235763mntlb1c0brnk9w3fenzqbk313q5kvxyf52kukw1pa[Month],MONTH(Data!$A877),timeseries_access_key_fqeas14oitk235763mntlb1c0brnk9w3fenzqbk313q5kvxyf52kukw1pa[Year],YEAR(Data!$A877)),"")</f>
        <v/>
      </c>
      <c r="N877" s="2" t="str">
        <f>IFERROR(AVERAGEIFS(timeseries_access_key_fqeas14oitk235763mntlb1c0brnk9w3fenzqbk313q5kvxyf52kukw1pa[Column1],timeseries_access_key_fqeas14oitk235763mntlb1c0brnk9w3fenzqbk313q5kvxyf52kukw1pa[Month],MONTH(Data!$A877),timeseries_access_key_fqeas14oitk235763mntlb1c0brnk9w3fenzqbk313q5kvxyf52kukw1pa[Year],YEAR(Data!$A877)),"")</f>
        <v/>
      </c>
      <c r="O877" s="8" t="str">
        <f>IFERROR(VLOOKUP($A877,Text_1_2[[Text.1.1.3]:[Text.1.3]],2,FALSE),"")</f>
        <v/>
      </c>
      <c r="P877" s="2"/>
    </row>
    <row r="878" spans="1:16" x14ac:dyDescent="0.25">
      <c r="A878" s="1">
        <v>47849</v>
      </c>
      <c r="B878" t="str">
        <f>HLOOKUP(Dashboard!$I$27,results,ROW(A878),FALSE)</f>
        <v/>
      </c>
      <c r="C878" t="str">
        <f>IFERROR(VLOOKUP(A878,observations_series_id_PCU22112222112243_api_key_ecc133893ea92a842ee685c73424608[],2,FALSE),"")</f>
        <v/>
      </c>
      <c r="D878" s="2" t="str">
        <f>IFERROR(VLOOKUP(A878,observations_series_id_PCU22112222112243_api_key_ecc133893ea92a842ee685c73424608[],3,FALSE),"")</f>
        <v/>
      </c>
      <c r="E878" t="str">
        <f>IFERROR(VLOOKUP($A878,observations_series_id_WPU0613020T_api_key_ecc133893ea92a842ee685c734246086_file[],2,FALSE),"")</f>
        <v/>
      </c>
      <c r="F878" s="2" t="str">
        <f>IFERROR(VLOOKUP($A878,observations_series_id_WPU0613020T_api_key_ecc133893ea92a842ee685c734246086_file[],3,FALSE),"")</f>
        <v/>
      </c>
      <c r="G878" t="str">
        <f>IFERROR(VLOOKUP($A878,observations_series_id_PCU22122212_api_key_ecc133893ea92a842ee685c734246086_file[],2,FALSE),"")</f>
        <v/>
      </c>
      <c r="H878" s="2" t="str">
        <f>IFERROR(VLOOKUP($A878,observations_series_id_PCU22122212_api_key_ecc133893ea92a842ee685c734246086_file[],3,FALSE),"")</f>
        <v/>
      </c>
      <c r="I878" t="str">
        <f>IFERROR(VLOOKUP($A878,observations_series_id_PCU3241913241910_api_key_ecc133893ea92a842ee685c734246086[],2,FALSE),"")</f>
        <v/>
      </c>
      <c r="J878" s="2" t="str">
        <f>IFERROR(VLOOKUP($A878,observations_series_id_PCU3241913241910_api_key_ecc133893ea92a842ee685c734246086[],3,FALSE),"")</f>
        <v/>
      </c>
      <c r="K878" t="str">
        <f>IFERROR(VLOOKUP($A878,observations_series_id_EXJPUS_api_key_ecc133893ea92a842ee685c734246086_file_type[],2,FALSE),"")</f>
        <v/>
      </c>
      <c r="L878" s="2" t="str">
        <f>IFERROR(VLOOKUP($A878,observations_series_id_EXJPUS_api_key_ecc133893ea92a842ee685c734246086_file_type[],3,FALSE),"")</f>
        <v/>
      </c>
      <c r="M878" t="str">
        <f>IFERROR(AVERAGEIFS(timeseries_access_key_fqeas14oitk235763mntlb1c0brnk9w3fenzqbk313q5kvxyf52kukw1pa[Value.LME-ZNC],timeseries_access_key_fqeas14oitk235763mntlb1c0brnk9w3fenzqbk313q5kvxyf52kukw1pa[Month],MONTH(Data!$A878),timeseries_access_key_fqeas14oitk235763mntlb1c0brnk9w3fenzqbk313q5kvxyf52kukw1pa[Year],YEAR(Data!$A878)),"")</f>
        <v/>
      </c>
      <c r="N878" s="2" t="str">
        <f>IFERROR(AVERAGEIFS(timeseries_access_key_fqeas14oitk235763mntlb1c0brnk9w3fenzqbk313q5kvxyf52kukw1pa[Column1],timeseries_access_key_fqeas14oitk235763mntlb1c0brnk9w3fenzqbk313q5kvxyf52kukw1pa[Month],MONTH(Data!$A878),timeseries_access_key_fqeas14oitk235763mntlb1c0brnk9w3fenzqbk313q5kvxyf52kukw1pa[Year],YEAR(Data!$A878)),"")</f>
        <v/>
      </c>
      <c r="O878" s="8" t="str">
        <f>IFERROR(VLOOKUP($A878,Text_1_2[[Text.1.1.3]:[Text.1.3]],2,FALSE),"")</f>
        <v/>
      </c>
      <c r="P878" s="2"/>
    </row>
    <row r="879" spans="1:16" x14ac:dyDescent="0.25">
      <c r="A879" s="1">
        <v>47880</v>
      </c>
      <c r="B879" t="str">
        <f>HLOOKUP(Dashboard!$I$27,results,ROW(A879),FALSE)</f>
        <v/>
      </c>
      <c r="C879" t="str">
        <f>IFERROR(VLOOKUP(A879,observations_series_id_PCU22112222112243_api_key_ecc133893ea92a842ee685c73424608[],2,FALSE),"")</f>
        <v/>
      </c>
      <c r="D879" s="2" t="str">
        <f>IFERROR(VLOOKUP(A879,observations_series_id_PCU22112222112243_api_key_ecc133893ea92a842ee685c73424608[],3,FALSE),"")</f>
        <v/>
      </c>
      <c r="E879" t="str">
        <f>IFERROR(VLOOKUP($A879,observations_series_id_WPU0613020T_api_key_ecc133893ea92a842ee685c734246086_file[],2,FALSE),"")</f>
        <v/>
      </c>
      <c r="F879" s="2" t="str">
        <f>IFERROR(VLOOKUP($A879,observations_series_id_WPU0613020T_api_key_ecc133893ea92a842ee685c734246086_file[],3,FALSE),"")</f>
        <v/>
      </c>
      <c r="G879" t="str">
        <f>IFERROR(VLOOKUP($A879,observations_series_id_PCU22122212_api_key_ecc133893ea92a842ee685c734246086_file[],2,FALSE),"")</f>
        <v/>
      </c>
      <c r="H879" s="2" t="str">
        <f>IFERROR(VLOOKUP($A879,observations_series_id_PCU22122212_api_key_ecc133893ea92a842ee685c734246086_file[],3,FALSE),"")</f>
        <v/>
      </c>
      <c r="I879" t="str">
        <f>IFERROR(VLOOKUP($A879,observations_series_id_PCU3241913241910_api_key_ecc133893ea92a842ee685c734246086[],2,FALSE),"")</f>
        <v/>
      </c>
      <c r="J879" s="2" t="str">
        <f>IFERROR(VLOOKUP($A879,observations_series_id_PCU3241913241910_api_key_ecc133893ea92a842ee685c734246086[],3,FALSE),"")</f>
        <v/>
      </c>
      <c r="K879" t="str">
        <f>IFERROR(VLOOKUP($A879,observations_series_id_EXJPUS_api_key_ecc133893ea92a842ee685c734246086_file_type[],2,FALSE),"")</f>
        <v/>
      </c>
      <c r="L879" s="2" t="str">
        <f>IFERROR(VLOOKUP($A879,observations_series_id_EXJPUS_api_key_ecc133893ea92a842ee685c734246086_file_type[],3,FALSE),"")</f>
        <v/>
      </c>
      <c r="M879" t="str">
        <f>IFERROR(AVERAGEIFS(timeseries_access_key_fqeas14oitk235763mntlb1c0brnk9w3fenzqbk313q5kvxyf52kukw1pa[Value.LME-ZNC],timeseries_access_key_fqeas14oitk235763mntlb1c0brnk9w3fenzqbk313q5kvxyf52kukw1pa[Month],MONTH(Data!$A879),timeseries_access_key_fqeas14oitk235763mntlb1c0brnk9w3fenzqbk313q5kvxyf52kukw1pa[Year],YEAR(Data!$A879)),"")</f>
        <v/>
      </c>
      <c r="N879" s="2" t="str">
        <f>IFERROR(AVERAGEIFS(timeseries_access_key_fqeas14oitk235763mntlb1c0brnk9w3fenzqbk313q5kvxyf52kukw1pa[Column1],timeseries_access_key_fqeas14oitk235763mntlb1c0brnk9w3fenzqbk313q5kvxyf52kukw1pa[Month],MONTH(Data!$A879),timeseries_access_key_fqeas14oitk235763mntlb1c0brnk9w3fenzqbk313q5kvxyf52kukw1pa[Year],YEAR(Data!$A879)),"")</f>
        <v/>
      </c>
      <c r="O879" s="8" t="str">
        <f>IFERROR(VLOOKUP($A879,Text_1_2[[Text.1.1.3]:[Text.1.3]],2,FALSE),"")</f>
        <v/>
      </c>
      <c r="P879" s="2"/>
    </row>
    <row r="880" spans="1:16" x14ac:dyDescent="0.25">
      <c r="A880" s="1">
        <v>47908</v>
      </c>
      <c r="B880" t="str">
        <f>HLOOKUP(Dashboard!$I$27,results,ROW(A880),FALSE)</f>
        <v/>
      </c>
      <c r="C880" t="str">
        <f>IFERROR(VLOOKUP(A880,observations_series_id_PCU22112222112243_api_key_ecc133893ea92a842ee685c73424608[],2,FALSE),"")</f>
        <v/>
      </c>
      <c r="D880" s="2" t="str">
        <f>IFERROR(VLOOKUP(A880,observations_series_id_PCU22112222112243_api_key_ecc133893ea92a842ee685c73424608[],3,FALSE),"")</f>
        <v/>
      </c>
      <c r="E880" t="str">
        <f>IFERROR(VLOOKUP($A880,observations_series_id_WPU0613020T_api_key_ecc133893ea92a842ee685c734246086_file[],2,FALSE),"")</f>
        <v/>
      </c>
      <c r="F880" s="2" t="str">
        <f>IFERROR(VLOOKUP($A880,observations_series_id_WPU0613020T_api_key_ecc133893ea92a842ee685c734246086_file[],3,FALSE),"")</f>
        <v/>
      </c>
      <c r="G880" t="str">
        <f>IFERROR(VLOOKUP($A880,observations_series_id_PCU22122212_api_key_ecc133893ea92a842ee685c734246086_file[],2,FALSE),"")</f>
        <v/>
      </c>
      <c r="H880" s="2" t="str">
        <f>IFERROR(VLOOKUP($A880,observations_series_id_PCU22122212_api_key_ecc133893ea92a842ee685c734246086_file[],3,FALSE),"")</f>
        <v/>
      </c>
      <c r="I880" t="str">
        <f>IFERROR(VLOOKUP($A880,observations_series_id_PCU3241913241910_api_key_ecc133893ea92a842ee685c734246086[],2,FALSE),"")</f>
        <v/>
      </c>
      <c r="J880" s="2" t="str">
        <f>IFERROR(VLOOKUP($A880,observations_series_id_PCU3241913241910_api_key_ecc133893ea92a842ee685c734246086[],3,FALSE),"")</f>
        <v/>
      </c>
      <c r="K880" t="str">
        <f>IFERROR(VLOOKUP($A880,observations_series_id_EXJPUS_api_key_ecc133893ea92a842ee685c734246086_file_type[],2,FALSE),"")</f>
        <v/>
      </c>
      <c r="L880" s="2" t="str">
        <f>IFERROR(VLOOKUP($A880,observations_series_id_EXJPUS_api_key_ecc133893ea92a842ee685c734246086_file_type[],3,FALSE),"")</f>
        <v/>
      </c>
      <c r="M880" t="str">
        <f>IFERROR(AVERAGEIFS(timeseries_access_key_fqeas14oitk235763mntlb1c0brnk9w3fenzqbk313q5kvxyf52kukw1pa[Value.LME-ZNC],timeseries_access_key_fqeas14oitk235763mntlb1c0brnk9w3fenzqbk313q5kvxyf52kukw1pa[Month],MONTH(Data!$A880),timeseries_access_key_fqeas14oitk235763mntlb1c0brnk9w3fenzqbk313q5kvxyf52kukw1pa[Year],YEAR(Data!$A880)),"")</f>
        <v/>
      </c>
      <c r="N880" s="2" t="str">
        <f>IFERROR(AVERAGEIFS(timeseries_access_key_fqeas14oitk235763mntlb1c0brnk9w3fenzqbk313q5kvxyf52kukw1pa[Column1],timeseries_access_key_fqeas14oitk235763mntlb1c0brnk9w3fenzqbk313q5kvxyf52kukw1pa[Month],MONTH(Data!$A880),timeseries_access_key_fqeas14oitk235763mntlb1c0brnk9w3fenzqbk313q5kvxyf52kukw1pa[Year],YEAR(Data!$A880)),"")</f>
        <v/>
      </c>
      <c r="O880" s="8" t="str">
        <f>IFERROR(VLOOKUP($A880,Text_1_2[[Text.1.1.3]:[Text.1.3]],2,FALSE),"")</f>
        <v/>
      </c>
      <c r="P880" s="2"/>
    </row>
    <row r="881" spans="1:16" x14ac:dyDescent="0.25">
      <c r="A881" s="1">
        <v>47939</v>
      </c>
      <c r="B881" t="str">
        <f>HLOOKUP(Dashboard!$I$27,results,ROW(A881),FALSE)</f>
        <v/>
      </c>
      <c r="C881" t="str">
        <f>IFERROR(VLOOKUP(A881,observations_series_id_PCU22112222112243_api_key_ecc133893ea92a842ee685c73424608[],2,FALSE),"")</f>
        <v/>
      </c>
      <c r="D881" s="2" t="str">
        <f>IFERROR(VLOOKUP(A881,observations_series_id_PCU22112222112243_api_key_ecc133893ea92a842ee685c73424608[],3,FALSE),"")</f>
        <v/>
      </c>
      <c r="E881" t="str">
        <f>IFERROR(VLOOKUP($A881,observations_series_id_WPU0613020T_api_key_ecc133893ea92a842ee685c734246086_file[],2,FALSE),"")</f>
        <v/>
      </c>
      <c r="F881" s="2" t="str">
        <f>IFERROR(VLOOKUP($A881,observations_series_id_WPU0613020T_api_key_ecc133893ea92a842ee685c734246086_file[],3,FALSE),"")</f>
        <v/>
      </c>
      <c r="G881" t="str">
        <f>IFERROR(VLOOKUP($A881,observations_series_id_PCU22122212_api_key_ecc133893ea92a842ee685c734246086_file[],2,FALSE),"")</f>
        <v/>
      </c>
      <c r="H881" s="2" t="str">
        <f>IFERROR(VLOOKUP($A881,observations_series_id_PCU22122212_api_key_ecc133893ea92a842ee685c734246086_file[],3,FALSE),"")</f>
        <v/>
      </c>
      <c r="I881" t="str">
        <f>IFERROR(VLOOKUP($A881,observations_series_id_PCU3241913241910_api_key_ecc133893ea92a842ee685c734246086[],2,FALSE),"")</f>
        <v/>
      </c>
      <c r="J881" s="2" t="str">
        <f>IFERROR(VLOOKUP($A881,observations_series_id_PCU3241913241910_api_key_ecc133893ea92a842ee685c734246086[],3,FALSE),"")</f>
        <v/>
      </c>
      <c r="K881" t="str">
        <f>IFERROR(VLOOKUP($A881,observations_series_id_EXJPUS_api_key_ecc133893ea92a842ee685c734246086_file_type[],2,FALSE),"")</f>
        <v/>
      </c>
      <c r="L881" s="2" t="str">
        <f>IFERROR(VLOOKUP($A881,observations_series_id_EXJPUS_api_key_ecc133893ea92a842ee685c734246086_file_type[],3,FALSE),"")</f>
        <v/>
      </c>
      <c r="M881" t="str">
        <f>IFERROR(AVERAGEIFS(timeseries_access_key_fqeas14oitk235763mntlb1c0brnk9w3fenzqbk313q5kvxyf52kukw1pa[Value.LME-ZNC],timeseries_access_key_fqeas14oitk235763mntlb1c0brnk9w3fenzqbk313q5kvxyf52kukw1pa[Month],MONTH(Data!$A881),timeseries_access_key_fqeas14oitk235763mntlb1c0brnk9w3fenzqbk313q5kvxyf52kukw1pa[Year],YEAR(Data!$A881)),"")</f>
        <v/>
      </c>
      <c r="N881" s="2" t="str">
        <f>IFERROR(AVERAGEIFS(timeseries_access_key_fqeas14oitk235763mntlb1c0brnk9w3fenzqbk313q5kvxyf52kukw1pa[Column1],timeseries_access_key_fqeas14oitk235763mntlb1c0brnk9w3fenzqbk313q5kvxyf52kukw1pa[Month],MONTH(Data!$A881),timeseries_access_key_fqeas14oitk235763mntlb1c0brnk9w3fenzqbk313q5kvxyf52kukw1pa[Year],YEAR(Data!$A881)),"")</f>
        <v/>
      </c>
      <c r="O881" s="8" t="str">
        <f>IFERROR(VLOOKUP($A881,Text_1_2[[Text.1.1.3]:[Text.1.3]],2,FALSE),"")</f>
        <v/>
      </c>
      <c r="P881" s="2"/>
    </row>
    <row r="882" spans="1:16" x14ac:dyDescent="0.25">
      <c r="A882" s="1">
        <v>47969</v>
      </c>
      <c r="B882" t="str">
        <f>HLOOKUP(Dashboard!$I$27,results,ROW(A882),FALSE)</f>
        <v/>
      </c>
      <c r="C882" t="str">
        <f>IFERROR(VLOOKUP(A882,observations_series_id_PCU22112222112243_api_key_ecc133893ea92a842ee685c73424608[],2,FALSE),"")</f>
        <v/>
      </c>
      <c r="D882" s="2" t="str">
        <f>IFERROR(VLOOKUP(A882,observations_series_id_PCU22112222112243_api_key_ecc133893ea92a842ee685c73424608[],3,FALSE),"")</f>
        <v/>
      </c>
      <c r="E882" t="str">
        <f>IFERROR(VLOOKUP($A882,observations_series_id_WPU0613020T_api_key_ecc133893ea92a842ee685c734246086_file[],2,FALSE),"")</f>
        <v/>
      </c>
      <c r="F882" s="2" t="str">
        <f>IFERROR(VLOOKUP($A882,observations_series_id_WPU0613020T_api_key_ecc133893ea92a842ee685c734246086_file[],3,FALSE),"")</f>
        <v/>
      </c>
      <c r="G882" t="str">
        <f>IFERROR(VLOOKUP($A882,observations_series_id_PCU22122212_api_key_ecc133893ea92a842ee685c734246086_file[],2,FALSE),"")</f>
        <v/>
      </c>
      <c r="H882" s="2" t="str">
        <f>IFERROR(VLOOKUP($A882,observations_series_id_PCU22122212_api_key_ecc133893ea92a842ee685c734246086_file[],3,FALSE),"")</f>
        <v/>
      </c>
      <c r="I882" t="str">
        <f>IFERROR(VLOOKUP($A882,observations_series_id_PCU3241913241910_api_key_ecc133893ea92a842ee685c734246086[],2,FALSE),"")</f>
        <v/>
      </c>
      <c r="J882" s="2" t="str">
        <f>IFERROR(VLOOKUP($A882,observations_series_id_PCU3241913241910_api_key_ecc133893ea92a842ee685c734246086[],3,FALSE),"")</f>
        <v/>
      </c>
      <c r="K882" t="str">
        <f>IFERROR(VLOOKUP($A882,observations_series_id_EXJPUS_api_key_ecc133893ea92a842ee685c734246086_file_type[],2,FALSE),"")</f>
        <v/>
      </c>
      <c r="L882" s="2" t="str">
        <f>IFERROR(VLOOKUP($A882,observations_series_id_EXJPUS_api_key_ecc133893ea92a842ee685c734246086_file_type[],3,FALSE),"")</f>
        <v/>
      </c>
      <c r="M882" t="str">
        <f>IFERROR(AVERAGEIFS(timeseries_access_key_fqeas14oitk235763mntlb1c0brnk9w3fenzqbk313q5kvxyf52kukw1pa[Value.LME-ZNC],timeseries_access_key_fqeas14oitk235763mntlb1c0brnk9w3fenzqbk313q5kvxyf52kukw1pa[Month],MONTH(Data!$A882),timeseries_access_key_fqeas14oitk235763mntlb1c0brnk9w3fenzqbk313q5kvxyf52kukw1pa[Year],YEAR(Data!$A882)),"")</f>
        <v/>
      </c>
      <c r="N882" s="2" t="str">
        <f>IFERROR(AVERAGEIFS(timeseries_access_key_fqeas14oitk235763mntlb1c0brnk9w3fenzqbk313q5kvxyf52kukw1pa[Column1],timeseries_access_key_fqeas14oitk235763mntlb1c0brnk9w3fenzqbk313q5kvxyf52kukw1pa[Month],MONTH(Data!$A882),timeseries_access_key_fqeas14oitk235763mntlb1c0brnk9w3fenzqbk313q5kvxyf52kukw1pa[Year],YEAR(Data!$A882)),"")</f>
        <v/>
      </c>
      <c r="O882" s="8" t="str">
        <f>IFERROR(VLOOKUP($A882,Text_1_2[[Text.1.1.3]:[Text.1.3]],2,FALSE),"")</f>
        <v/>
      </c>
      <c r="P882" s="2"/>
    </row>
    <row r="883" spans="1:16" x14ac:dyDescent="0.25">
      <c r="A883" s="1">
        <v>48000</v>
      </c>
      <c r="B883" t="str">
        <f>HLOOKUP(Dashboard!$I$27,results,ROW(A883),FALSE)</f>
        <v/>
      </c>
      <c r="C883" t="str">
        <f>IFERROR(VLOOKUP(A883,observations_series_id_PCU22112222112243_api_key_ecc133893ea92a842ee685c73424608[],2,FALSE),"")</f>
        <v/>
      </c>
      <c r="D883" s="2" t="str">
        <f>IFERROR(VLOOKUP(A883,observations_series_id_PCU22112222112243_api_key_ecc133893ea92a842ee685c73424608[],3,FALSE),"")</f>
        <v/>
      </c>
      <c r="E883" t="str">
        <f>IFERROR(VLOOKUP($A883,observations_series_id_WPU0613020T_api_key_ecc133893ea92a842ee685c734246086_file[],2,FALSE),"")</f>
        <v/>
      </c>
      <c r="F883" s="2" t="str">
        <f>IFERROR(VLOOKUP($A883,observations_series_id_WPU0613020T_api_key_ecc133893ea92a842ee685c734246086_file[],3,FALSE),"")</f>
        <v/>
      </c>
      <c r="G883" t="str">
        <f>IFERROR(VLOOKUP($A883,observations_series_id_PCU22122212_api_key_ecc133893ea92a842ee685c734246086_file[],2,FALSE),"")</f>
        <v/>
      </c>
      <c r="H883" s="2" t="str">
        <f>IFERROR(VLOOKUP($A883,observations_series_id_PCU22122212_api_key_ecc133893ea92a842ee685c734246086_file[],3,FALSE),"")</f>
        <v/>
      </c>
      <c r="I883" t="str">
        <f>IFERROR(VLOOKUP($A883,observations_series_id_PCU3241913241910_api_key_ecc133893ea92a842ee685c734246086[],2,FALSE),"")</f>
        <v/>
      </c>
      <c r="J883" s="2" t="str">
        <f>IFERROR(VLOOKUP($A883,observations_series_id_PCU3241913241910_api_key_ecc133893ea92a842ee685c734246086[],3,FALSE),"")</f>
        <v/>
      </c>
      <c r="K883" t="str">
        <f>IFERROR(VLOOKUP($A883,observations_series_id_EXJPUS_api_key_ecc133893ea92a842ee685c734246086_file_type[],2,FALSE),"")</f>
        <v/>
      </c>
      <c r="L883" s="2" t="str">
        <f>IFERROR(VLOOKUP($A883,observations_series_id_EXJPUS_api_key_ecc133893ea92a842ee685c734246086_file_type[],3,FALSE),"")</f>
        <v/>
      </c>
      <c r="M883" t="str">
        <f>IFERROR(AVERAGEIFS(timeseries_access_key_fqeas14oitk235763mntlb1c0brnk9w3fenzqbk313q5kvxyf52kukw1pa[Value.LME-ZNC],timeseries_access_key_fqeas14oitk235763mntlb1c0brnk9w3fenzqbk313q5kvxyf52kukw1pa[Month],MONTH(Data!$A883),timeseries_access_key_fqeas14oitk235763mntlb1c0brnk9w3fenzqbk313q5kvxyf52kukw1pa[Year],YEAR(Data!$A883)),"")</f>
        <v/>
      </c>
      <c r="N883" s="2" t="str">
        <f>IFERROR(AVERAGEIFS(timeseries_access_key_fqeas14oitk235763mntlb1c0brnk9w3fenzqbk313q5kvxyf52kukw1pa[Column1],timeseries_access_key_fqeas14oitk235763mntlb1c0brnk9w3fenzqbk313q5kvxyf52kukw1pa[Month],MONTH(Data!$A883),timeseries_access_key_fqeas14oitk235763mntlb1c0brnk9w3fenzqbk313q5kvxyf52kukw1pa[Year],YEAR(Data!$A883)),"")</f>
        <v/>
      </c>
      <c r="O883" s="8" t="str">
        <f>IFERROR(VLOOKUP($A883,Text_1_2[[Text.1.1.3]:[Text.1.3]],2,FALSE),"")</f>
        <v/>
      </c>
      <c r="P883" s="2"/>
    </row>
    <row r="884" spans="1:16" x14ac:dyDescent="0.25">
      <c r="A884" s="1">
        <v>48030</v>
      </c>
      <c r="B884" t="str">
        <f>HLOOKUP(Dashboard!$I$27,results,ROW(A884),FALSE)</f>
        <v/>
      </c>
      <c r="C884" t="str">
        <f>IFERROR(VLOOKUP(A884,observations_series_id_PCU22112222112243_api_key_ecc133893ea92a842ee685c73424608[],2,FALSE),"")</f>
        <v/>
      </c>
      <c r="D884" s="2" t="str">
        <f>IFERROR(VLOOKUP(A884,observations_series_id_PCU22112222112243_api_key_ecc133893ea92a842ee685c73424608[],3,FALSE),"")</f>
        <v/>
      </c>
      <c r="E884" t="str">
        <f>IFERROR(VLOOKUP($A884,observations_series_id_WPU0613020T_api_key_ecc133893ea92a842ee685c734246086_file[],2,FALSE),"")</f>
        <v/>
      </c>
      <c r="F884" s="2" t="str">
        <f>IFERROR(VLOOKUP($A884,observations_series_id_WPU0613020T_api_key_ecc133893ea92a842ee685c734246086_file[],3,FALSE),"")</f>
        <v/>
      </c>
      <c r="G884" t="str">
        <f>IFERROR(VLOOKUP($A884,observations_series_id_PCU22122212_api_key_ecc133893ea92a842ee685c734246086_file[],2,FALSE),"")</f>
        <v/>
      </c>
      <c r="H884" s="2" t="str">
        <f>IFERROR(VLOOKUP($A884,observations_series_id_PCU22122212_api_key_ecc133893ea92a842ee685c734246086_file[],3,FALSE),"")</f>
        <v/>
      </c>
      <c r="I884" t="str">
        <f>IFERROR(VLOOKUP($A884,observations_series_id_PCU3241913241910_api_key_ecc133893ea92a842ee685c734246086[],2,FALSE),"")</f>
        <v/>
      </c>
      <c r="J884" s="2" t="str">
        <f>IFERROR(VLOOKUP($A884,observations_series_id_PCU3241913241910_api_key_ecc133893ea92a842ee685c734246086[],3,FALSE),"")</f>
        <v/>
      </c>
      <c r="K884" t="str">
        <f>IFERROR(VLOOKUP($A884,observations_series_id_EXJPUS_api_key_ecc133893ea92a842ee685c734246086_file_type[],2,FALSE),"")</f>
        <v/>
      </c>
      <c r="L884" s="2" t="str">
        <f>IFERROR(VLOOKUP($A884,observations_series_id_EXJPUS_api_key_ecc133893ea92a842ee685c734246086_file_type[],3,FALSE),"")</f>
        <v/>
      </c>
      <c r="M884" t="str">
        <f>IFERROR(AVERAGEIFS(timeseries_access_key_fqeas14oitk235763mntlb1c0brnk9w3fenzqbk313q5kvxyf52kukw1pa[Value.LME-ZNC],timeseries_access_key_fqeas14oitk235763mntlb1c0brnk9w3fenzqbk313q5kvxyf52kukw1pa[Month],MONTH(Data!$A884),timeseries_access_key_fqeas14oitk235763mntlb1c0brnk9w3fenzqbk313q5kvxyf52kukw1pa[Year],YEAR(Data!$A884)),"")</f>
        <v/>
      </c>
      <c r="N884" s="2" t="str">
        <f>IFERROR(AVERAGEIFS(timeseries_access_key_fqeas14oitk235763mntlb1c0brnk9w3fenzqbk313q5kvxyf52kukw1pa[Column1],timeseries_access_key_fqeas14oitk235763mntlb1c0brnk9w3fenzqbk313q5kvxyf52kukw1pa[Month],MONTH(Data!$A884),timeseries_access_key_fqeas14oitk235763mntlb1c0brnk9w3fenzqbk313q5kvxyf52kukw1pa[Year],YEAR(Data!$A884)),"")</f>
        <v/>
      </c>
      <c r="O884" s="8" t="str">
        <f>IFERROR(VLOOKUP($A884,Text_1_2[[Text.1.1.3]:[Text.1.3]],2,FALSE),"")</f>
        <v/>
      </c>
      <c r="P884" s="2"/>
    </row>
    <row r="885" spans="1:16" x14ac:dyDescent="0.25">
      <c r="A885" s="1">
        <v>48061</v>
      </c>
      <c r="B885" t="str">
        <f>HLOOKUP(Dashboard!$I$27,results,ROW(A885),FALSE)</f>
        <v/>
      </c>
      <c r="C885" t="str">
        <f>IFERROR(VLOOKUP(A885,observations_series_id_PCU22112222112243_api_key_ecc133893ea92a842ee685c73424608[],2,FALSE),"")</f>
        <v/>
      </c>
      <c r="D885" s="2" t="str">
        <f>IFERROR(VLOOKUP(A885,observations_series_id_PCU22112222112243_api_key_ecc133893ea92a842ee685c73424608[],3,FALSE),"")</f>
        <v/>
      </c>
      <c r="E885" t="str">
        <f>IFERROR(VLOOKUP($A885,observations_series_id_WPU0613020T_api_key_ecc133893ea92a842ee685c734246086_file[],2,FALSE),"")</f>
        <v/>
      </c>
      <c r="F885" s="2" t="str">
        <f>IFERROR(VLOOKUP($A885,observations_series_id_WPU0613020T_api_key_ecc133893ea92a842ee685c734246086_file[],3,FALSE),"")</f>
        <v/>
      </c>
      <c r="G885" t="str">
        <f>IFERROR(VLOOKUP($A885,observations_series_id_PCU22122212_api_key_ecc133893ea92a842ee685c734246086_file[],2,FALSE),"")</f>
        <v/>
      </c>
      <c r="H885" s="2" t="str">
        <f>IFERROR(VLOOKUP($A885,observations_series_id_PCU22122212_api_key_ecc133893ea92a842ee685c734246086_file[],3,FALSE),"")</f>
        <v/>
      </c>
      <c r="I885" t="str">
        <f>IFERROR(VLOOKUP($A885,observations_series_id_PCU3241913241910_api_key_ecc133893ea92a842ee685c734246086[],2,FALSE),"")</f>
        <v/>
      </c>
      <c r="J885" s="2" t="str">
        <f>IFERROR(VLOOKUP($A885,observations_series_id_PCU3241913241910_api_key_ecc133893ea92a842ee685c734246086[],3,FALSE),"")</f>
        <v/>
      </c>
      <c r="K885" t="str">
        <f>IFERROR(VLOOKUP($A885,observations_series_id_EXJPUS_api_key_ecc133893ea92a842ee685c734246086_file_type[],2,FALSE),"")</f>
        <v/>
      </c>
      <c r="L885" s="2" t="str">
        <f>IFERROR(VLOOKUP($A885,observations_series_id_EXJPUS_api_key_ecc133893ea92a842ee685c734246086_file_type[],3,FALSE),"")</f>
        <v/>
      </c>
      <c r="M885" t="str">
        <f>IFERROR(AVERAGEIFS(timeseries_access_key_fqeas14oitk235763mntlb1c0brnk9w3fenzqbk313q5kvxyf52kukw1pa[Value.LME-ZNC],timeseries_access_key_fqeas14oitk235763mntlb1c0brnk9w3fenzqbk313q5kvxyf52kukw1pa[Month],MONTH(Data!$A885),timeseries_access_key_fqeas14oitk235763mntlb1c0brnk9w3fenzqbk313q5kvxyf52kukw1pa[Year],YEAR(Data!$A885)),"")</f>
        <v/>
      </c>
      <c r="N885" s="2" t="str">
        <f>IFERROR(AVERAGEIFS(timeseries_access_key_fqeas14oitk235763mntlb1c0brnk9w3fenzqbk313q5kvxyf52kukw1pa[Column1],timeseries_access_key_fqeas14oitk235763mntlb1c0brnk9w3fenzqbk313q5kvxyf52kukw1pa[Month],MONTH(Data!$A885),timeseries_access_key_fqeas14oitk235763mntlb1c0brnk9w3fenzqbk313q5kvxyf52kukw1pa[Year],YEAR(Data!$A885)),"")</f>
        <v/>
      </c>
      <c r="O885" s="8" t="str">
        <f>IFERROR(VLOOKUP($A885,Text_1_2[[Text.1.1.3]:[Text.1.3]],2,FALSE),"")</f>
        <v/>
      </c>
      <c r="P885" s="2"/>
    </row>
    <row r="886" spans="1:16" x14ac:dyDescent="0.25">
      <c r="A886" s="1">
        <v>48092</v>
      </c>
      <c r="B886" t="str">
        <f>HLOOKUP(Dashboard!$I$27,results,ROW(A886),FALSE)</f>
        <v/>
      </c>
      <c r="C886" t="str">
        <f>IFERROR(VLOOKUP(A886,observations_series_id_PCU22112222112243_api_key_ecc133893ea92a842ee685c73424608[],2,FALSE),"")</f>
        <v/>
      </c>
      <c r="D886" s="2" t="str">
        <f>IFERROR(VLOOKUP(A886,observations_series_id_PCU22112222112243_api_key_ecc133893ea92a842ee685c73424608[],3,FALSE),"")</f>
        <v/>
      </c>
      <c r="E886" t="str">
        <f>IFERROR(VLOOKUP($A886,observations_series_id_WPU0613020T_api_key_ecc133893ea92a842ee685c734246086_file[],2,FALSE),"")</f>
        <v/>
      </c>
      <c r="F886" s="2" t="str">
        <f>IFERROR(VLOOKUP($A886,observations_series_id_WPU0613020T_api_key_ecc133893ea92a842ee685c734246086_file[],3,FALSE),"")</f>
        <v/>
      </c>
      <c r="G886" t="str">
        <f>IFERROR(VLOOKUP($A886,observations_series_id_PCU22122212_api_key_ecc133893ea92a842ee685c734246086_file[],2,FALSE),"")</f>
        <v/>
      </c>
      <c r="H886" s="2" t="str">
        <f>IFERROR(VLOOKUP($A886,observations_series_id_PCU22122212_api_key_ecc133893ea92a842ee685c734246086_file[],3,FALSE),"")</f>
        <v/>
      </c>
      <c r="I886" t="str">
        <f>IFERROR(VLOOKUP($A886,observations_series_id_PCU3241913241910_api_key_ecc133893ea92a842ee685c734246086[],2,FALSE),"")</f>
        <v/>
      </c>
      <c r="J886" s="2" t="str">
        <f>IFERROR(VLOOKUP($A886,observations_series_id_PCU3241913241910_api_key_ecc133893ea92a842ee685c734246086[],3,FALSE),"")</f>
        <v/>
      </c>
      <c r="K886" t="str">
        <f>IFERROR(VLOOKUP($A886,observations_series_id_EXJPUS_api_key_ecc133893ea92a842ee685c734246086_file_type[],2,FALSE),"")</f>
        <v/>
      </c>
      <c r="L886" s="2" t="str">
        <f>IFERROR(VLOOKUP($A886,observations_series_id_EXJPUS_api_key_ecc133893ea92a842ee685c734246086_file_type[],3,FALSE),"")</f>
        <v/>
      </c>
      <c r="M886" t="str">
        <f>IFERROR(AVERAGEIFS(timeseries_access_key_fqeas14oitk235763mntlb1c0brnk9w3fenzqbk313q5kvxyf52kukw1pa[Value.LME-ZNC],timeseries_access_key_fqeas14oitk235763mntlb1c0brnk9w3fenzqbk313q5kvxyf52kukw1pa[Month],MONTH(Data!$A886),timeseries_access_key_fqeas14oitk235763mntlb1c0brnk9w3fenzqbk313q5kvxyf52kukw1pa[Year],YEAR(Data!$A886)),"")</f>
        <v/>
      </c>
      <c r="N886" s="2" t="str">
        <f>IFERROR(AVERAGEIFS(timeseries_access_key_fqeas14oitk235763mntlb1c0brnk9w3fenzqbk313q5kvxyf52kukw1pa[Column1],timeseries_access_key_fqeas14oitk235763mntlb1c0brnk9w3fenzqbk313q5kvxyf52kukw1pa[Month],MONTH(Data!$A886),timeseries_access_key_fqeas14oitk235763mntlb1c0brnk9w3fenzqbk313q5kvxyf52kukw1pa[Year],YEAR(Data!$A886)),"")</f>
        <v/>
      </c>
      <c r="O886" s="8" t="str">
        <f>IFERROR(VLOOKUP($A886,Text_1_2[[Text.1.1.3]:[Text.1.3]],2,FALSE),"")</f>
        <v/>
      </c>
      <c r="P886" s="2"/>
    </row>
    <row r="887" spans="1:16" x14ac:dyDescent="0.25">
      <c r="A887" s="1">
        <v>48122</v>
      </c>
      <c r="B887" t="str">
        <f>HLOOKUP(Dashboard!$I$27,results,ROW(A887),FALSE)</f>
        <v/>
      </c>
      <c r="C887" t="str">
        <f>IFERROR(VLOOKUP(A887,observations_series_id_PCU22112222112243_api_key_ecc133893ea92a842ee685c73424608[],2,FALSE),"")</f>
        <v/>
      </c>
      <c r="D887" s="2" t="str">
        <f>IFERROR(VLOOKUP(A887,observations_series_id_PCU22112222112243_api_key_ecc133893ea92a842ee685c73424608[],3,FALSE),"")</f>
        <v/>
      </c>
      <c r="E887" t="str">
        <f>IFERROR(VLOOKUP($A887,observations_series_id_WPU0613020T_api_key_ecc133893ea92a842ee685c734246086_file[],2,FALSE),"")</f>
        <v/>
      </c>
      <c r="F887" s="2" t="str">
        <f>IFERROR(VLOOKUP($A887,observations_series_id_WPU0613020T_api_key_ecc133893ea92a842ee685c734246086_file[],3,FALSE),"")</f>
        <v/>
      </c>
      <c r="G887" t="str">
        <f>IFERROR(VLOOKUP($A887,observations_series_id_PCU22122212_api_key_ecc133893ea92a842ee685c734246086_file[],2,FALSE),"")</f>
        <v/>
      </c>
      <c r="H887" s="2" t="str">
        <f>IFERROR(VLOOKUP($A887,observations_series_id_PCU22122212_api_key_ecc133893ea92a842ee685c734246086_file[],3,FALSE),"")</f>
        <v/>
      </c>
      <c r="I887" t="str">
        <f>IFERROR(VLOOKUP($A887,observations_series_id_PCU3241913241910_api_key_ecc133893ea92a842ee685c734246086[],2,FALSE),"")</f>
        <v/>
      </c>
      <c r="J887" s="2" t="str">
        <f>IFERROR(VLOOKUP($A887,observations_series_id_PCU3241913241910_api_key_ecc133893ea92a842ee685c734246086[],3,FALSE),"")</f>
        <v/>
      </c>
      <c r="K887" t="str">
        <f>IFERROR(VLOOKUP($A887,observations_series_id_EXJPUS_api_key_ecc133893ea92a842ee685c734246086_file_type[],2,FALSE),"")</f>
        <v/>
      </c>
      <c r="L887" s="2" t="str">
        <f>IFERROR(VLOOKUP($A887,observations_series_id_EXJPUS_api_key_ecc133893ea92a842ee685c734246086_file_type[],3,FALSE),"")</f>
        <v/>
      </c>
      <c r="M887" t="str">
        <f>IFERROR(AVERAGEIFS(timeseries_access_key_fqeas14oitk235763mntlb1c0brnk9w3fenzqbk313q5kvxyf52kukw1pa[Value.LME-ZNC],timeseries_access_key_fqeas14oitk235763mntlb1c0brnk9w3fenzqbk313q5kvxyf52kukw1pa[Month],MONTH(Data!$A887),timeseries_access_key_fqeas14oitk235763mntlb1c0brnk9w3fenzqbk313q5kvxyf52kukw1pa[Year],YEAR(Data!$A887)),"")</f>
        <v/>
      </c>
      <c r="N887" s="2" t="str">
        <f>IFERROR(AVERAGEIFS(timeseries_access_key_fqeas14oitk235763mntlb1c0brnk9w3fenzqbk313q5kvxyf52kukw1pa[Column1],timeseries_access_key_fqeas14oitk235763mntlb1c0brnk9w3fenzqbk313q5kvxyf52kukw1pa[Month],MONTH(Data!$A887),timeseries_access_key_fqeas14oitk235763mntlb1c0brnk9w3fenzqbk313q5kvxyf52kukw1pa[Year],YEAR(Data!$A887)),"")</f>
        <v/>
      </c>
      <c r="O887" s="8" t="str">
        <f>IFERROR(VLOOKUP($A887,Text_1_2[[Text.1.1.3]:[Text.1.3]],2,FALSE),"")</f>
        <v/>
      </c>
      <c r="P887" s="2"/>
    </row>
    <row r="888" spans="1:16" x14ac:dyDescent="0.25">
      <c r="A888" s="1">
        <v>48153</v>
      </c>
      <c r="B888" t="str">
        <f>HLOOKUP(Dashboard!$I$27,results,ROW(A888),FALSE)</f>
        <v/>
      </c>
      <c r="C888" t="str">
        <f>IFERROR(VLOOKUP(A888,observations_series_id_PCU22112222112243_api_key_ecc133893ea92a842ee685c73424608[],2,FALSE),"")</f>
        <v/>
      </c>
      <c r="D888" s="2" t="str">
        <f>IFERROR(VLOOKUP(A888,observations_series_id_PCU22112222112243_api_key_ecc133893ea92a842ee685c73424608[],3,FALSE),"")</f>
        <v/>
      </c>
      <c r="E888" t="str">
        <f>IFERROR(VLOOKUP($A888,observations_series_id_WPU0613020T_api_key_ecc133893ea92a842ee685c734246086_file[],2,FALSE),"")</f>
        <v/>
      </c>
      <c r="F888" s="2" t="str">
        <f>IFERROR(VLOOKUP($A888,observations_series_id_WPU0613020T_api_key_ecc133893ea92a842ee685c734246086_file[],3,FALSE),"")</f>
        <v/>
      </c>
      <c r="G888" t="str">
        <f>IFERROR(VLOOKUP($A888,observations_series_id_PCU22122212_api_key_ecc133893ea92a842ee685c734246086_file[],2,FALSE),"")</f>
        <v/>
      </c>
      <c r="H888" s="2" t="str">
        <f>IFERROR(VLOOKUP($A888,observations_series_id_PCU22122212_api_key_ecc133893ea92a842ee685c734246086_file[],3,FALSE),"")</f>
        <v/>
      </c>
      <c r="I888" t="str">
        <f>IFERROR(VLOOKUP($A888,observations_series_id_PCU3241913241910_api_key_ecc133893ea92a842ee685c734246086[],2,FALSE),"")</f>
        <v/>
      </c>
      <c r="J888" s="2" t="str">
        <f>IFERROR(VLOOKUP($A888,observations_series_id_PCU3241913241910_api_key_ecc133893ea92a842ee685c734246086[],3,FALSE),"")</f>
        <v/>
      </c>
      <c r="K888" t="str">
        <f>IFERROR(VLOOKUP($A888,observations_series_id_EXJPUS_api_key_ecc133893ea92a842ee685c734246086_file_type[],2,FALSE),"")</f>
        <v/>
      </c>
      <c r="L888" s="2" t="str">
        <f>IFERROR(VLOOKUP($A888,observations_series_id_EXJPUS_api_key_ecc133893ea92a842ee685c734246086_file_type[],3,FALSE),"")</f>
        <v/>
      </c>
      <c r="M888" t="str">
        <f>IFERROR(AVERAGEIFS(timeseries_access_key_fqeas14oitk235763mntlb1c0brnk9w3fenzqbk313q5kvxyf52kukw1pa[Value.LME-ZNC],timeseries_access_key_fqeas14oitk235763mntlb1c0brnk9w3fenzqbk313q5kvxyf52kukw1pa[Month],MONTH(Data!$A888),timeseries_access_key_fqeas14oitk235763mntlb1c0brnk9w3fenzqbk313q5kvxyf52kukw1pa[Year],YEAR(Data!$A888)),"")</f>
        <v/>
      </c>
      <c r="N888" s="2" t="str">
        <f>IFERROR(AVERAGEIFS(timeseries_access_key_fqeas14oitk235763mntlb1c0brnk9w3fenzqbk313q5kvxyf52kukw1pa[Column1],timeseries_access_key_fqeas14oitk235763mntlb1c0brnk9w3fenzqbk313q5kvxyf52kukw1pa[Month],MONTH(Data!$A888),timeseries_access_key_fqeas14oitk235763mntlb1c0brnk9w3fenzqbk313q5kvxyf52kukw1pa[Year],YEAR(Data!$A888)),"")</f>
        <v/>
      </c>
      <c r="O888" s="8" t="str">
        <f>IFERROR(VLOOKUP($A888,Text_1_2[[Text.1.1.3]:[Text.1.3]],2,FALSE),"")</f>
        <v/>
      </c>
      <c r="P888" s="2"/>
    </row>
    <row r="889" spans="1:16" x14ac:dyDescent="0.25">
      <c r="A889" s="1">
        <v>48183</v>
      </c>
      <c r="B889" t="str">
        <f>HLOOKUP(Dashboard!$I$27,results,ROW(A889),FALSE)</f>
        <v/>
      </c>
      <c r="C889" t="str">
        <f>IFERROR(VLOOKUP(A889,observations_series_id_PCU22112222112243_api_key_ecc133893ea92a842ee685c73424608[],2,FALSE),"")</f>
        <v/>
      </c>
      <c r="D889" s="2" t="str">
        <f>IFERROR(VLOOKUP(A889,observations_series_id_PCU22112222112243_api_key_ecc133893ea92a842ee685c73424608[],3,FALSE),"")</f>
        <v/>
      </c>
      <c r="E889" t="str">
        <f>IFERROR(VLOOKUP($A889,observations_series_id_WPU0613020T_api_key_ecc133893ea92a842ee685c734246086_file[],2,FALSE),"")</f>
        <v/>
      </c>
      <c r="F889" s="2" t="str">
        <f>IFERROR(VLOOKUP($A889,observations_series_id_WPU0613020T_api_key_ecc133893ea92a842ee685c734246086_file[],3,FALSE),"")</f>
        <v/>
      </c>
      <c r="G889" t="str">
        <f>IFERROR(VLOOKUP($A889,observations_series_id_PCU22122212_api_key_ecc133893ea92a842ee685c734246086_file[],2,FALSE),"")</f>
        <v/>
      </c>
      <c r="H889" s="2" t="str">
        <f>IFERROR(VLOOKUP($A889,observations_series_id_PCU22122212_api_key_ecc133893ea92a842ee685c734246086_file[],3,FALSE),"")</f>
        <v/>
      </c>
      <c r="I889" t="str">
        <f>IFERROR(VLOOKUP($A889,observations_series_id_PCU3241913241910_api_key_ecc133893ea92a842ee685c734246086[],2,FALSE),"")</f>
        <v/>
      </c>
      <c r="J889" s="2" t="str">
        <f>IFERROR(VLOOKUP($A889,observations_series_id_PCU3241913241910_api_key_ecc133893ea92a842ee685c734246086[],3,FALSE),"")</f>
        <v/>
      </c>
      <c r="K889" t="str">
        <f>IFERROR(VLOOKUP($A889,observations_series_id_EXJPUS_api_key_ecc133893ea92a842ee685c734246086_file_type[],2,FALSE),"")</f>
        <v/>
      </c>
      <c r="L889" s="2" t="str">
        <f>IFERROR(VLOOKUP($A889,observations_series_id_EXJPUS_api_key_ecc133893ea92a842ee685c734246086_file_type[],3,FALSE),"")</f>
        <v/>
      </c>
      <c r="M889" t="str">
        <f>IFERROR(AVERAGEIFS(timeseries_access_key_fqeas14oitk235763mntlb1c0brnk9w3fenzqbk313q5kvxyf52kukw1pa[Value.LME-ZNC],timeseries_access_key_fqeas14oitk235763mntlb1c0brnk9w3fenzqbk313q5kvxyf52kukw1pa[Month],MONTH(Data!$A889),timeseries_access_key_fqeas14oitk235763mntlb1c0brnk9w3fenzqbk313q5kvxyf52kukw1pa[Year],YEAR(Data!$A889)),"")</f>
        <v/>
      </c>
      <c r="N889" s="2" t="str">
        <f>IFERROR(AVERAGEIFS(timeseries_access_key_fqeas14oitk235763mntlb1c0brnk9w3fenzqbk313q5kvxyf52kukw1pa[Column1],timeseries_access_key_fqeas14oitk235763mntlb1c0brnk9w3fenzqbk313q5kvxyf52kukw1pa[Month],MONTH(Data!$A889),timeseries_access_key_fqeas14oitk235763mntlb1c0brnk9w3fenzqbk313q5kvxyf52kukw1pa[Year],YEAR(Data!$A889)),"")</f>
        <v/>
      </c>
      <c r="O889" s="8" t="str">
        <f>IFERROR(VLOOKUP($A889,Text_1_2[[Text.1.1.3]:[Text.1.3]],2,FALSE),"")</f>
        <v/>
      </c>
      <c r="P889" s="2"/>
    </row>
    <row r="890" spans="1:16" x14ac:dyDescent="0.25">
      <c r="A890" s="1">
        <v>48214</v>
      </c>
      <c r="B890" t="str">
        <f>HLOOKUP(Dashboard!$I$27,results,ROW(A890),FALSE)</f>
        <v/>
      </c>
      <c r="C890" t="str">
        <f>IFERROR(VLOOKUP(A890,observations_series_id_PCU22112222112243_api_key_ecc133893ea92a842ee685c73424608[],2,FALSE),"")</f>
        <v/>
      </c>
      <c r="D890" s="2" t="str">
        <f>IFERROR(VLOOKUP(A890,observations_series_id_PCU22112222112243_api_key_ecc133893ea92a842ee685c73424608[],3,FALSE),"")</f>
        <v/>
      </c>
      <c r="E890" t="str">
        <f>IFERROR(VLOOKUP($A890,observations_series_id_WPU0613020T_api_key_ecc133893ea92a842ee685c734246086_file[],2,FALSE),"")</f>
        <v/>
      </c>
      <c r="F890" s="2" t="str">
        <f>IFERROR(VLOOKUP($A890,observations_series_id_WPU0613020T_api_key_ecc133893ea92a842ee685c734246086_file[],3,FALSE),"")</f>
        <v/>
      </c>
      <c r="G890" t="str">
        <f>IFERROR(VLOOKUP($A890,observations_series_id_PCU22122212_api_key_ecc133893ea92a842ee685c734246086_file[],2,FALSE),"")</f>
        <v/>
      </c>
      <c r="H890" s="2" t="str">
        <f>IFERROR(VLOOKUP($A890,observations_series_id_PCU22122212_api_key_ecc133893ea92a842ee685c734246086_file[],3,FALSE),"")</f>
        <v/>
      </c>
      <c r="I890" t="str">
        <f>IFERROR(VLOOKUP($A890,observations_series_id_PCU3241913241910_api_key_ecc133893ea92a842ee685c734246086[],2,FALSE),"")</f>
        <v/>
      </c>
      <c r="J890" s="2" t="str">
        <f>IFERROR(VLOOKUP($A890,observations_series_id_PCU3241913241910_api_key_ecc133893ea92a842ee685c734246086[],3,FALSE),"")</f>
        <v/>
      </c>
      <c r="K890" t="str">
        <f>IFERROR(VLOOKUP($A890,observations_series_id_EXJPUS_api_key_ecc133893ea92a842ee685c734246086_file_type[],2,FALSE),"")</f>
        <v/>
      </c>
      <c r="L890" s="2" t="str">
        <f>IFERROR(VLOOKUP($A890,observations_series_id_EXJPUS_api_key_ecc133893ea92a842ee685c734246086_file_type[],3,FALSE),"")</f>
        <v/>
      </c>
      <c r="M890" t="str">
        <f>IFERROR(AVERAGEIFS(timeseries_access_key_fqeas14oitk235763mntlb1c0brnk9w3fenzqbk313q5kvxyf52kukw1pa[Value.LME-ZNC],timeseries_access_key_fqeas14oitk235763mntlb1c0brnk9w3fenzqbk313q5kvxyf52kukw1pa[Month],MONTH(Data!$A890),timeseries_access_key_fqeas14oitk235763mntlb1c0brnk9w3fenzqbk313q5kvxyf52kukw1pa[Year],YEAR(Data!$A890)),"")</f>
        <v/>
      </c>
      <c r="N890" s="2" t="str">
        <f>IFERROR(AVERAGEIFS(timeseries_access_key_fqeas14oitk235763mntlb1c0brnk9w3fenzqbk313q5kvxyf52kukw1pa[Column1],timeseries_access_key_fqeas14oitk235763mntlb1c0brnk9w3fenzqbk313q5kvxyf52kukw1pa[Month],MONTH(Data!$A890),timeseries_access_key_fqeas14oitk235763mntlb1c0brnk9w3fenzqbk313q5kvxyf52kukw1pa[Year],YEAR(Data!$A890)),"")</f>
        <v/>
      </c>
      <c r="O890" s="8" t="str">
        <f>IFERROR(VLOOKUP($A890,Text_1_2[[Text.1.1.3]:[Text.1.3]],2,FALSE),"")</f>
        <v/>
      </c>
      <c r="P890" s="2"/>
    </row>
    <row r="891" spans="1:16" x14ac:dyDescent="0.25">
      <c r="A891" s="1">
        <v>48245</v>
      </c>
      <c r="B891" t="str">
        <f>HLOOKUP(Dashboard!$I$27,results,ROW(A891),FALSE)</f>
        <v/>
      </c>
      <c r="C891" t="str">
        <f>IFERROR(VLOOKUP(A891,observations_series_id_PCU22112222112243_api_key_ecc133893ea92a842ee685c73424608[],2,FALSE),"")</f>
        <v/>
      </c>
      <c r="D891" s="2" t="str">
        <f>IFERROR(VLOOKUP(A891,observations_series_id_PCU22112222112243_api_key_ecc133893ea92a842ee685c73424608[],3,FALSE),"")</f>
        <v/>
      </c>
      <c r="E891" t="str">
        <f>IFERROR(VLOOKUP($A891,observations_series_id_WPU0613020T_api_key_ecc133893ea92a842ee685c734246086_file[],2,FALSE),"")</f>
        <v/>
      </c>
      <c r="F891" s="2" t="str">
        <f>IFERROR(VLOOKUP($A891,observations_series_id_WPU0613020T_api_key_ecc133893ea92a842ee685c734246086_file[],3,FALSE),"")</f>
        <v/>
      </c>
      <c r="G891" t="str">
        <f>IFERROR(VLOOKUP($A891,observations_series_id_PCU22122212_api_key_ecc133893ea92a842ee685c734246086_file[],2,FALSE),"")</f>
        <v/>
      </c>
      <c r="H891" s="2" t="str">
        <f>IFERROR(VLOOKUP($A891,observations_series_id_PCU22122212_api_key_ecc133893ea92a842ee685c734246086_file[],3,FALSE),"")</f>
        <v/>
      </c>
      <c r="I891" t="str">
        <f>IFERROR(VLOOKUP($A891,observations_series_id_PCU3241913241910_api_key_ecc133893ea92a842ee685c734246086[],2,FALSE),"")</f>
        <v/>
      </c>
      <c r="J891" s="2" t="str">
        <f>IFERROR(VLOOKUP($A891,observations_series_id_PCU3241913241910_api_key_ecc133893ea92a842ee685c734246086[],3,FALSE),"")</f>
        <v/>
      </c>
      <c r="K891" t="str">
        <f>IFERROR(VLOOKUP($A891,observations_series_id_EXJPUS_api_key_ecc133893ea92a842ee685c734246086_file_type[],2,FALSE),"")</f>
        <v/>
      </c>
      <c r="L891" s="2" t="str">
        <f>IFERROR(VLOOKUP($A891,observations_series_id_EXJPUS_api_key_ecc133893ea92a842ee685c734246086_file_type[],3,FALSE),"")</f>
        <v/>
      </c>
      <c r="M891" t="str">
        <f>IFERROR(AVERAGEIFS(timeseries_access_key_fqeas14oitk235763mntlb1c0brnk9w3fenzqbk313q5kvxyf52kukw1pa[Value.LME-ZNC],timeseries_access_key_fqeas14oitk235763mntlb1c0brnk9w3fenzqbk313q5kvxyf52kukw1pa[Month],MONTH(Data!$A891),timeseries_access_key_fqeas14oitk235763mntlb1c0brnk9w3fenzqbk313q5kvxyf52kukw1pa[Year],YEAR(Data!$A891)),"")</f>
        <v/>
      </c>
      <c r="N891" s="2" t="str">
        <f>IFERROR(AVERAGEIFS(timeseries_access_key_fqeas14oitk235763mntlb1c0brnk9w3fenzqbk313q5kvxyf52kukw1pa[Column1],timeseries_access_key_fqeas14oitk235763mntlb1c0brnk9w3fenzqbk313q5kvxyf52kukw1pa[Month],MONTH(Data!$A891),timeseries_access_key_fqeas14oitk235763mntlb1c0brnk9w3fenzqbk313q5kvxyf52kukw1pa[Year],YEAR(Data!$A891)),"")</f>
        <v/>
      </c>
      <c r="O891" s="8" t="str">
        <f>IFERROR(VLOOKUP($A891,Text_1_2[[Text.1.1.3]:[Text.1.3]],2,FALSE),"")</f>
        <v/>
      </c>
      <c r="P891" s="2"/>
    </row>
    <row r="892" spans="1:16" x14ac:dyDescent="0.25">
      <c r="A892" s="1">
        <v>48274</v>
      </c>
      <c r="B892" t="str">
        <f>HLOOKUP(Dashboard!$I$27,results,ROW(A892),FALSE)</f>
        <v/>
      </c>
      <c r="C892" t="str">
        <f>IFERROR(VLOOKUP(A892,observations_series_id_PCU22112222112243_api_key_ecc133893ea92a842ee685c73424608[],2,FALSE),"")</f>
        <v/>
      </c>
      <c r="D892" s="2" t="str">
        <f>IFERROR(VLOOKUP(A892,observations_series_id_PCU22112222112243_api_key_ecc133893ea92a842ee685c73424608[],3,FALSE),"")</f>
        <v/>
      </c>
      <c r="E892" t="str">
        <f>IFERROR(VLOOKUP($A892,observations_series_id_WPU0613020T_api_key_ecc133893ea92a842ee685c734246086_file[],2,FALSE),"")</f>
        <v/>
      </c>
      <c r="F892" s="2" t="str">
        <f>IFERROR(VLOOKUP($A892,observations_series_id_WPU0613020T_api_key_ecc133893ea92a842ee685c734246086_file[],3,FALSE),"")</f>
        <v/>
      </c>
      <c r="G892" t="str">
        <f>IFERROR(VLOOKUP($A892,observations_series_id_PCU22122212_api_key_ecc133893ea92a842ee685c734246086_file[],2,FALSE),"")</f>
        <v/>
      </c>
      <c r="H892" s="2" t="str">
        <f>IFERROR(VLOOKUP($A892,observations_series_id_PCU22122212_api_key_ecc133893ea92a842ee685c734246086_file[],3,FALSE),"")</f>
        <v/>
      </c>
      <c r="I892" t="str">
        <f>IFERROR(VLOOKUP($A892,observations_series_id_PCU3241913241910_api_key_ecc133893ea92a842ee685c734246086[],2,FALSE),"")</f>
        <v/>
      </c>
      <c r="J892" s="2" t="str">
        <f>IFERROR(VLOOKUP($A892,observations_series_id_PCU3241913241910_api_key_ecc133893ea92a842ee685c734246086[],3,FALSE),"")</f>
        <v/>
      </c>
      <c r="K892" t="str">
        <f>IFERROR(VLOOKUP($A892,observations_series_id_EXJPUS_api_key_ecc133893ea92a842ee685c734246086_file_type[],2,FALSE),"")</f>
        <v/>
      </c>
      <c r="L892" s="2" t="str">
        <f>IFERROR(VLOOKUP($A892,observations_series_id_EXJPUS_api_key_ecc133893ea92a842ee685c734246086_file_type[],3,FALSE),"")</f>
        <v/>
      </c>
      <c r="M892" t="str">
        <f>IFERROR(AVERAGEIFS(timeseries_access_key_fqeas14oitk235763mntlb1c0brnk9w3fenzqbk313q5kvxyf52kukw1pa[Value.LME-ZNC],timeseries_access_key_fqeas14oitk235763mntlb1c0brnk9w3fenzqbk313q5kvxyf52kukw1pa[Month],MONTH(Data!$A892),timeseries_access_key_fqeas14oitk235763mntlb1c0brnk9w3fenzqbk313q5kvxyf52kukw1pa[Year],YEAR(Data!$A892)),"")</f>
        <v/>
      </c>
      <c r="N892" s="2" t="str">
        <f>IFERROR(AVERAGEIFS(timeseries_access_key_fqeas14oitk235763mntlb1c0brnk9w3fenzqbk313q5kvxyf52kukw1pa[Column1],timeseries_access_key_fqeas14oitk235763mntlb1c0brnk9w3fenzqbk313q5kvxyf52kukw1pa[Month],MONTH(Data!$A892),timeseries_access_key_fqeas14oitk235763mntlb1c0brnk9w3fenzqbk313q5kvxyf52kukw1pa[Year],YEAR(Data!$A892)),"")</f>
        <v/>
      </c>
      <c r="O892" s="8" t="str">
        <f>IFERROR(VLOOKUP($A892,Text_1_2[[Text.1.1.3]:[Text.1.3]],2,FALSE),"")</f>
        <v/>
      </c>
      <c r="P892" s="2"/>
    </row>
    <row r="893" spans="1:16" x14ac:dyDescent="0.25">
      <c r="A893" s="1">
        <v>48305</v>
      </c>
      <c r="B893" t="str">
        <f>HLOOKUP(Dashboard!$I$27,results,ROW(A893),FALSE)</f>
        <v/>
      </c>
      <c r="C893" t="str">
        <f>IFERROR(VLOOKUP(A893,observations_series_id_PCU22112222112243_api_key_ecc133893ea92a842ee685c73424608[],2,FALSE),"")</f>
        <v/>
      </c>
      <c r="D893" s="2" t="str">
        <f>IFERROR(VLOOKUP(A893,observations_series_id_PCU22112222112243_api_key_ecc133893ea92a842ee685c73424608[],3,FALSE),"")</f>
        <v/>
      </c>
      <c r="E893" t="str">
        <f>IFERROR(VLOOKUP($A893,observations_series_id_WPU0613020T_api_key_ecc133893ea92a842ee685c734246086_file[],2,FALSE),"")</f>
        <v/>
      </c>
      <c r="F893" s="2" t="str">
        <f>IFERROR(VLOOKUP($A893,observations_series_id_WPU0613020T_api_key_ecc133893ea92a842ee685c734246086_file[],3,FALSE),"")</f>
        <v/>
      </c>
      <c r="G893" t="str">
        <f>IFERROR(VLOOKUP($A893,observations_series_id_PCU22122212_api_key_ecc133893ea92a842ee685c734246086_file[],2,FALSE),"")</f>
        <v/>
      </c>
      <c r="H893" s="2" t="str">
        <f>IFERROR(VLOOKUP($A893,observations_series_id_PCU22122212_api_key_ecc133893ea92a842ee685c734246086_file[],3,FALSE),"")</f>
        <v/>
      </c>
      <c r="I893" t="str">
        <f>IFERROR(VLOOKUP($A893,observations_series_id_PCU3241913241910_api_key_ecc133893ea92a842ee685c734246086[],2,FALSE),"")</f>
        <v/>
      </c>
      <c r="J893" s="2" t="str">
        <f>IFERROR(VLOOKUP($A893,observations_series_id_PCU3241913241910_api_key_ecc133893ea92a842ee685c734246086[],3,FALSE),"")</f>
        <v/>
      </c>
      <c r="K893" t="str">
        <f>IFERROR(VLOOKUP($A893,observations_series_id_EXJPUS_api_key_ecc133893ea92a842ee685c734246086_file_type[],2,FALSE),"")</f>
        <v/>
      </c>
      <c r="L893" s="2" t="str">
        <f>IFERROR(VLOOKUP($A893,observations_series_id_EXJPUS_api_key_ecc133893ea92a842ee685c734246086_file_type[],3,FALSE),"")</f>
        <v/>
      </c>
      <c r="M893" t="str">
        <f>IFERROR(AVERAGEIFS(timeseries_access_key_fqeas14oitk235763mntlb1c0brnk9w3fenzqbk313q5kvxyf52kukw1pa[Value.LME-ZNC],timeseries_access_key_fqeas14oitk235763mntlb1c0brnk9w3fenzqbk313q5kvxyf52kukw1pa[Month],MONTH(Data!$A893),timeseries_access_key_fqeas14oitk235763mntlb1c0brnk9w3fenzqbk313q5kvxyf52kukw1pa[Year],YEAR(Data!$A893)),"")</f>
        <v/>
      </c>
      <c r="N893" s="2" t="str">
        <f>IFERROR(AVERAGEIFS(timeseries_access_key_fqeas14oitk235763mntlb1c0brnk9w3fenzqbk313q5kvxyf52kukw1pa[Column1],timeseries_access_key_fqeas14oitk235763mntlb1c0brnk9w3fenzqbk313q5kvxyf52kukw1pa[Month],MONTH(Data!$A893),timeseries_access_key_fqeas14oitk235763mntlb1c0brnk9w3fenzqbk313q5kvxyf52kukw1pa[Year],YEAR(Data!$A893)),"")</f>
        <v/>
      </c>
      <c r="O893" s="8" t="str">
        <f>IFERROR(VLOOKUP($A893,Text_1_2[[Text.1.1.3]:[Text.1.3]],2,FALSE),"")</f>
        <v/>
      </c>
      <c r="P893" s="2"/>
    </row>
    <row r="894" spans="1:16" x14ac:dyDescent="0.25">
      <c r="A894" s="1">
        <v>48335</v>
      </c>
      <c r="B894" t="str">
        <f>HLOOKUP(Dashboard!$I$27,results,ROW(A894),FALSE)</f>
        <v/>
      </c>
      <c r="C894" t="str">
        <f>IFERROR(VLOOKUP(A894,observations_series_id_PCU22112222112243_api_key_ecc133893ea92a842ee685c73424608[],2,FALSE),"")</f>
        <v/>
      </c>
      <c r="D894" s="2" t="str">
        <f>IFERROR(VLOOKUP(A894,observations_series_id_PCU22112222112243_api_key_ecc133893ea92a842ee685c73424608[],3,FALSE),"")</f>
        <v/>
      </c>
      <c r="E894" t="str">
        <f>IFERROR(VLOOKUP($A894,observations_series_id_WPU0613020T_api_key_ecc133893ea92a842ee685c734246086_file[],2,FALSE),"")</f>
        <v/>
      </c>
      <c r="F894" s="2" t="str">
        <f>IFERROR(VLOOKUP($A894,observations_series_id_WPU0613020T_api_key_ecc133893ea92a842ee685c734246086_file[],3,FALSE),"")</f>
        <v/>
      </c>
      <c r="G894" t="str">
        <f>IFERROR(VLOOKUP($A894,observations_series_id_PCU22122212_api_key_ecc133893ea92a842ee685c734246086_file[],2,FALSE),"")</f>
        <v/>
      </c>
      <c r="H894" s="2" t="str">
        <f>IFERROR(VLOOKUP($A894,observations_series_id_PCU22122212_api_key_ecc133893ea92a842ee685c734246086_file[],3,FALSE),"")</f>
        <v/>
      </c>
      <c r="I894" t="str">
        <f>IFERROR(VLOOKUP($A894,observations_series_id_PCU3241913241910_api_key_ecc133893ea92a842ee685c734246086[],2,FALSE),"")</f>
        <v/>
      </c>
      <c r="J894" s="2" t="str">
        <f>IFERROR(VLOOKUP($A894,observations_series_id_PCU3241913241910_api_key_ecc133893ea92a842ee685c734246086[],3,FALSE),"")</f>
        <v/>
      </c>
      <c r="K894" t="str">
        <f>IFERROR(VLOOKUP($A894,observations_series_id_EXJPUS_api_key_ecc133893ea92a842ee685c734246086_file_type[],2,FALSE),"")</f>
        <v/>
      </c>
      <c r="L894" s="2" t="str">
        <f>IFERROR(VLOOKUP($A894,observations_series_id_EXJPUS_api_key_ecc133893ea92a842ee685c734246086_file_type[],3,FALSE),"")</f>
        <v/>
      </c>
      <c r="M894" t="str">
        <f>IFERROR(AVERAGEIFS(timeseries_access_key_fqeas14oitk235763mntlb1c0brnk9w3fenzqbk313q5kvxyf52kukw1pa[Value.LME-ZNC],timeseries_access_key_fqeas14oitk235763mntlb1c0brnk9w3fenzqbk313q5kvxyf52kukw1pa[Month],MONTH(Data!$A894),timeseries_access_key_fqeas14oitk235763mntlb1c0brnk9w3fenzqbk313q5kvxyf52kukw1pa[Year],YEAR(Data!$A894)),"")</f>
        <v/>
      </c>
      <c r="N894" s="2" t="str">
        <f>IFERROR(AVERAGEIFS(timeseries_access_key_fqeas14oitk235763mntlb1c0brnk9w3fenzqbk313q5kvxyf52kukw1pa[Column1],timeseries_access_key_fqeas14oitk235763mntlb1c0brnk9w3fenzqbk313q5kvxyf52kukw1pa[Month],MONTH(Data!$A894),timeseries_access_key_fqeas14oitk235763mntlb1c0brnk9w3fenzqbk313q5kvxyf52kukw1pa[Year],YEAR(Data!$A894)),"")</f>
        <v/>
      </c>
      <c r="O894" s="8" t="str">
        <f>IFERROR(VLOOKUP($A894,Text_1_2[[Text.1.1.3]:[Text.1.3]],2,FALSE),"")</f>
        <v/>
      </c>
      <c r="P894" s="2"/>
    </row>
    <row r="895" spans="1:16" x14ac:dyDescent="0.25">
      <c r="A895" s="1">
        <v>48366</v>
      </c>
      <c r="B895" t="str">
        <f>HLOOKUP(Dashboard!$I$27,results,ROW(A895),FALSE)</f>
        <v/>
      </c>
      <c r="C895" t="str">
        <f>IFERROR(VLOOKUP(A895,observations_series_id_PCU22112222112243_api_key_ecc133893ea92a842ee685c73424608[],2,FALSE),"")</f>
        <v/>
      </c>
      <c r="D895" s="2" t="str">
        <f>IFERROR(VLOOKUP(A895,observations_series_id_PCU22112222112243_api_key_ecc133893ea92a842ee685c73424608[],3,FALSE),"")</f>
        <v/>
      </c>
      <c r="E895" t="str">
        <f>IFERROR(VLOOKUP($A895,observations_series_id_WPU0613020T_api_key_ecc133893ea92a842ee685c734246086_file[],2,FALSE),"")</f>
        <v/>
      </c>
      <c r="F895" s="2" t="str">
        <f>IFERROR(VLOOKUP($A895,observations_series_id_WPU0613020T_api_key_ecc133893ea92a842ee685c734246086_file[],3,FALSE),"")</f>
        <v/>
      </c>
      <c r="G895" t="str">
        <f>IFERROR(VLOOKUP($A895,observations_series_id_PCU22122212_api_key_ecc133893ea92a842ee685c734246086_file[],2,FALSE),"")</f>
        <v/>
      </c>
      <c r="H895" s="2" t="str">
        <f>IFERROR(VLOOKUP($A895,observations_series_id_PCU22122212_api_key_ecc133893ea92a842ee685c734246086_file[],3,FALSE),"")</f>
        <v/>
      </c>
      <c r="I895" t="str">
        <f>IFERROR(VLOOKUP($A895,observations_series_id_PCU3241913241910_api_key_ecc133893ea92a842ee685c734246086[],2,FALSE),"")</f>
        <v/>
      </c>
      <c r="J895" s="2" t="str">
        <f>IFERROR(VLOOKUP($A895,observations_series_id_PCU3241913241910_api_key_ecc133893ea92a842ee685c734246086[],3,FALSE),"")</f>
        <v/>
      </c>
      <c r="K895" t="str">
        <f>IFERROR(VLOOKUP($A895,observations_series_id_EXJPUS_api_key_ecc133893ea92a842ee685c734246086_file_type[],2,FALSE),"")</f>
        <v/>
      </c>
      <c r="L895" s="2" t="str">
        <f>IFERROR(VLOOKUP($A895,observations_series_id_EXJPUS_api_key_ecc133893ea92a842ee685c734246086_file_type[],3,FALSE),"")</f>
        <v/>
      </c>
      <c r="M895" t="str">
        <f>IFERROR(AVERAGEIFS(timeseries_access_key_fqeas14oitk235763mntlb1c0brnk9w3fenzqbk313q5kvxyf52kukw1pa[Value.LME-ZNC],timeseries_access_key_fqeas14oitk235763mntlb1c0brnk9w3fenzqbk313q5kvxyf52kukw1pa[Month],MONTH(Data!$A895),timeseries_access_key_fqeas14oitk235763mntlb1c0brnk9w3fenzqbk313q5kvxyf52kukw1pa[Year],YEAR(Data!$A895)),"")</f>
        <v/>
      </c>
      <c r="N895" s="2" t="str">
        <f>IFERROR(AVERAGEIFS(timeseries_access_key_fqeas14oitk235763mntlb1c0brnk9w3fenzqbk313q5kvxyf52kukw1pa[Column1],timeseries_access_key_fqeas14oitk235763mntlb1c0brnk9w3fenzqbk313q5kvxyf52kukw1pa[Month],MONTH(Data!$A895),timeseries_access_key_fqeas14oitk235763mntlb1c0brnk9w3fenzqbk313q5kvxyf52kukw1pa[Year],YEAR(Data!$A895)),"")</f>
        <v/>
      </c>
      <c r="O895" s="8" t="str">
        <f>IFERROR(VLOOKUP($A895,Text_1_2[[Text.1.1.3]:[Text.1.3]],2,FALSE),"")</f>
        <v/>
      </c>
      <c r="P895" s="2"/>
    </row>
    <row r="896" spans="1:16" x14ac:dyDescent="0.25">
      <c r="A896" s="1">
        <v>48396</v>
      </c>
      <c r="B896" t="str">
        <f>HLOOKUP(Dashboard!$I$27,results,ROW(A896),FALSE)</f>
        <v/>
      </c>
      <c r="C896" t="str">
        <f>IFERROR(VLOOKUP(A896,observations_series_id_PCU22112222112243_api_key_ecc133893ea92a842ee685c73424608[],2,FALSE),"")</f>
        <v/>
      </c>
      <c r="D896" s="2" t="str">
        <f>IFERROR(VLOOKUP(A896,observations_series_id_PCU22112222112243_api_key_ecc133893ea92a842ee685c73424608[],3,FALSE),"")</f>
        <v/>
      </c>
      <c r="E896" t="str">
        <f>IFERROR(VLOOKUP($A896,observations_series_id_WPU0613020T_api_key_ecc133893ea92a842ee685c734246086_file[],2,FALSE),"")</f>
        <v/>
      </c>
      <c r="F896" s="2" t="str">
        <f>IFERROR(VLOOKUP($A896,observations_series_id_WPU0613020T_api_key_ecc133893ea92a842ee685c734246086_file[],3,FALSE),"")</f>
        <v/>
      </c>
      <c r="G896" t="str">
        <f>IFERROR(VLOOKUP($A896,observations_series_id_PCU22122212_api_key_ecc133893ea92a842ee685c734246086_file[],2,FALSE),"")</f>
        <v/>
      </c>
      <c r="H896" s="2" t="str">
        <f>IFERROR(VLOOKUP($A896,observations_series_id_PCU22122212_api_key_ecc133893ea92a842ee685c734246086_file[],3,FALSE),"")</f>
        <v/>
      </c>
      <c r="I896" t="str">
        <f>IFERROR(VLOOKUP($A896,observations_series_id_PCU3241913241910_api_key_ecc133893ea92a842ee685c734246086[],2,FALSE),"")</f>
        <v/>
      </c>
      <c r="J896" s="2" t="str">
        <f>IFERROR(VLOOKUP($A896,observations_series_id_PCU3241913241910_api_key_ecc133893ea92a842ee685c734246086[],3,FALSE),"")</f>
        <v/>
      </c>
      <c r="K896" t="str">
        <f>IFERROR(VLOOKUP($A896,observations_series_id_EXJPUS_api_key_ecc133893ea92a842ee685c734246086_file_type[],2,FALSE),"")</f>
        <v/>
      </c>
      <c r="L896" s="2" t="str">
        <f>IFERROR(VLOOKUP($A896,observations_series_id_EXJPUS_api_key_ecc133893ea92a842ee685c734246086_file_type[],3,FALSE),"")</f>
        <v/>
      </c>
      <c r="M896" t="str">
        <f>IFERROR(AVERAGEIFS(timeseries_access_key_fqeas14oitk235763mntlb1c0brnk9w3fenzqbk313q5kvxyf52kukw1pa[Value.LME-ZNC],timeseries_access_key_fqeas14oitk235763mntlb1c0brnk9w3fenzqbk313q5kvxyf52kukw1pa[Month],MONTH(Data!$A896),timeseries_access_key_fqeas14oitk235763mntlb1c0brnk9w3fenzqbk313q5kvxyf52kukw1pa[Year],YEAR(Data!$A896)),"")</f>
        <v/>
      </c>
      <c r="N896" s="2" t="str">
        <f>IFERROR(AVERAGEIFS(timeseries_access_key_fqeas14oitk235763mntlb1c0brnk9w3fenzqbk313q5kvxyf52kukw1pa[Column1],timeseries_access_key_fqeas14oitk235763mntlb1c0brnk9w3fenzqbk313q5kvxyf52kukw1pa[Month],MONTH(Data!$A896),timeseries_access_key_fqeas14oitk235763mntlb1c0brnk9w3fenzqbk313q5kvxyf52kukw1pa[Year],YEAR(Data!$A896)),"")</f>
        <v/>
      </c>
      <c r="O896" s="8" t="str">
        <f>IFERROR(VLOOKUP($A896,Text_1_2[[Text.1.1.3]:[Text.1.3]],2,FALSE),"")</f>
        <v/>
      </c>
      <c r="P896" s="2"/>
    </row>
    <row r="897" spans="1:16" x14ac:dyDescent="0.25">
      <c r="A897" s="1">
        <v>48427</v>
      </c>
      <c r="B897" t="str">
        <f>HLOOKUP(Dashboard!$I$27,results,ROW(A897),FALSE)</f>
        <v/>
      </c>
      <c r="C897" t="str">
        <f>IFERROR(VLOOKUP(A897,observations_series_id_PCU22112222112243_api_key_ecc133893ea92a842ee685c73424608[],2,FALSE),"")</f>
        <v/>
      </c>
      <c r="D897" s="2" t="str">
        <f>IFERROR(VLOOKUP(A897,observations_series_id_PCU22112222112243_api_key_ecc133893ea92a842ee685c73424608[],3,FALSE),"")</f>
        <v/>
      </c>
      <c r="E897" t="str">
        <f>IFERROR(VLOOKUP($A897,observations_series_id_WPU0613020T_api_key_ecc133893ea92a842ee685c734246086_file[],2,FALSE),"")</f>
        <v/>
      </c>
      <c r="F897" s="2" t="str">
        <f>IFERROR(VLOOKUP($A897,observations_series_id_WPU0613020T_api_key_ecc133893ea92a842ee685c734246086_file[],3,FALSE),"")</f>
        <v/>
      </c>
      <c r="G897" t="str">
        <f>IFERROR(VLOOKUP($A897,observations_series_id_PCU22122212_api_key_ecc133893ea92a842ee685c734246086_file[],2,FALSE),"")</f>
        <v/>
      </c>
      <c r="H897" s="2" t="str">
        <f>IFERROR(VLOOKUP($A897,observations_series_id_PCU22122212_api_key_ecc133893ea92a842ee685c734246086_file[],3,FALSE),"")</f>
        <v/>
      </c>
      <c r="I897" t="str">
        <f>IFERROR(VLOOKUP($A897,observations_series_id_PCU3241913241910_api_key_ecc133893ea92a842ee685c734246086[],2,FALSE),"")</f>
        <v/>
      </c>
      <c r="J897" s="2" t="str">
        <f>IFERROR(VLOOKUP($A897,observations_series_id_PCU3241913241910_api_key_ecc133893ea92a842ee685c734246086[],3,FALSE),"")</f>
        <v/>
      </c>
      <c r="K897" t="str">
        <f>IFERROR(VLOOKUP($A897,observations_series_id_EXJPUS_api_key_ecc133893ea92a842ee685c734246086_file_type[],2,FALSE),"")</f>
        <v/>
      </c>
      <c r="L897" s="2" t="str">
        <f>IFERROR(VLOOKUP($A897,observations_series_id_EXJPUS_api_key_ecc133893ea92a842ee685c734246086_file_type[],3,FALSE),"")</f>
        <v/>
      </c>
      <c r="M897" t="str">
        <f>IFERROR(AVERAGEIFS(timeseries_access_key_fqeas14oitk235763mntlb1c0brnk9w3fenzqbk313q5kvxyf52kukw1pa[Value.LME-ZNC],timeseries_access_key_fqeas14oitk235763mntlb1c0brnk9w3fenzqbk313q5kvxyf52kukw1pa[Month],MONTH(Data!$A897),timeseries_access_key_fqeas14oitk235763mntlb1c0brnk9w3fenzqbk313q5kvxyf52kukw1pa[Year],YEAR(Data!$A897)),"")</f>
        <v/>
      </c>
      <c r="N897" s="2" t="str">
        <f>IFERROR(AVERAGEIFS(timeseries_access_key_fqeas14oitk235763mntlb1c0brnk9w3fenzqbk313q5kvxyf52kukw1pa[Column1],timeseries_access_key_fqeas14oitk235763mntlb1c0brnk9w3fenzqbk313q5kvxyf52kukw1pa[Month],MONTH(Data!$A897),timeseries_access_key_fqeas14oitk235763mntlb1c0brnk9w3fenzqbk313q5kvxyf52kukw1pa[Year],YEAR(Data!$A897)),"")</f>
        <v/>
      </c>
      <c r="O897" s="8" t="str">
        <f>IFERROR(VLOOKUP($A897,Text_1_2[[Text.1.1.3]:[Text.1.3]],2,FALSE),"")</f>
        <v/>
      </c>
      <c r="P897" s="2"/>
    </row>
    <row r="898" spans="1:16" x14ac:dyDescent="0.25">
      <c r="A898" s="1">
        <v>48458</v>
      </c>
      <c r="B898" t="str">
        <f>HLOOKUP(Dashboard!$I$27,results,ROW(A898),FALSE)</f>
        <v/>
      </c>
      <c r="C898" t="str">
        <f>IFERROR(VLOOKUP(A898,observations_series_id_PCU22112222112243_api_key_ecc133893ea92a842ee685c73424608[],2,FALSE),"")</f>
        <v/>
      </c>
      <c r="D898" s="2" t="str">
        <f>IFERROR(VLOOKUP(A898,observations_series_id_PCU22112222112243_api_key_ecc133893ea92a842ee685c73424608[],3,FALSE),"")</f>
        <v/>
      </c>
      <c r="E898" t="str">
        <f>IFERROR(VLOOKUP($A898,observations_series_id_WPU0613020T_api_key_ecc133893ea92a842ee685c734246086_file[],2,FALSE),"")</f>
        <v/>
      </c>
      <c r="F898" s="2" t="str">
        <f>IFERROR(VLOOKUP($A898,observations_series_id_WPU0613020T_api_key_ecc133893ea92a842ee685c734246086_file[],3,FALSE),"")</f>
        <v/>
      </c>
      <c r="G898" t="str">
        <f>IFERROR(VLOOKUP($A898,observations_series_id_PCU22122212_api_key_ecc133893ea92a842ee685c734246086_file[],2,FALSE),"")</f>
        <v/>
      </c>
      <c r="H898" s="2" t="str">
        <f>IFERROR(VLOOKUP($A898,observations_series_id_PCU22122212_api_key_ecc133893ea92a842ee685c734246086_file[],3,FALSE),"")</f>
        <v/>
      </c>
      <c r="I898" t="str">
        <f>IFERROR(VLOOKUP($A898,observations_series_id_PCU3241913241910_api_key_ecc133893ea92a842ee685c734246086[],2,FALSE),"")</f>
        <v/>
      </c>
      <c r="J898" s="2" t="str">
        <f>IFERROR(VLOOKUP($A898,observations_series_id_PCU3241913241910_api_key_ecc133893ea92a842ee685c734246086[],3,FALSE),"")</f>
        <v/>
      </c>
      <c r="K898" t="str">
        <f>IFERROR(VLOOKUP($A898,observations_series_id_EXJPUS_api_key_ecc133893ea92a842ee685c734246086_file_type[],2,FALSE),"")</f>
        <v/>
      </c>
      <c r="L898" s="2" t="str">
        <f>IFERROR(VLOOKUP($A898,observations_series_id_EXJPUS_api_key_ecc133893ea92a842ee685c734246086_file_type[],3,FALSE),"")</f>
        <v/>
      </c>
      <c r="M898" t="str">
        <f>IFERROR(AVERAGEIFS(timeseries_access_key_fqeas14oitk235763mntlb1c0brnk9w3fenzqbk313q5kvxyf52kukw1pa[Value.LME-ZNC],timeseries_access_key_fqeas14oitk235763mntlb1c0brnk9w3fenzqbk313q5kvxyf52kukw1pa[Month],MONTH(Data!$A898),timeseries_access_key_fqeas14oitk235763mntlb1c0brnk9w3fenzqbk313q5kvxyf52kukw1pa[Year],YEAR(Data!$A898)),"")</f>
        <v/>
      </c>
      <c r="N898" s="2" t="str">
        <f>IFERROR(AVERAGEIFS(timeseries_access_key_fqeas14oitk235763mntlb1c0brnk9w3fenzqbk313q5kvxyf52kukw1pa[Column1],timeseries_access_key_fqeas14oitk235763mntlb1c0brnk9w3fenzqbk313q5kvxyf52kukw1pa[Month],MONTH(Data!$A898),timeseries_access_key_fqeas14oitk235763mntlb1c0brnk9w3fenzqbk313q5kvxyf52kukw1pa[Year],YEAR(Data!$A898)),"")</f>
        <v/>
      </c>
      <c r="O898" s="8" t="str">
        <f>IFERROR(VLOOKUP($A898,Text_1_2[[Text.1.1.3]:[Text.1.3]],2,FALSE),"")</f>
        <v/>
      </c>
      <c r="P898" s="2"/>
    </row>
    <row r="899" spans="1:16" x14ac:dyDescent="0.25">
      <c r="A899" s="1">
        <v>48488</v>
      </c>
      <c r="B899" t="str">
        <f>HLOOKUP(Dashboard!$I$27,results,ROW(A899),FALSE)</f>
        <v/>
      </c>
      <c r="C899" t="str">
        <f>IFERROR(VLOOKUP(A899,observations_series_id_PCU22112222112243_api_key_ecc133893ea92a842ee685c73424608[],2,FALSE),"")</f>
        <v/>
      </c>
      <c r="D899" s="2" t="str">
        <f>IFERROR(VLOOKUP(A899,observations_series_id_PCU22112222112243_api_key_ecc133893ea92a842ee685c73424608[],3,FALSE),"")</f>
        <v/>
      </c>
      <c r="E899" t="str">
        <f>IFERROR(VLOOKUP($A899,observations_series_id_WPU0613020T_api_key_ecc133893ea92a842ee685c734246086_file[],2,FALSE),"")</f>
        <v/>
      </c>
      <c r="F899" s="2" t="str">
        <f>IFERROR(VLOOKUP($A899,observations_series_id_WPU0613020T_api_key_ecc133893ea92a842ee685c734246086_file[],3,FALSE),"")</f>
        <v/>
      </c>
      <c r="G899" t="str">
        <f>IFERROR(VLOOKUP($A899,observations_series_id_PCU22122212_api_key_ecc133893ea92a842ee685c734246086_file[],2,FALSE),"")</f>
        <v/>
      </c>
      <c r="H899" s="2" t="str">
        <f>IFERROR(VLOOKUP($A899,observations_series_id_PCU22122212_api_key_ecc133893ea92a842ee685c734246086_file[],3,FALSE),"")</f>
        <v/>
      </c>
      <c r="I899" t="str">
        <f>IFERROR(VLOOKUP($A899,observations_series_id_PCU3241913241910_api_key_ecc133893ea92a842ee685c734246086[],2,FALSE),"")</f>
        <v/>
      </c>
      <c r="J899" s="2" t="str">
        <f>IFERROR(VLOOKUP($A899,observations_series_id_PCU3241913241910_api_key_ecc133893ea92a842ee685c734246086[],3,FALSE),"")</f>
        <v/>
      </c>
      <c r="K899" t="str">
        <f>IFERROR(VLOOKUP($A899,observations_series_id_EXJPUS_api_key_ecc133893ea92a842ee685c734246086_file_type[],2,FALSE),"")</f>
        <v/>
      </c>
      <c r="L899" s="2" t="str">
        <f>IFERROR(VLOOKUP($A899,observations_series_id_EXJPUS_api_key_ecc133893ea92a842ee685c734246086_file_type[],3,FALSE),"")</f>
        <v/>
      </c>
      <c r="M899" t="str">
        <f>IFERROR(AVERAGEIFS(timeseries_access_key_fqeas14oitk235763mntlb1c0brnk9w3fenzqbk313q5kvxyf52kukw1pa[Value.LME-ZNC],timeseries_access_key_fqeas14oitk235763mntlb1c0brnk9w3fenzqbk313q5kvxyf52kukw1pa[Month],MONTH(Data!$A899),timeseries_access_key_fqeas14oitk235763mntlb1c0brnk9w3fenzqbk313q5kvxyf52kukw1pa[Year],YEAR(Data!$A899)),"")</f>
        <v/>
      </c>
      <c r="N899" s="2" t="str">
        <f>IFERROR(AVERAGEIFS(timeseries_access_key_fqeas14oitk235763mntlb1c0brnk9w3fenzqbk313q5kvxyf52kukw1pa[Column1],timeseries_access_key_fqeas14oitk235763mntlb1c0brnk9w3fenzqbk313q5kvxyf52kukw1pa[Month],MONTH(Data!$A899),timeseries_access_key_fqeas14oitk235763mntlb1c0brnk9w3fenzqbk313q5kvxyf52kukw1pa[Year],YEAR(Data!$A899)),"")</f>
        <v/>
      </c>
      <c r="O899" s="8" t="str">
        <f>IFERROR(VLOOKUP($A899,Text_1_2[[Text.1.1.3]:[Text.1.3]],2,FALSE),"")</f>
        <v/>
      </c>
      <c r="P899" s="2"/>
    </row>
    <row r="900" spans="1:16" x14ac:dyDescent="0.25">
      <c r="A900" s="1">
        <v>48519</v>
      </c>
      <c r="B900" t="str">
        <f>HLOOKUP(Dashboard!$I$27,results,ROW(A900),FALSE)</f>
        <v/>
      </c>
      <c r="C900" t="str">
        <f>IFERROR(VLOOKUP(A900,observations_series_id_PCU22112222112243_api_key_ecc133893ea92a842ee685c73424608[],2,FALSE),"")</f>
        <v/>
      </c>
      <c r="D900" s="2" t="str">
        <f>IFERROR(VLOOKUP(A900,observations_series_id_PCU22112222112243_api_key_ecc133893ea92a842ee685c73424608[],3,FALSE),"")</f>
        <v/>
      </c>
      <c r="E900" t="str">
        <f>IFERROR(VLOOKUP($A900,observations_series_id_WPU0613020T_api_key_ecc133893ea92a842ee685c734246086_file[],2,FALSE),"")</f>
        <v/>
      </c>
      <c r="F900" s="2" t="str">
        <f>IFERROR(VLOOKUP($A900,observations_series_id_WPU0613020T_api_key_ecc133893ea92a842ee685c734246086_file[],3,FALSE),"")</f>
        <v/>
      </c>
      <c r="G900" t="str">
        <f>IFERROR(VLOOKUP($A900,observations_series_id_PCU22122212_api_key_ecc133893ea92a842ee685c734246086_file[],2,FALSE),"")</f>
        <v/>
      </c>
      <c r="H900" s="2" t="str">
        <f>IFERROR(VLOOKUP($A900,observations_series_id_PCU22122212_api_key_ecc133893ea92a842ee685c734246086_file[],3,FALSE),"")</f>
        <v/>
      </c>
      <c r="I900" t="str">
        <f>IFERROR(VLOOKUP($A900,observations_series_id_PCU3241913241910_api_key_ecc133893ea92a842ee685c734246086[],2,FALSE),"")</f>
        <v/>
      </c>
      <c r="J900" s="2" t="str">
        <f>IFERROR(VLOOKUP($A900,observations_series_id_PCU3241913241910_api_key_ecc133893ea92a842ee685c734246086[],3,FALSE),"")</f>
        <v/>
      </c>
      <c r="K900" t="str">
        <f>IFERROR(VLOOKUP($A900,observations_series_id_EXJPUS_api_key_ecc133893ea92a842ee685c734246086_file_type[],2,FALSE),"")</f>
        <v/>
      </c>
      <c r="L900" s="2" t="str">
        <f>IFERROR(VLOOKUP($A900,observations_series_id_EXJPUS_api_key_ecc133893ea92a842ee685c734246086_file_type[],3,FALSE),"")</f>
        <v/>
      </c>
      <c r="M900" t="str">
        <f>IFERROR(AVERAGEIFS(timeseries_access_key_fqeas14oitk235763mntlb1c0brnk9w3fenzqbk313q5kvxyf52kukw1pa[Value.LME-ZNC],timeseries_access_key_fqeas14oitk235763mntlb1c0brnk9w3fenzqbk313q5kvxyf52kukw1pa[Month],MONTH(Data!$A900),timeseries_access_key_fqeas14oitk235763mntlb1c0brnk9w3fenzqbk313q5kvxyf52kukw1pa[Year],YEAR(Data!$A900)),"")</f>
        <v/>
      </c>
      <c r="N900" s="2" t="str">
        <f>IFERROR(AVERAGEIFS(timeseries_access_key_fqeas14oitk235763mntlb1c0brnk9w3fenzqbk313q5kvxyf52kukw1pa[Column1],timeseries_access_key_fqeas14oitk235763mntlb1c0brnk9w3fenzqbk313q5kvxyf52kukw1pa[Month],MONTH(Data!$A900),timeseries_access_key_fqeas14oitk235763mntlb1c0brnk9w3fenzqbk313q5kvxyf52kukw1pa[Year],YEAR(Data!$A900)),"")</f>
        <v/>
      </c>
      <c r="O900" s="8" t="str">
        <f>IFERROR(VLOOKUP($A900,Text_1_2[[Text.1.1.3]:[Text.1.3]],2,FALSE),"")</f>
        <v/>
      </c>
      <c r="P900" s="2"/>
    </row>
    <row r="901" spans="1:16" x14ac:dyDescent="0.25">
      <c r="A901" s="1">
        <v>48549</v>
      </c>
      <c r="B901" t="str">
        <f>HLOOKUP(Dashboard!$I$27,results,ROW(A901),FALSE)</f>
        <v/>
      </c>
      <c r="C901" t="str">
        <f>IFERROR(VLOOKUP(A901,observations_series_id_PCU22112222112243_api_key_ecc133893ea92a842ee685c73424608[],2,FALSE),"")</f>
        <v/>
      </c>
      <c r="D901" s="2" t="str">
        <f>IFERROR(VLOOKUP(A901,observations_series_id_PCU22112222112243_api_key_ecc133893ea92a842ee685c73424608[],3,FALSE),"")</f>
        <v/>
      </c>
      <c r="E901" t="str">
        <f>IFERROR(VLOOKUP($A901,observations_series_id_WPU0613020T_api_key_ecc133893ea92a842ee685c734246086_file[],2,FALSE),"")</f>
        <v/>
      </c>
      <c r="F901" s="2" t="str">
        <f>IFERROR(VLOOKUP($A901,observations_series_id_WPU0613020T_api_key_ecc133893ea92a842ee685c734246086_file[],3,FALSE),"")</f>
        <v/>
      </c>
      <c r="G901" t="str">
        <f>IFERROR(VLOOKUP($A901,observations_series_id_PCU22122212_api_key_ecc133893ea92a842ee685c734246086_file[],2,FALSE),"")</f>
        <v/>
      </c>
      <c r="H901" s="2" t="str">
        <f>IFERROR(VLOOKUP($A901,observations_series_id_PCU22122212_api_key_ecc133893ea92a842ee685c734246086_file[],3,FALSE),"")</f>
        <v/>
      </c>
      <c r="I901" t="str">
        <f>IFERROR(VLOOKUP($A901,observations_series_id_PCU3241913241910_api_key_ecc133893ea92a842ee685c734246086[],2,FALSE),"")</f>
        <v/>
      </c>
      <c r="J901" s="2" t="str">
        <f>IFERROR(VLOOKUP($A901,observations_series_id_PCU3241913241910_api_key_ecc133893ea92a842ee685c734246086[],3,FALSE),"")</f>
        <v/>
      </c>
      <c r="K901" t="str">
        <f>IFERROR(VLOOKUP($A901,observations_series_id_EXJPUS_api_key_ecc133893ea92a842ee685c734246086_file_type[],2,FALSE),"")</f>
        <v/>
      </c>
      <c r="L901" s="2" t="str">
        <f>IFERROR(VLOOKUP($A901,observations_series_id_EXJPUS_api_key_ecc133893ea92a842ee685c734246086_file_type[],3,FALSE),"")</f>
        <v/>
      </c>
      <c r="M901" t="str">
        <f>IFERROR(AVERAGEIFS(timeseries_access_key_fqeas14oitk235763mntlb1c0brnk9w3fenzqbk313q5kvxyf52kukw1pa[Value.LME-ZNC],timeseries_access_key_fqeas14oitk235763mntlb1c0brnk9w3fenzqbk313q5kvxyf52kukw1pa[Month],MONTH(Data!$A901),timeseries_access_key_fqeas14oitk235763mntlb1c0brnk9w3fenzqbk313q5kvxyf52kukw1pa[Year],YEAR(Data!$A901)),"")</f>
        <v/>
      </c>
      <c r="N901" s="2" t="str">
        <f>IFERROR(AVERAGEIFS(timeseries_access_key_fqeas14oitk235763mntlb1c0brnk9w3fenzqbk313q5kvxyf52kukw1pa[Column1],timeseries_access_key_fqeas14oitk235763mntlb1c0brnk9w3fenzqbk313q5kvxyf52kukw1pa[Month],MONTH(Data!$A901),timeseries_access_key_fqeas14oitk235763mntlb1c0brnk9w3fenzqbk313q5kvxyf52kukw1pa[Year],YEAR(Data!$A901)),"")</f>
        <v/>
      </c>
      <c r="O901" s="8" t="str">
        <f>IFERROR(VLOOKUP($A901,Text_1_2[[Text.1.1.3]:[Text.1.3]],2,FALSE),"")</f>
        <v/>
      </c>
      <c r="P901" s="2"/>
    </row>
  </sheetData>
  <conditionalFormatting sqref="B902:B1048576">
    <cfRule type="cellIs" dxfId="0" priority="1" operator="equal">
      <formula>"(blank)"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459D-9D13-4A01-A103-C3A973B64C83}">
  <sheetPr codeName="Sheet10">
    <tabColor theme="1"/>
  </sheetPr>
  <dimension ref="B1:D15"/>
  <sheetViews>
    <sheetView workbookViewId="0">
      <selection activeCell="B14" sqref="B14"/>
    </sheetView>
  </sheetViews>
  <sheetFormatPr defaultRowHeight="15" x14ac:dyDescent="0.25"/>
  <cols>
    <col min="2" max="2" width="18.42578125" bestFit="1" customWidth="1"/>
    <col min="4" max="4" width="10.140625" bestFit="1" customWidth="1"/>
  </cols>
  <sheetData>
    <row r="1" spans="2:4" x14ac:dyDescent="0.25">
      <c r="B1" t="s">
        <v>11</v>
      </c>
      <c r="D1" t="s">
        <v>12</v>
      </c>
    </row>
    <row r="2" spans="2:4" x14ac:dyDescent="0.25">
      <c r="B2" t="s">
        <v>6</v>
      </c>
      <c r="D2" s="3">
        <f>MIN(observations_series_id_PCU22112222112243_api_key_ecc133893ea92a842ee685c73424608[Column1.date],observations_series_id_WPU0613020T_api_key_ecc133893ea92a842ee685c734246086_file[Column1.date],observations_series_id_PCU22122212_api_key_ecc133893ea92a842ee685c734246086_file[Column1.date],observations_series_id_PCU3241913241910_api_key_ecc133893ea92a842ee685c734246086[Column1.date],observations_series_id_EXJPUS_api_key_ecc133893ea92a842ee685c734246086_file_type[Column1.date])</f>
        <v>21186</v>
      </c>
    </row>
    <row r="3" spans="2:4" x14ac:dyDescent="0.25">
      <c r="B3" t="s">
        <v>14</v>
      </c>
    </row>
    <row r="4" spans="2:4" x14ac:dyDescent="0.25">
      <c r="B4" t="s">
        <v>7</v>
      </c>
      <c r="D4" t="s">
        <v>13</v>
      </c>
    </row>
    <row r="5" spans="2:4" x14ac:dyDescent="0.25">
      <c r="B5" t="s">
        <v>15</v>
      </c>
      <c r="D5" s="3">
        <f>MAX(observations_series_id_PCU22112222112243_api_key_ecc133893ea92a842ee685c73424608[Column1.date],observations_series_id_WPU0613020T_api_key_ecc133893ea92a842ee685c734246086_file[Column1.date],observations_series_id_PCU22122212_api_key_ecc133893ea92a842ee685c734246086_file[Column1.date],observations_series_id_PCU3241913241910_api_key_ecc133893ea92a842ee685c734246086[Column1.date],observations_series_id_EXJPUS_api_key_ecc133893ea92a842ee685c734246086_file_type[Column1.date])</f>
        <v>44986</v>
      </c>
    </row>
    <row r="6" spans="2:4" x14ac:dyDescent="0.25">
      <c r="B6" t="s">
        <v>8</v>
      </c>
    </row>
    <row r="7" spans="2:4" x14ac:dyDescent="0.25">
      <c r="B7" t="s">
        <v>16</v>
      </c>
    </row>
    <row r="8" spans="2:4" x14ac:dyDescent="0.25">
      <c r="B8" t="s">
        <v>9</v>
      </c>
    </row>
    <row r="9" spans="2:4" x14ac:dyDescent="0.25">
      <c r="B9" t="s">
        <v>17</v>
      </c>
    </row>
    <row r="10" spans="2:4" x14ac:dyDescent="0.25">
      <c r="B10" t="s">
        <v>2</v>
      </c>
    </row>
    <row r="11" spans="2:4" x14ac:dyDescent="0.25">
      <c r="B11" t="s">
        <v>18</v>
      </c>
    </row>
    <row r="12" spans="2:4" x14ac:dyDescent="0.25">
      <c r="B12" t="s">
        <v>3</v>
      </c>
    </row>
    <row r="13" spans="2:4" x14ac:dyDescent="0.25">
      <c r="B13" t="s">
        <v>19</v>
      </c>
    </row>
    <row r="14" spans="2:4" x14ac:dyDescent="0.25">
      <c r="B14" t="s">
        <v>56</v>
      </c>
    </row>
    <row r="15" spans="2:4" x14ac:dyDescent="0.25">
      <c r="B15" t="s">
        <v>52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CF2026-B496-4709-AAA2-DD232A7BE2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Dashboard</vt:lpstr>
      <vt:lpstr>PPI - Electric</vt:lpstr>
      <vt:lpstr>PPI - Inorganic Acids</vt:lpstr>
      <vt:lpstr>PPI - Natural Gas</vt:lpstr>
      <vt:lpstr>PPI - Petroleum</vt:lpstr>
      <vt:lpstr>PPI - No.2 Diesel</vt:lpstr>
      <vt:lpstr>LME - Zinc</vt:lpstr>
      <vt:lpstr>Exchange Rate</vt:lpstr>
      <vt:lpstr>Naphtha</vt:lpstr>
      <vt:lpstr>Data</vt:lpstr>
      <vt:lpstr>Admin</vt:lpstr>
      <vt:lpstr>Dashboard!Print_Area</vt:lpstr>
      <vt:lpstr>results</vt:lpstr>
    </vt:vector>
  </TitlesOfParts>
  <Company>Indiana Automotive Fasteners,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Terrence Wissick</dc:creator>
  <cp:lastModifiedBy>TJ</cp:lastModifiedBy>
  <dcterms:created xsi:type="dcterms:W3CDTF">2023-03-14T15:19:37Z</dcterms:created>
  <dcterms:modified xsi:type="dcterms:W3CDTF">2023-04-07T00:19:05Z</dcterms:modified>
</cp:coreProperties>
</file>